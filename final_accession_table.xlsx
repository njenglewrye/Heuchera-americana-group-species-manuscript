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folk/Desktop/student_drafts/nick/species_paper/"/>
    </mc:Choice>
  </mc:AlternateContent>
  <xr:revisionPtr revIDLastSave="0" documentId="8_{296EB1FE-8C1B-DB4C-B5EC-87A55808D4C2}" xr6:coauthVersionLast="47" xr6:coauthVersionMax="47" xr10:uidLastSave="{00000000-0000-0000-0000-000000000000}"/>
  <bookViews>
    <workbookView xWindow="2300" yWindow="2320" windowWidth="26840" windowHeight="15840" xr2:uid="{AB424966-4515-3949-BFFD-4C6A4A8BF125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  <c r="C54" i="1"/>
  <c r="C53" i="1"/>
  <c r="C52" i="1"/>
  <c r="C51" i="1"/>
  <c r="C50" i="1"/>
  <c r="C49" i="1"/>
  <c r="C48" i="1"/>
  <c r="C47" i="1"/>
  <c r="C46" i="1"/>
  <c r="C64" i="1"/>
  <c r="C63" i="1"/>
  <c r="C62" i="1"/>
  <c r="C61" i="1"/>
  <c r="C60" i="1"/>
  <c r="C59" i="1"/>
  <c r="C58" i="1"/>
  <c r="C57" i="1"/>
  <c r="C56" i="1"/>
  <c r="C461" i="1"/>
  <c r="C460" i="1"/>
  <c r="C459" i="1"/>
  <c r="C458" i="1"/>
  <c r="C457" i="1"/>
  <c r="C570" i="1"/>
  <c r="C569" i="1"/>
  <c r="C568" i="1"/>
  <c r="C472" i="1"/>
  <c r="C563" i="1"/>
  <c r="C471" i="1"/>
  <c r="C470" i="1"/>
  <c r="C469" i="1"/>
  <c r="C175" i="1"/>
  <c r="C174" i="1"/>
  <c r="C173" i="1"/>
  <c r="C172" i="1"/>
  <c r="C468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188" i="1"/>
  <c r="C187" i="1"/>
  <c r="C186" i="1"/>
  <c r="C185" i="1"/>
  <c r="C184" i="1"/>
  <c r="C183" i="1"/>
  <c r="C182" i="1"/>
  <c r="C181" i="1"/>
  <c r="C180" i="1"/>
  <c r="C179" i="1"/>
  <c r="C467" i="1"/>
  <c r="C79" i="1"/>
  <c r="C78" i="1"/>
  <c r="C77" i="1"/>
  <c r="C76" i="1"/>
  <c r="C75" i="1"/>
  <c r="C74" i="1"/>
  <c r="C73" i="1"/>
  <c r="C72" i="1"/>
  <c r="C71" i="1"/>
  <c r="C70" i="1"/>
  <c r="C69" i="1"/>
  <c r="C466" i="1"/>
  <c r="C599" i="1"/>
  <c r="C465" i="1"/>
  <c r="C464" i="1"/>
  <c r="C463" i="1"/>
  <c r="C565" i="1"/>
  <c r="C178" i="1"/>
  <c r="C177" i="1"/>
  <c r="C176" i="1"/>
  <c r="C573" i="1"/>
  <c r="C572" i="1"/>
  <c r="C564" i="1"/>
  <c r="C561" i="1"/>
  <c r="C456" i="1"/>
  <c r="C455" i="1"/>
  <c r="C454" i="1"/>
  <c r="C453" i="1"/>
  <c r="C452" i="1"/>
  <c r="C451" i="1"/>
  <c r="C450" i="1"/>
  <c r="C449" i="1"/>
  <c r="C562" i="1"/>
  <c r="C448" i="1"/>
  <c r="C571" i="1"/>
  <c r="C462" i="1"/>
  <c r="C601" i="1"/>
  <c r="C418" i="1"/>
  <c r="C417" i="1"/>
  <c r="C416" i="1"/>
  <c r="C415" i="1"/>
  <c r="C414" i="1"/>
  <c r="C334" i="1"/>
  <c r="C413" i="1"/>
  <c r="C412" i="1"/>
  <c r="C525" i="1"/>
  <c r="C146" i="1"/>
  <c r="C613" i="1"/>
  <c r="C612" i="1"/>
  <c r="C611" i="1"/>
  <c r="C566" i="1"/>
  <c r="C608" i="1"/>
  <c r="C607" i="1"/>
  <c r="C606" i="1"/>
  <c r="C605" i="1"/>
  <c r="C567" i="1"/>
  <c r="C610" i="1"/>
  <c r="C609" i="1"/>
  <c r="C604" i="1"/>
  <c r="C603" i="1"/>
  <c r="C602" i="1"/>
  <c r="C80" i="1"/>
  <c r="C228" i="1"/>
  <c r="C227" i="1"/>
  <c r="C226" i="1"/>
  <c r="C313" i="1"/>
  <c r="C312" i="1"/>
  <c r="C314" i="1"/>
  <c r="C521" i="1"/>
  <c r="C527" i="1"/>
  <c r="C520" i="1"/>
  <c r="C518" i="1"/>
  <c r="C517" i="1"/>
  <c r="C516" i="1"/>
  <c r="C407" i="1"/>
  <c r="C406" i="1"/>
  <c r="C405" i="1"/>
  <c r="C403" i="1"/>
  <c r="C402" i="1"/>
  <c r="C401" i="1"/>
  <c r="C400" i="1"/>
  <c r="C399" i="1"/>
  <c r="C398" i="1"/>
  <c r="C397" i="1"/>
  <c r="C419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524" i="1"/>
  <c r="C268" i="1"/>
  <c r="C267" i="1"/>
  <c r="C266" i="1"/>
  <c r="C265" i="1"/>
  <c r="C264" i="1"/>
  <c r="C263" i="1"/>
  <c r="C262" i="1"/>
  <c r="C261" i="1"/>
  <c r="C260" i="1"/>
  <c r="C523" i="1"/>
  <c r="C522" i="1"/>
  <c r="C404" i="1"/>
  <c r="C118" i="1"/>
  <c r="C117" i="1"/>
  <c r="C116" i="1"/>
  <c r="C115" i="1"/>
  <c r="C114" i="1"/>
  <c r="C113" i="1"/>
  <c r="C112" i="1"/>
  <c r="C111" i="1"/>
  <c r="C110" i="1"/>
  <c r="C109" i="1"/>
  <c r="C108" i="1"/>
  <c r="C376" i="1"/>
  <c r="C533" i="1"/>
  <c r="C532" i="1"/>
  <c r="C447" i="1"/>
  <c r="C171" i="1"/>
  <c r="C170" i="1"/>
  <c r="C169" i="1"/>
  <c r="C445" i="1"/>
  <c r="C577" i="1"/>
  <c r="C576" i="1"/>
  <c r="C443" i="1"/>
  <c r="C442" i="1"/>
  <c r="C586" i="1"/>
  <c r="C585" i="1"/>
  <c r="C584" i="1"/>
  <c r="C583" i="1"/>
  <c r="C582" i="1"/>
  <c r="C581" i="1"/>
  <c r="C580" i="1"/>
  <c r="C579" i="1"/>
  <c r="C578" i="1"/>
  <c r="C444" i="1"/>
  <c r="C550" i="1"/>
  <c r="C543" i="1"/>
  <c r="C422" i="1"/>
  <c r="C441" i="1"/>
  <c r="C373" i="1"/>
  <c r="C372" i="1"/>
  <c r="C159" i="1"/>
  <c r="C158" i="1"/>
  <c r="C157" i="1"/>
  <c r="C156" i="1"/>
  <c r="C155" i="1"/>
  <c r="C154" i="1"/>
  <c r="C153" i="1"/>
  <c r="C152" i="1"/>
  <c r="C151" i="1"/>
  <c r="C150" i="1"/>
  <c r="C149" i="1"/>
  <c r="C371" i="1"/>
  <c r="C148" i="1"/>
  <c r="C147" i="1"/>
  <c r="C370" i="1"/>
  <c r="C369" i="1"/>
  <c r="C316" i="1"/>
  <c r="C297" i="1"/>
  <c r="C296" i="1"/>
  <c r="C295" i="1"/>
  <c r="C440" i="1"/>
  <c r="C439" i="1"/>
  <c r="C438" i="1"/>
  <c r="C574" i="1"/>
  <c r="C168" i="1"/>
  <c r="C167" i="1"/>
  <c r="C166" i="1"/>
  <c r="C31" i="1"/>
  <c r="C30" i="1"/>
  <c r="C29" i="1"/>
  <c r="C28" i="1"/>
  <c r="C27" i="1"/>
  <c r="C26" i="1"/>
  <c r="C25" i="1"/>
  <c r="C24" i="1"/>
  <c r="C23" i="1"/>
  <c r="C437" i="1"/>
  <c r="C436" i="1"/>
  <c r="C32" i="1"/>
  <c r="C435" i="1"/>
  <c r="C421" i="1"/>
  <c r="C434" i="1"/>
  <c r="C538" i="1"/>
  <c r="C368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367" i="1"/>
  <c r="C366" i="1"/>
  <c r="C365" i="1"/>
  <c r="C364" i="1"/>
  <c r="C212" i="1"/>
  <c r="C363" i="1"/>
  <c r="C410" i="1"/>
  <c r="C540" i="1"/>
  <c r="C539" i="1"/>
  <c r="C557" i="1"/>
  <c r="C362" i="1"/>
  <c r="C361" i="1"/>
  <c r="C360" i="1"/>
  <c r="C541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35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47" i="1"/>
  <c r="C246" i="1"/>
  <c r="C245" i="1"/>
  <c r="C244" i="1"/>
  <c r="C243" i="1"/>
  <c r="C242" i="1"/>
  <c r="C374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349" i="1"/>
  <c r="C348" i="1"/>
  <c r="C347" i="1"/>
  <c r="C341" i="1"/>
  <c r="C346" i="1"/>
  <c r="C345" i="1"/>
  <c r="C344" i="1"/>
  <c r="C343" i="1"/>
  <c r="C342" i="1"/>
  <c r="C340" i="1"/>
  <c r="C339" i="1"/>
  <c r="C338" i="1"/>
  <c r="C337" i="1"/>
  <c r="C336" i="1"/>
  <c r="C335" i="1"/>
  <c r="C333" i="1"/>
  <c r="C332" i="1"/>
  <c r="C331" i="1"/>
  <c r="C330" i="1"/>
  <c r="C329" i="1"/>
  <c r="C328" i="1"/>
  <c r="C327" i="1"/>
  <c r="C545" i="1"/>
  <c r="C598" i="1"/>
  <c r="C537" i="1"/>
  <c r="C536" i="1"/>
  <c r="C535" i="1"/>
  <c r="C433" i="1"/>
  <c r="C326" i="1"/>
  <c r="C377" i="1"/>
  <c r="C325" i="1"/>
  <c r="C324" i="1"/>
  <c r="C323" i="1"/>
  <c r="C322" i="1"/>
  <c r="C552" i="1"/>
  <c r="C321" i="1"/>
  <c r="C320" i="1"/>
  <c r="C319" i="1"/>
  <c r="C120" i="1"/>
  <c r="C124" i="1"/>
  <c r="C123" i="1"/>
  <c r="C122" i="1"/>
  <c r="C121" i="1"/>
  <c r="C119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6" i="1"/>
  <c r="C531" i="1"/>
  <c r="C318" i="1"/>
  <c r="C317" i="1"/>
  <c r="C560" i="1"/>
  <c r="C555" i="1"/>
  <c r="C311" i="1"/>
  <c r="C310" i="1"/>
  <c r="C309" i="1"/>
  <c r="C528" i="1"/>
  <c r="C308" i="1"/>
  <c r="C556" i="1"/>
  <c r="C307" i="1"/>
  <c r="C306" i="1"/>
  <c r="C305" i="1"/>
  <c r="C304" i="1"/>
  <c r="C303" i="1"/>
  <c r="C302" i="1"/>
  <c r="C301" i="1"/>
  <c r="C300" i="1"/>
  <c r="C293" i="1"/>
  <c r="C292" i="1"/>
  <c r="C291" i="1"/>
  <c r="C290" i="1"/>
  <c r="C289" i="1"/>
  <c r="C432" i="1"/>
  <c r="C431" i="1"/>
  <c r="C430" i="1"/>
  <c r="C429" i="1"/>
  <c r="C559" i="1"/>
  <c r="C428" i="1"/>
  <c r="C446" i="1"/>
  <c r="C427" i="1"/>
  <c r="C426" i="1"/>
  <c r="C425" i="1"/>
  <c r="C587" i="1"/>
  <c r="C424" i="1"/>
  <c r="C575" i="1"/>
  <c r="C597" i="1"/>
  <c r="C423" i="1"/>
  <c r="C515" i="1"/>
  <c r="C514" i="1"/>
  <c r="C513" i="1"/>
  <c r="C512" i="1"/>
  <c r="C511" i="1"/>
  <c r="C510" i="1"/>
  <c r="C255" i="1"/>
  <c r="C553" i="1"/>
  <c r="C546" i="1"/>
  <c r="C509" i="1"/>
  <c r="C508" i="1"/>
  <c r="C507" i="1"/>
  <c r="C506" i="1"/>
  <c r="C505" i="1"/>
  <c r="C504" i="1"/>
  <c r="C503" i="1"/>
  <c r="C502" i="1"/>
  <c r="C501" i="1"/>
  <c r="C500" i="1"/>
  <c r="C519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259" i="1"/>
  <c r="C258" i="1"/>
  <c r="C257" i="1"/>
  <c r="C256" i="1"/>
  <c r="C485" i="1"/>
  <c r="C484" i="1"/>
  <c r="C483" i="1"/>
  <c r="C482" i="1"/>
  <c r="C481" i="1"/>
  <c r="C480" i="1"/>
  <c r="C479" i="1"/>
  <c r="C548" i="1"/>
  <c r="C478" i="1"/>
  <c r="C254" i="1"/>
  <c r="C253" i="1"/>
  <c r="C252" i="1"/>
  <c r="C251" i="1"/>
  <c r="C250" i="1"/>
  <c r="C249" i="1"/>
  <c r="C248" i="1"/>
  <c r="C477" i="1"/>
  <c r="C476" i="1"/>
  <c r="C475" i="1"/>
  <c r="C588" i="1"/>
  <c r="C474" i="1"/>
  <c r="C473" i="1"/>
  <c r="C275" i="1"/>
  <c r="C274" i="1"/>
  <c r="C273" i="1"/>
  <c r="C272" i="1"/>
  <c r="C357" i="1"/>
  <c r="C356" i="1"/>
  <c r="C355" i="1"/>
  <c r="C529" i="1"/>
  <c r="C554" i="1"/>
  <c r="C530" i="1"/>
  <c r="C420" i="1"/>
  <c r="C145" i="1"/>
  <c r="C534" i="1"/>
  <c r="C315" i="1"/>
  <c r="C14" i="1"/>
  <c r="C13" i="1"/>
  <c r="C12" i="1"/>
  <c r="C11" i="1"/>
  <c r="C10" i="1"/>
  <c r="C9" i="1"/>
  <c r="C8" i="1"/>
  <c r="C7" i="1"/>
  <c r="C22" i="1"/>
  <c r="C21" i="1"/>
  <c r="C20" i="1"/>
  <c r="C19" i="1"/>
  <c r="C18" i="1"/>
  <c r="C17" i="1"/>
  <c r="C16" i="1"/>
  <c r="C15" i="1"/>
  <c r="C271" i="1"/>
  <c r="C270" i="1"/>
  <c r="C269" i="1"/>
  <c r="C165" i="1"/>
  <c r="C164" i="1"/>
  <c r="C163" i="1"/>
  <c r="C162" i="1"/>
  <c r="C161" i="1"/>
  <c r="C160" i="1"/>
  <c r="C375" i="1"/>
  <c r="C411" i="1"/>
  <c r="C294" i="1"/>
  <c r="C551" i="1"/>
  <c r="C544" i="1"/>
  <c r="C354" i="1"/>
  <c r="C353" i="1"/>
  <c r="C352" i="1"/>
  <c r="C358" i="1"/>
  <c r="C547" i="1"/>
  <c r="C241" i="1"/>
  <c r="C240" i="1"/>
  <c r="C239" i="1"/>
  <c r="C298" i="1"/>
  <c r="C558" i="1"/>
  <c r="C351" i="1"/>
  <c r="C299" i="1"/>
  <c r="C350" i="1"/>
  <c r="C549" i="1"/>
  <c r="C106" i="1"/>
  <c r="C105" i="1"/>
  <c r="C104" i="1"/>
  <c r="C103" i="1"/>
  <c r="C102" i="1"/>
  <c r="C101" i="1"/>
  <c r="C542" i="1"/>
  <c r="C409" i="1"/>
  <c r="C238" i="1"/>
  <c r="C237" i="1"/>
  <c r="C236" i="1"/>
  <c r="C235" i="1"/>
  <c r="C234" i="1"/>
  <c r="C233" i="1"/>
  <c r="C232" i="1"/>
  <c r="C231" i="1"/>
  <c r="C230" i="1"/>
  <c r="C229" i="1"/>
  <c r="C6" i="1"/>
  <c r="C5" i="1"/>
  <c r="C4" i="1"/>
  <c r="C3" i="1"/>
  <c r="C2" i="1"/>
  <c r="C408" i="1"/>
  <c r="C68" i="1"/>
  <c r="C67" i="1"/>
  <c r="C66" i="1"/>
  <c r="C65" i="1"/>
  <c r="C127" i="1"/>
  <c r="C125" i="1"/>
</calcChain>
</file>

<file path=xl/sharedStrings.xml><?xml version="1.0" encoding="utf-8"?>
<sst xmlns="http://schemas.openxmlformats.org/spreadsheetml/2006/main" count="5999" uniqueCount="1522">
  <si>
    <t>Accession</t>
  </si>
  <si>
    <t>Morphological assignment</t>
  </si>
  <si>
    <t>A priori species</t>
  </si>
  <si>
    <t>STRUCTURE assignment</t>
  </si>
  <si>
    <t>A posteriori species</t>
  </si>
  <si>
    <t>Collector + number</t>
  </si>
  <si>
    <t>Provider acronym</t>
  </si>
  <si>
    <t>Provider identifier</t>
  </si>
  <si>
    <t>Country</t>
  </si>
  <si>
    <t>State</t>
  </si>
  <si>
    <t>County</t>
  </si>
  <si>
    <t>Latitude</t>
  </si>
  <si>
    <t>Longitude</t>
  </si>
  <si>
    <t>OS</t>
  </si>
  <si>
    <t>USA</t>
  </si>
  <si>
    <t>Jackson</t>
  </si>
  <si>
    <t>Sent directly</t>
  </si>
  <si>
    <t>NCU</t>
  </si>
  <si>
    <t>Canada</t>
  </si>
  <si>
    <t>TEX</t>
  </si>
  <si>
    <t>CO</t>
  </si>
  <si>
    <t>Heuchera alba</t>
  </si>
  <si>
    <t>MD</t>
  </si>
  <si>
    <t>Washington</t>
  </si>
  <si>
    <t>MISSA</t>
  </si>
  <si>
    <t>PA</t>
  </si>
  <si>
    <t>Bedford</t>
  </si>
  <si>
    <t>Fayette</t>
  </si>
  <si>
    <t>Fulton</t>
  </si>
  <si>
    <t>Union</t>
  </si>
  <si>
    <t>VA</t>
  </si>
  <si>
    <t>Bath</t>
  </si>
  <si>
    <t>WV</t>
  </si>
  <si>
    <t>Grant</t>
  </si>
  <si>
    <t>USDA GRIN: Ames 34945</t>
  </si>
  <si>
    <t>Morgan</t>
  </si>
  <si>
    <t>Pendleton</t>
  </si>
  <si>
    <t>Pocahontas</t>
  </si>
  <si>
    <t>Heuchera americana var. americana</t>
  </si>
  <si>
    <t>UNA</t>
  </si>
  <si>
    <t>AL</t>
  </si>
  <si>
    <t>Blount</t>
  </si>
  <si>
    <t>Calhoun</t>
  </si>
  <si>
    <t>Heuchera americana var. alabamense</t>
  </si>
  <si>
    <t>Folk A2</t>
  </si>
  <si>
    <t>MISSA034880</t>
  </si>
  <si>
    <t>Clay</t>
  </si>
  <si>
    <t>Lawrence</t>
  </si>
  <si>
    <t>Lee</t>
  </si>
  <si>
    <t>Madison</t>
  </si>
  <si>
    <t>Heuchera americana var. brevipetala</t>
  </si>
  <si>
    <t>Marion</t>
  </si>
  <si>
    <t>Randolph</t>
  </si>
  <si>
    <t>Talladega</t>
  </si>
  <si>
    <t>AR</t>
  </si>
  <si>
    <t>GA</t>
  </si>
  <si>
    <t>Burke</t>
  </si>
  <si>
    <t>Dade</t>
  </si>
  <si>
    <t>Pickens</t>
  </si>
  <si>
    <t>Screven</t>
  </si>
  <si>
    <t>Folk A6</t>
  </si>
  <si>
    <t>MISSA034509</t>
  </si>
  <si>
    <t>White</t>
  </si>
  <si>
    <t>IN</t>
  </si>
  <si>
    <t>Brown</t>
  </si>
  <si>
    <t>Athey 3076</t>
  </si>
  <si>
    <t>KY</t>
  </si>
  <si>
    <t>Bell</t>
  </si>
  <si>
    <t>Henry</t>
  </si>
  <si>
    <t>Jefferson</t>
  </si>
  <si>
    <t>Thieret 22647</t>
  </si>
  <si>
    <t>LA</t>
  </si>
  <si>
    <t>Caddo</t>
  </si>
  <si>
    <t>MS</t>
  </si>
  <si>
    <t>Tishomingo</t>
  </si>
  <si>
    <t>NC</t>
  </si>
  <si>
    <t>Durham</t>
  </si>
  <si>
    <t>McDowell</t>
  </si>
  <si>
    <t>Orange</t>
  </si>
  <si>
    <t>Engle-Wrye A57</t>
  </si>
  <si>
    <t>no voucher</t>
  </si>
  <si>
    <t>Swain</t>
  </si>
  <si>
    <t>NJ</t>
  </si>
  <si>
    <t>OH</t>
  </si>
  <si>
    <t>Heuchera richardsonii</t>
  </si>
  <si>
    <t>SC</t>
  </si>
  <si>
    <t>York</t>
  </si>
  <si>
    <t>TN</t>
  </si>
  <si>
    <t>Dickson</t>
  </si>
  <si>
    <t>Franklin</t>
  </si>
  <si>
    <t>Johnson</t>
  </si>
  <si>
    <t>Monroe</t>
  </si>
  <si>
    <t>Polk</t>
  </si>
  <si>
    <t>Sevier</t>
  </si>
  <si>
    <t>TX</t>
  </si>
  <si>
    <t>Botetourt</t>
  </si>
  <si>
    <t>Surry</t>
  </si>
  <si>
    <t>Heuchera americana var. heteradenia</t>
  </si>
  <si>
    <t>Heuchera fumosimontana</t>
  </si>
  <si>
    <t>To be processed</t>
  </si>
  <si>
    <t>Heuchera americana var. hirsuticaulis</t>
  </si>
  <si>
    <t>Heuchera hirsuticaulis</t>
  </si>
  <si>
    <t>Newton</t>
  </si>
  <si>
    <t>Pulaski</t>
  </si>
  <si>
    <t>Engle-Wrye A46</t>
  </si>
  <si>
    <t>MISSA036899</t>
  </si>
  <si>
    <t>IL</t>
  </si>
  <si>
    <t>Heuchera grayana</t>
  </si>
  <si>
    <t>Folk A9</t>
  </si>
  <si>
    <t>MISSA034515</t>
  </si>
  <si>
    <t>Warren</t>
  </si>
  <si>
    <t>Carlisle</t>
  </si>
  <si>
    <t>Edmonson</t>
  </si>
  <si>
    <t>MI</t>
  </si>
  <si>
    <t>MO</t>
  </si>
  <si>
    <t>Folk 62</t>
  </si>
  <si>
    <t>Scott</t>
  </si>
  <si>
    <t>OK</t>
  </si>
  <si>
    <t>Heuchera americana var. hispida</t>
  </si>
  <si>
    <t>Augusta</t>
  </si>
  <si>
    <t>Craig</t>
  </si>
  <si>
    <t>Patrick</t>
  </si>
  <si>
    <t>Heuchera caroliniana</t>
  </si>
  <si>
    <t>Iredell</t>
  </si>
  <si>
    <t>Stanly</t>
  </si>
  <si>
    <t>Haesloop 504</t>
  </si>
  <si>
    <t>Chester</t>
  </si>
  <si>
    <t>Lancaster</t>
  </si>
  <si>
    <t>Folk A50</t>
  </si>
  <si>
    <t>MISSA036277</t>
  </si>
  <si>
    <t>Alberta</t>
  </si>
  <si>
    <t>Lake</t>
  </si>
  <si>
    <t>Custer</t>
  </si>
  <si>
    <t>AZ</t>
  </si>
  <si>
    <t>Heuchera glomerulata</t>
  </si>
  <si>
    <t>Folk A22</t>
  </si>
  <si>
    <t>MISSA034909</t>
  </si>
  <si>
    <t>Graham</t>
  </si>
  <si>
    <t>Heuchera inconstans</t>
  </si>
  <si>
    <t>Coconino</t>
  </si>
  <si>
    <t>Heuchera longiflora var. aceroides</t>
  </si>
  <si>
    <t>Buncombe</t>
  </si>
  <si>
    <t>Haywood</t>
  </si>
  <si>
    <t>Folk L-1</t>
  </si>
  <si>
    <t>Folk L-3</t>
  </si>
  <si>
    <t>Hawkins</t>
  </si>
  <si>
    <t>Folk L-20</t>
  </si>
  <si>
    <t>Heuchera longiflora var. longiflora</t>
  </si>
  <si>
    <t>Folk L-14</t>
  </si>
  <si>
    <t>Floyd</t>
  </si>
  <si>
    <t>Folk L-6</t>
  </si>
  <si>
    <t>Wise</t>
  </si>
  <si>
    <t>Folk L-9</t>
  </si>
  <si>
    <t>Claiborne</t>
  </si>
  <si>
    <t>Floden 3208</t>
  </si>
  <si>
    <t>Logan</t>
  </si>
  <si>
    <t>Heuchera missouriensis</t>
  </si>
  <si>
    <t>Cherokee</t>
  </si>
  <si>
    <t>Pope</t>
  </si>
  <si>
    <t>Saline</t>
  </si>
  <si>
    <t>Crawford</t>
  </si>
  <si>
    <t>Engle-Wrye A37</t>
  </si>
  <si>
    <t>MISSA036880</t>
  </si>
  <si>
    <t>Butler</t>
  </si>
  <si>
    <t>Grayson</t>
  </si>
  <si>
    <t>Martin</t>
  </si>
  <si>
    <t>Macon</t>
  </si>
  <si>
    <t>Stokes</t>
  </si>
  <si>
    <t>Fentress</t>
  </si>
  <si>
    <t>Grundy</t>
  </si>
  <si>
    <t>Wayne</t>
  </si>
  <si>
    <t>El Paso</t>
  </si>
  <si>
    <t>Campbell</t>
  </si>
  <si>
    <t>Izard</t>
  </si>
  <si>
    <t>Searcy</t>
  </si>
  <si>
    <t>Stone</t>
  </si>
  <si>
    <t>Shannon</t>
  </si>
  <si>
    <t>Heuchera pubescens</t>
  </si>
  <si>
    <t>Highland</t>
  </si>
  <si>
    <t>Roanoke</t>
  </si>
  <si>
    <t>IA</t>
  </si>
  <si>
    <t>KS</t>
  </si>
  <si>
    <t>MN</t>
  </si>
  <si>
    <t>St. Louis</t>
  </si>
  <si>
    <t>Folk A15</t>
  </si>
  <si>
    <t>MISSA036290</t>
  </si>
  <si>
    <t>Camden</t>
  </si>
  <si>
    <t>ND</t>
  </si>
  <si>
    <t>richardsonii</t>
  </si>
  <si>
    <t>Folk 105</t>
  </si>
  <si>
    <t>SD</t>
  </si>
  <si>
    <t>Pennington</t>
  </si>
  <si>
    <t>Folk A16</t>
  </si>
  <si>
    <t>MISSA036549</t>
  </si>
  <si>
    <t>WS</t>
  </si>
  <si>
    <t>Sauk</t>
  </si>
  <si>
    <t>Heuchera sanguinea</t>
  </si>
  <si>
    <t>Folk A26</t>
  </si>
  <si>
    <t>MISSA036297</t>
  </si>
  <si>
    <t>MEM</t>
  </si>
  <si>
    <t>Lyon</t>
  </si>
  <si>
    <t>Faulkner</t>
  </si>
  <si>
    <t>Trigg</t>
  </si>
  <si>
    <t>Montgomery</t>
  </si>
  <si>
    <t xml:space="preserve">Heuchera villosa var. macrorhiza </t>
  </si>
  <si>
    <t>Folk A30</t>
  </si>
  <si>
    <t>MISSA036300</t>
  </si>
  <si>
    <t>Heuchera villosa var. villosa</t>
  </si>
  <si>
    <t>Folk A5</t>
  </si>
  <si>
    <t>MISSA034894</t>
  </si>
  <si>
    <t>Lumpkin</t>
  </si>
  <si>
    <t>Radford s.n.</t>
  </si>
  <si>
    <t>Alleghany</t>
  </si>
  <si>
    <t>Stewart s.n.</t>
  </si>
  <si>
    <t>Mitchell</t>
  </si>
  <si>
    <t>Rutherford</t>
  </si>
  <si>
    <t>Yancey</t>
  </si>
  <si>
    <t>Shaw s.n.</t>
  </si>
  <si>
    <t>Buckingham</t>
  </si>
  <si>
    <t>Giles</t>
  </si>
  <si>
    <t>Tazewell</t>
  </si>
  <si>
    <t>Greenbrier</t>
  </si>
  <si>
    <t>E306-2</t>
  </si>
  <si>
    <t>alba_lavender</t>
  </si>
  <si>
    <t>I173</t>
  </si>
  <si>
    <t>Vanderhorst 7485</t>
  </si>
  <si>
    <t>I174</t>
  </si>
  <si>
    <t>Byers 1570</t>
  </si>
  <si>
    <t>I178</t>
  </si>
  <si>
    <t>Streets 4090</t>
  </si>
  <si>
    <t>I67</t>
  </si>
  <si>
    <t>Folk I67</t>
  </si>
  <si>
    <t>I176</t>
  </si>
  <si>
    <t>Streets 3004</t>
  </si>
  <si>
    <t>I179</t>
  </si>
  <si>
    <t>Streets 4768</t>
  </si>
  <si>
    <t>I180</t>
  </si>
  <si>
    <t>Streets 4778</t>
  </si>
  <si>
    <t>I175</t>
  </si>
  <si>
    <t>Streets 3790</t>
  </si>
  <si>
    <t>I177</t>
  </si>
  <si>
    <t>Streets 5990</t>
  </si>
  <si>
    <t>A34-1</t>
  </si>
  <si>
    <t>Heuchera americana</t>
  </si>
  <si>
    <t>brevipetala_brown</t>
  </si>
  <si>
    <t>Engle-Wrye A34</t>
  </si>
  <si>
    <t>MISSA036922</t>
  </si>
  <si>
    <t>A34-2</t>
  </si>
  <si>
    <t>A2-3</t>
  </si>
  <si>
    <t>calycosa_yellow</t>
  </si>
  <si>
    <t>A2-4</t>
  </si>
  <si>
    <t>E1578</t>
  </si>
  <si>
    <t>Bussey 614</t>
  </si>
  <si>
    <t>NCU00181137</t>
  </si>
  <si>
    <t>A1-1</t>
  </si>
  <si>
    <t>Folk A1</t>
  </si>
  <si>
    <t>MISSA034877</t>
  </si>
  <si>
    <t>Cleburne</t>
  </si>
  <si>
    <t>A1-2</t>
  </si>
  <si>
    <t>A1-3</t>
  </si>
  <si>
    <t>A1-4</t>
  </si>
  <si>
    <t>A53-1</t>
  </si>
  <si>
    <t>Engle-Wrye A53</t>
  </si>
  <si>
    <t>A53-10</t>
  </si>
  <si>
    <t>A53-2</t>
  </si>
  <si>
    <t>A53-3</t>
  </si>
  <si>
    <t>A53-4</t>
  </si>
  <si>
    <t>A53-5</t>
  </si>
  <si>
    <t>A53-6</t>
  </si>
  <si>
    <t>A53-7</t>
  </si>
  <si>
    <t>A53-8</t>
  </si>
  <si>
    <t>A53-9</t>
  </si>
  <si>
    <t>E1579</t>
  </si>
  <si>
    <t>Orzell 9505</t>
  </si>
  <si>
    <t>NCU00181138</t>
  </si>
  <si>
    <t>E502</t>
  </si>
  <si>
    <t>A3-1</t>
  </si>
  <si>
    <t>Folk A3</t>
  </si>
  <si>
    <t>MISSA034881</t>
  </si>
  <si>
    <t>Coosa</t>
  </si>
  <si>
    <t>A3-2</t>
  </si>
  <si>
    <t>A3-3</t>
  </si>
  <si>
    <t>A3-4</t>
  </si>
  <si>
    <t>E511</t>
  </si>
  <si>
    <t>Crawford 223</t>
  </si>
  <si>
    <t>E1515</t>
  </si>
  <si>
    <t>Massey 4627</t>
  </si>
  <si>
    <t>NCU00181131</t>
  </si>
  <si>
    <t>E12</t>
  </si>
  <si>
    <t>Williams s.n.</t>
  </si>
  <si>
    <t>UNA00027468</t>
  </si>
  <si>
    <t xml:space="preserve">Jefferson </t>
  </si>
  <si>
    <t>E1516</t>
  </si>
  <si>
    <t>Lelong 4564</t>
  </si>
  <si>
    <t>NCU00181132</t>
  </si>
  <si>
    <t>E522</t>
  </si>
  <si>
    <t>McVaugh 8610</t>
  </si>
  <si>
    <t>E1</t>
  </si>
  <si>
    <t>Bowers 13612</t>
  </si>
  <si>
    <t>UNA00034487</t>
  </si>
  <si>
    <t>Shelby</t>
  </si>
  <si>
    <t>A54-1</t>
  </si>
  <si>
    <t>Engle-Wrye A54</t>
  </si>
  <si>
    <t>A54-2</t>
  </si>
  <si>
    <t>A54-3</t>
  </si>
  <si>
    <t>E509</t>
  </si>
  <si>
    <t>hirsuticaulis_red</t>
  </si>
  <si>
    <t>Shoals 30506</t>
  </si>
  <si>
    <t>E1523</t>
  </si>
  <si>
    <t>Richards 3790</t>
  </si>
  <si>
    <t>NCU00142730</t>
  </si>
  <si>
    <t>Craighead</t>
  </si>
  <si>
    <t>E1517</t>
  </si>
  <si>
    <t>hirsuticaulis_blue</t>
  </si>
  <si>
    <t>Tucker 4003</t>
  </si>
  <si>
    <t>NCU00128865</t>
  </si>
  <si>
    <t>E1518</t>
  </si>
  <si>
    <t>Merrill 1844</t>
  </si>
  <si>
    <t>NCU00128866</t>
  </si>
  <si>
    <t>E1519</t>
  </si>
  <si>
    <t>caroliniana</t>
  </si>
  <si>
    <t>Younors s.n.</t>
  </si>
  <si>
    <t>NCU00181133</t>
  </si>
  <si>
    <t>Bulloch</t>
  </si>
  <si>
    <t>E505</t>
  </si>
  <si>
    <t>Pyron 2492</t>
  </si>
  <si>
    <t>E514</t>
  </si>
  <si>
    <t>Kral 63437</t>
  </si>
  <si>
    <t>A8</t>
  </si>
  <si>
    <t>Folk A8</t>
  </si>
  <si>
    <t>MISSA036643</t>
  </si>
  <si>
    <t>Jasper</t>
  </si>
  <si>
    <t>E1581</t>
  </si>
  <si>
    <t>Hill 349</t>
  </si>
  <si>
    <t>NCU00181139</t>
  </si>
  <si>
    <t>E1542</t>
  </si>
  <si>
    <t>Park s.n.</t>
  </si>
  <si>
    <t>NCU00092992</t>
  </si>
  <si>
    <t>A4-1</t>
  </si>
  <si>
    <t>fumosimontana</t>
  </si>
  <si>
    <t>Folk A4</t>
  </si>
  <si>
    <t>MISSA034507</t>
  </si>
  <si>
    <t>A4-2</t>
  </si>
  <si>
    <t>A4-3</t>
  </si>
  <si>
    <t>A4-4</t>
  </si>
  <si>
    <t>A4-5</t>
  </si>
  <si>
    <t>A6-2</t>
  </si>
  <si>
    <t>A6-3</t>
  </si>
  <si>
    <t>A11-1</t>
  </si>
  <si>
    <t>brevipetala_pink</t>
  </si>
  <si>
    <t>Folk A11</t>
  </si>
  <si>
    <t>A11-2</t>
  </si>
  <si>
    <t>A11-3</t>
  </si>
  <si>
    <t>A11-4</t>
  </si>
  <si>
    <t>A11-5</t>
  </si>
  <si>
    <t>A11-6</t>
  </si>
  <si>
    <t>A11-7</t>
  </si>
  <si>
    <t>A11-8</t>
  </si>
  <si>
    <t>A10-1</t>
  </si>
  <si>
    <t>Folk A10</t>
  </si>
  <si>
    <t>MISSA034513</t>
  </si>
  <si>
    <t>A10-2</t>
  </si>
  <si>
    <t>A10-3</t>
  </si>
  <si>
    <t>A10-4</t>
  </si>
  <si>
    <t>A10-5</t>
  </si>
  <si>
    <t>A10-6</t>
  </si>
  <si>
    <t>A10-7</t>
  </si>
  <si>
    <t>A10-8</t>
  </si>
  <si>
    <t>E1457</t>
  </si>
  <si>
    <t>Furr 582</t>
  </si>
  <si>
    <t>NCU00180880</t>
  </si>
  <si>
    <t>E443</t>
  </si>
  <si>
    <t>A36</t>
  </si>
  <si>
    <t>Engle-Wrye A36</t>
  </si>
  <si>
    <t>MISSA036927</t>
  </si>
  <si>
    <t>E1679</t>
  </si>
  <si>
    <t>Cusick 28987</t>
  </si>
  <si>
    <t>NCU00190481</t>
  </si>
  <si>
    <t>Greenup</t>
  </si>
  <si>
    <t>E439</t>
  </si>
  <si>
    <t>Gentry 926</t>
  </si>
  <si>
    <t>E517</t>
  </si>
  <si>
    <t>Roller 1/60</t>
  </si>
  <si>
    <t>E438</t>
  </si>
  <si>
    <t>Browne 70K14.5</t>
  </si>
  <si>
    <t>E1520</t>
  </si>
  <si>
    <t>NCU00181134</t>
  </si>
  <si>
    <t>E1521</t>
  </si>
  <si>
    <t>Windler 3822</t>
  </si>
  <si>
    <t>NCU00181135</t>
  </si>
  <si>
    <t>Baltimore</t>
  </si>
  <si>
    <t>E1522</t>
  </si>
  <si>
    <t>Hickey 348</t>
  </si>
  <si>
    <t>NCU00181136</t>
  </si>
  <si>
    <t>Frederick</t>
  </si>
  <si>
    <t>A60-1</t>
  </si>
  <si>
    <t>americana_green</t>
  </si>
  <si>
    <t>Engle-Wrye A60</t>
  </si>
  <si>
    <t>Alexander</t>
  </si>
  <si>
    <t>A60-2</t>
  </si>
  <si>
    <t>A60-3</t>
  </si>
  <si>
    <t>A60-4</t>
  </si>
  <si>
    <t>E1852</t>
  </si>
  <si>
    <t>Radford 6853</t>
  </si>
  <si>
    <t>NCU00181741</t>
  </si>
  <si>
    <t>Bladen</t>
  </si>
  <si>
    <t>E1853</t>
  </si>
  <si>
    <t>McCormick s.n.</t>
  </si>
  <si>
    <t>NCU00075922</t>
  </si>
  <si>
    <t>H95</t>
  </si>
  <si>
    <t>Folk 95</t>
  </si>
  <si>
    <t>E1854</t>
  </si>
  <si>
    <t>Bradford 0011</t>
  </si>
  <si>
    <t>NCU00181746</t>
  </si>
  <si>
    <t>E1855</t>
  </si>
  <si>
    <t>Bell 11904</t>
  </si>
  <si>
    <t>NCU00180302</t>
  </si>
  <si>
    <t>Caswell</t>
  </si>
  <si>
    <t>E1856</t>
  </si>
  <si>
    <t>Crutchfield 1304</t>
  </si>
  <si>
    <t>NCU00180304</t>
  </si>
  <si>
    <t>Chatham</t>
  </si>
  <si>
    <t>A56-1</t>
  </si>
  <si>
    <t>Engle-Wrye A56</t>
  </si>
  <si>
    <t>A56-2</t>
  </si>
  <si>
    <t>A56-3</t>
  </si>
  <si>
    <t>A56-4</t>
  </si>
  <si>
    <t>A56-5</t>
  </si>
  <si>
    <t>A56-6</t>
  </si>
  <si>
    <t>A56-7</t>
  </si>
  <si>
    <t>E1857</t>
  </si>
  <si>
    <t>Ahles 57961</t>
  </si>
  <si>
    <t>NCU00180308</t>
  </si>
  <si>
    <t>E510</t>
  </si>
  <si>
    <t>Brown 2135</t>
  </si>
  <si>
    <t>E1858</t>
  </si>
  <si>
    <t>Radford 13285</t>
  </si>
  <si>
    <t>NCU00180310</t>
  </si>
  <si>
    <t>E1859</t>
  </si>
  <si>
    <t>Radford 13212</t>
  </si>
  <si>
    <t>NCU00180311</t>
  </si>
  <si>
    <t>E1860</t>
  </si>
  <si>
    <t>Radford 43889</t>
  </si>
  <si>
    <t>NCU00180312</t>
  </si>
  <si>
    <t>Granville</t>
  </si>
  <si>
    <t>E1862</t>
  </si>
  <si>
    <t>Downs 13390</t>
  </si>
  <si>
    <t>NCU00014279</t>
  </si>
  <si>
    <t>Harnett</t>
  </si>
  <si>
    <t>E1863</t>
  </si>
  <si>
    <t>Wells 3284</t>
  </si>
  <si>
    <t>NCU00181750</t>
  </si>
  <si>
    <t>E1864</t>
  </si>
  <si>
    <t>Ramseur 3329</t>
  </si>
  <si>
    <t>NCU00181749</t>
  </si>
  <si>
    <t>E1866</t>
  </si>
  <si>
    <t>Radford 5793</t>
  </si>
  <si>
    <t>NCU00181757</t>
  </si>
  <si>
    <t>Hertford</t>
  </si>
  <si>
    <t>A58-1</t>
  </si>
  <si>
    <t>Engle-Wrye A58</t>
  </si>
  <si>
    <t>A58-2</t>
  </si>
  <si>
    <t>A58-3</t>
  </si>
  <si>
    <t>A58-4</t>
  </si>
  <si>
    <t>E1868</t>
  </si>
  <si>
    <t>Stewart 405</t>
  </si>
  <si>
    <t>NCU00180318</t>
  </si>
  <si>
    <t>E1869</t>
  </si>
  <si>
    <t>Kessler 222</t>
  </si>
  <si>
    <t>NCU00180319</t>
  </si>
  <si>
    <t>E1870</t>
  </si>
  <si>
    <t>Wells 3282</t>
  </si>
  <si>
    <t>NCU00180320</t>
  </si>
  <si>
    <t>E1871</t>
  </si>
  <si>
    <t>Kessler 242</t>
  </si>
  <si>
    <t>NCU00180321</t>
  </si>
  <si>
    <t>E1872</t>
  </si>
  <si>
    <t>Wells 3283</t>
  </si>
  <si>
    <t>NCU00180322</t>
  </si>
  <si>
    <t>E1873</t>
  </si>
  <si>
    <t>NCU00180323</t>
  </si>
  <si>
    <t>E1874</t>
  </si>
  <si>
    <t>Wells 3287</t>
  </si>
  <si>
    <t>NCU00180326</t>
  </si>
  <si>
    <t>E1875</t>
  </si>
  <si>
    <t>Wells 3285</t>
  </si>
  <si>
    <t>NCU00180328</t>
  </si>
  <si>
    <t>E1876</t>
  </si>
  <si>
    <t>Treiber 425</t>
  </si>
  <si>
    <t>NCU00180331</t>
  </si>
  <si>
    <t>E1877</t>
  </si>
  <si>
    <t>Leonard 4793</t>
  </si>
  <si>
    <t>NCU00180332</t>
  </si>
  <si>
    <t>E1879</t>
  </si>
  <si>
    <t>Wells 3288</t>
  </si>
  <si>
    <t>NCU00180334</t>
  </si>
  <si>
    <t>E1880</t>
  </si>
  <si>
    <t>Ahles 43133</t>
  </si>
  <si>
    <t>NCU00180335</t>
  </si>
  <si>
    <t>E1881</t>
  </si>
  <si>
    <t>Radford 42974</t>
  </si>
  <si>
    <t>NCU00180339</t>
  </si>
  <si>
    <t>E1882</t>
  </si>
  <si>
    <t>Kessler 272</t>
  </si>
  <si>
    <t>NCU00078066</t>
  </si>
  <si>
    <t>Moore</t>
  </si>
  <si>
    <t>E1916</t>
  </si>
  <si>
    <t>Sorrie 13301</t>
  </si>
  <si>
    <t>NCU00439687</t>
  </si>
  <si>
    <t>E1883</t>
  </si>
  <si>
    <t>Ahles 11797</t>
  </si>
  <si>
    <t>NCU00180340</t>
  </si>
  <si>
    <t>Nash</t>
  </si>
  <si>
    <t>E1884</t>
  </si>
  <si>
    <t>Ahles 41790</t>
  </si>
  <si>
    <t>NCU00180341</t>
  </si>
  <si>
    <t>Northampton</t>
  </si>
  <si>
    <t>E1885</t>
  </si>
  <si>
    <t>Munch s.n.</t>
  </si>
  <si>
    <t>NCU00061747</t>
  </si>
  <si>
    <t>E1887</t>
  </si>
  <si>
    <t>Wells 3281</t>
  </si>
  <si>
    <t>NCU00180343</t>
  </si>
  <si>
    <t>E1888</t>
  </si>
  <si>
    <t>Radford 7569</t>
  </si>
  <si>
    <t>NCU00180344</t>
  </si>
  <si>
    <t>E1889</t>
  </si>
  <si>
    <t>Larke 1193</t>
  </si>
  <si>
    <t>NCU00180345</t>
  </si>
  <si>
    <t>E1893</t>
  </si>
  <si>
    <t>White s.n.</t>
  </si>
  <si>
    <t>NCU00180353</t>
  </si>
  <si>
    <t>E1894</t>
  </si>
  <si>
    <t>Wickland 904</t>
  </si>
  <si>
    <t>NCU00180357</t>
  </si>
  <si>
    <t>E1895</t>
  </si>
  <si>
    <t>Sorrie 9714</t>
  </si>
  <si>
    <t>NCU00180358</t>
  </si>
  <si>
    <t>Richmond</t>
  </si>
  <si>
    <t>E1896</t>
  </si>
  <si>
    <t>Radford 11479</t>
  </si>
  <si>
    <t>NCU00180359</t>
  </si>
  <si>
    <t>E507</t>
  </si>
  <si>
    <t>Woodbury s.n.</t>
  </si>
  <si>
    <t>E516</t>
  </si>
  <si>
    <t>A57</t>
  </si>
  <si>
    <t>E1899</t>
  </si>
  <si>
    <t>Boufford 13648</t>
  </si>
  <si>
    <t>NCU00180482</t>
  </si>
  <si>
    <t>E1900</t>
  </si>
  <si>
    <t>Ahles 56581</t>
  </si>
  <si>
    <t>NCU00180483</t>
  </si>
  <si>
    <t>Wake</t>
  </si>
  <si>
    <t>E1901</t>
  </si>
  <si>
    <t>Bell 2911</t>
  </si>
  <si>
    <t>NCU00180484</t>
  </si>
  <si>
    <t>E1902</t>
  </si>
  <si>
    <t>Downs 13696</t>
  </si>
  <si>
    <t>NCU00169493</t>
  </si>
  <si>
    <t>Wilkes</t>
  </si>
  <si>
    <t>E1903</t>
  </si>
  <si>
    <t>NCU00180488</t>
  </si>
  <si>
    <t>E1904</t>
  </si>
  <si>
    <t>Ahles 42660</t>
  </si>
  <si>
    <t>NCU00180490</t>
  </si>
  <si>
    <t>E1682</t>
  </si>
  <si>
    <t>Wells 3298</t>
  </si>
  <si>
    <t>NCU00196308</t>
  </si>
  <si>
    <t>Hunterdon</t>
  </si>
  <si>
    <t>I2</t>
  </si>
  <si>
    <t>Folk I2</t>
  </si>
  <si>
    <t>Defiance</t>
  </si>
  <si>
    <t>H246</t>
  </si>
  <si>
    <t>Folk 246</t>
  </si>
  <si>
    <t>Delaware</t>
  </si>
  <si>
    <t>E1683</t>
  </si>
  <si>
    <t>Cusick 596</t>
  </si>
  <si>
    <t>NCU00196316</t>
  </si>
  <si>
    <t>H71</t>
  </si>
  <si>
    <t>Folk 71</t>
  </si>
  <si>
    <t>E1684</t>
  </si>
  <si>
    <t>Cusick 7568</t>
  </si>
  <si>
    <t>NCU00196317</t>
  </si>
  <si>
    <t>E1685</t>
  </si>
  <si>
    <t>Cusick 7961</t>
  </si>
  <si>
    <t>NCU00196318</t>
  </si>
  <si>
    <t>Noble</t>
  </si>
  <si>
    <t>E1686</t>
  </si>
  <si>
    <t>Cooperrider 6745</t>
  </si>
  <si>
    <t>NCU00196319</t>
  </si>
  <si>
    <t>Portage</t>
  </si>
  <si>
    <t>E1709</t>
  </si>
  <si>
    <t>O'Dell 276</t>
  </si>
  <si>
    <t>NCU00196806</t>
  </si>
  <si>
    <t>Vinton</t>
  </si>
  <si>
    <t>E1687</t>
  </si>
  <si>
    <t>Ziegler 371</t>
  </si>
  <si>
    <t>NCU00196320</t>
  </si>
  <si>
    <t>McCurtain</t>
  </si>
  <si>
    <t>E523</t>
  </si>
  <si>
    <t>Bright 15210</t>
  </si>
  <si>
    <t>Allegheny</t>
  </si>
  <si>
    <t>E1688</t>
  </si>
  <si>
    <t>Wells 3299</t>
  </si>
  <si>
    <t>NCU00196310</t>
  </si>
  <si>
    <t>Bucks</t>
  </si>
  <si>
    <t>E1689</t>
  </si>
  <si>
    <t>Krouse s.n.</t>
  </si>
  <si>
    <t>NCU00196312</t>
  </si>
  <si>
    <t>E1690</t>
  </si>
  <si>
    <t>Wells 3297</t>
  </si>
  <si>
    <t>NCU00196313</t>
  </si>
  <si>
    <t>E1691</t>
  </si>
  <si>
    <t>Utech 82-188</t>
  </si>
  <si>
    <t>NCU00196315</t>
  </si>
  <si>
    <t>Westmoreland</t>
  </si>
  <si>
    <t>A7-1</t>
  </si>
  <si>
    <t>Folk A7</t>
  </si>
  <si>
    <t>Abbeville</t>
  </si>
  <si>
    <t>A7-2</t>
  </si>
  <si>
    <t>A7-3</t>
  </si>
  <si>
    <t>A7-4</t>
  </si>
  <si>
    <t>E1415</t>
  </si>
  <si>
    <t>Radford 220808</t>
  </si>
  <si>
    <t>NCU00180859</t>
  </si>
  <si>
    <t>E1416</t>
  </si>
  <si>
    <t>Ahles 56273</t>
  </si>
  <si>
    <t>NCU00180860</t>
  </si>
  <si>
    <t>Aiken</t>
  </si>
  <si>
    <t>E1419</t>
  </si>
  <si>
    <t>Nelson 7394</t>
  </si>
  <si>
    <t>NCU00180863</t>
  </si>
  <si>
    <t>E1420</t>
  </si>
  <si>
    <t>Haesloop 26792</t>
  </si>
  <si>
    <t>NCU00180864</t>
  </si>
  <si>
    <t>E1421</t>
  </si>
  <si>
    <t>Leonard 4250</t>
  </si>
  <si>
    <t>NCU00180865</t>
  </si>
  <si>
    <t>Dorchester</t>
  </si>
  <si>
    <t>E1422</t>
  </si>
  <si>
    <t>Radford 22536</t>
  </si>
  <si>
    <t>NCU00180866</t>
  </si>
  <si>
    <t>Edgefield</t>
  </si>
  <si>
    <t>E1423</t>
  </si>
  <si>
    <t>Bell 7189</t>
  </si>
  <si>
    <t>NCU00180867</t>
  </si>
  <si>
    <t>Fairfield</t>
  </si>
  <si>
    <t>E1426</t>
  </si>
  <si>
    <t>Radford 22388</t>
  </si>
  <si>
    <t>NCU00180851</t>
  </si>
  <si>
    <t>McCormick</t>
  </si>
  <si>
    <t>E519</t>
  </si>
  <si>
    <t>Moldenke 27000</t>
  </si>
  <si>
    <t>E1427</t>
  </si>
  <si>
    <t>Bell 7024</t>
  </si>
  <si>
    <t>NCU00180852</t>
  </si>
  <si>
    <t>Newberry</t>
  </si>
  <si>
    <t>E36</t>
  </si>
  <si>
    <t>Horn 1644</t>
  </si>
  <si>
    <t>UNA00014678</t>
  </si>
  <si>
    <t>E1429</t>
  </si>
  <si>
    <t>Knox 100</t>
  </si>
  <si>
    <t>NCU00180854</t>
  </si>
  <si>
    <t>E1430</t>
  </si>
  <si>
    <t>Freeman 57187</t>
  </si>
  <si>
    <t>NCU00180855</t>
  </si>
  <si>
    <t>E1432</t>
  </si>
  <si>
    <t>Bell 8451</t>
  </si>
  <si>
    <t>NCU00180857</t>
  </si>
  <si>
    <t>E518</t>
  </si>
  <si>
    <t>Moldenke 27133</t>
  </si>
  <si>
    <t>E524</t>
  </si>
  <si>
    <t>McNeilus 97-384</t>
  </si>
  <si>
    <t>E1469</t>
  </si>
  <si>
    <t>Furr 586</t>
  </si>
  <si>
    <t>NCU00180898</t>
  </si>
  <si>
    <t>E1470</t>
  </si>
  <si>
    <t>Sharp 23198</t>
  </si>
  <si>
    <t>NCU00180897</t>
  </si>
  <si>
    <t>Coffee</t>
  </si>
  <si>
    <t>E440</t>
  </si>
  <si>
    <t>Bates 2064</t>
  </si>
  <si>
    <t>Decatur</t>
  </si>
  <si>
    <t>A34-10</t>
  </si>
  <si>
    <t>A34-3</t>
  </si>
  <si>
    <t>A34-4</t>
  </si>
  <si>
    <t>A34-5</t>
  </si>
  <si>
    <t>A34-6</t>
  </si>
  <si>
    <t>A34-7</t>
  </si>
  <si>
    <t>A34-8</t>
  </si>
  <si>
    <t>A34-9</t>
  </si>
  <si>
    <t>A35-1</t>
  </si>
  <si>
    <t>Engle-Wrye A35</t>
  </si>
  <si>
    <t>MISSA036903</t>
  </si>
  <si>
    <t>A35-10</t>
  </si>
  <si>
    <t>MISSA036892</t>
  </si>
  <si>
    <t>A35-2</t>
  </si>
  <si>
    <t>A35-3</t>
  </si>
  <si>
    <t>A35-4</t>
  </si>
  <si>
    <t>A35-5</t>
  </si>
  <si>
    <t>A35-6</t>
  </si>
  <si>
    <t>A35-7</t>
  </si>
  <si>
    <t>A35-8</t>
  </si>
  <si>
    <t>A35-9</t>
  </si>
  <si>
    <t>A33-1</t>
  </si>
  <si>
    <t>Engle-Wrye A33</t>
  </si>
  <si>
    <t>MISSA036890</t>
  </si>
  <si>
    <t>A33-3</t>
  </si>
  <si>
    <t>A33-4</t>
  </si>
  <si>
    <t>A33-5</t>
  </si>
  <si>
    <t>A33-6</t>
  </si>
  <si>
    <t>A33-2</t>
  </si>
  <si>
    <t>E1472</t>
  </si>
  <si>
    <t>NCU00439719</t>
  </si>
  <si>
    <t>E1473</t>
  </si>
  <si>
    <t>Lazell s.n.</t>
  </si>
  <si>
    <t>NCU00180894</t>
  </si>
  <si>
    <t>E1474</t>
  </si>
  <si>
    <t>Furr 337</t>
  </si>
  <si>
    <t>NCU00180900</t>
  </si>
  <si>
    <t>Grainger</t>
  </si>
  <si>
    <t>E515</t>
  </si>
  <si>
    <t>Wofford 96-38</t>
  </si>
  <si>
    <t>E1475</t>
  </si>
  <si>
    <t>Clark 1760</t>
  </si>
  <si>
    <t>NCU00181081</t>
  </si>
  <si>
    <t>E1476</t>
  </si>
  <si>
    <t>Furr 366</t>
  </si>
  <si>
    <t>NCU00181082</t>
  </si>
  <si>
    <t>E1477</t>
  </si>
  <si>
    <t>Wells 3286</t>
  </si>
  <si>
    <t>NCU00181083</t>
  </si>
  <si>
    <t>E1482</t>
  </si>
  <si>
    <t>Hess 1150</t>
  </si>
  <si>
    <t>NCU00181090</t>
  </si>
  <si>
    <t>E1544</t>
  </si>
  <si>
    <t>NCU00439730</t>
  </si>
  <si>
    <t>E1486</t>
  </si>
  <si>
    <t>Furr 292</t>
  </si>
  <si>
    <t>NCU00181093</t>
  </si>
  <si>
    <t>E1692</t>
  </si>
  <si>
    <t>Correll 37142</t>
  </si>
  <si>
    <t>NCU00196493</t>
  </si>
  <si>
    <t>Bowie</t>
  </si>
  <si>
    <t>E490</t>
  </si>
  <si>
    <t>Holmes 10831</t>
  </si>
  <si>
    <t>E491</t>
  </si>
  <si>
    <t>E492</t>
  </si>
  <si>
    <t>Correll 31281</t>
  </si>
  <si>
    <t>I20</t>
  </si>
  <si>
    <t>Folk I20</t>
  </si>
  <si>
    <t>Albemarle</t>
  </si>
  <si>
    <t>E506</t>
  </si>
  <si>
    <t>Moldenke 30033</t>
  </si>
  <si>
    <t>Amelia</t>
  </si>
  <si>
    <t>E1490</t>
  </si>
  <si>
    <t>Wells 3292</t>
  </si>
  <si>
    <t>NCU00181097</t>
  </si>
  <si>
    <t>E1491</t>
  </si>
  <si>
    <t>Kirkland 23220</t>
  </si>
  <si>
    <t>NCU00181098</t>
  </si>
  <si>
    <t>Brunswick</t>
  </si>
  <si>
    <t>E1492</t>
  </si>
  <si>
    <t>Ramsey 7535</t>
  </si>
  <si>
    <t>NCU00181099</t>
  </si>
  <si>
    <t>E1493</t>
  </si>
  <si>
    <t>Howell 16501</t>
  </si>
  <si>
    <t>NCU00181100</t>
  </si>
  <si>
    <t>E1494</t>
  </si>
  <si>
    <t>Ware 4210</t>
  </si>
  <si>
    <t>NCU00181101</t>
  </si>
  <si>
    <t>Charles City</t>
  </si>
  <si>
    <t>E1495</t>
  </si>
  <si>
    <t>Bradley 6826</t>
  </si>
  <si>
    <t>NCU00181104</t>
  </si>
  <si>
    <t>Fairfax</t>
  </si>
  <si>
    <t>E1496</t>
  </si>
  <si>
    <t>Diggs 226</t>
  </si>
  <si>
    <t>NCU00181105</t>
  </si>
  <si>
    <t>Fluvanna</t>
  </si>
  <si>
    <t>E1498</t>
  </si>
  <si>
    <t>Wells 3363</t>
  </si>
  <si>
    <t>NCU00181107</t>
  </si>
  <si>
    <t>E1499</t>
  </si>
  <si>
    <t>Kimsey 122</t>
  </si>
  <si>
    <t>NCU00181108</t>
  </si>
  <si>
    <t>Goochland</t>
  </si>
  <si>
    <t>E1500</t>
  </si>
  <si>
    <t>Massey 4014</t>
  </si>
  <si>
    <t>NCU00181111</t>
  </si>
  <si>
    <t>Halifax</t>
  </si>
  <si>
    <t>E1501</t>
  </si>
  <si>
    <t>Ramsey 4173</t>
  </si>
  <si>
    <t>NCU00181109</t>
  </si>
  <si>
    <t>E1502</t>
  </si>
  <si>
    <t>Boufford 13886</t>
  </si>
  <si>
    <t>NCU00181110</t>
  </si>
  <si>
    <t>E1503</t>
  </si>
  <si>
    <t>Wells 3291</t>
  </si>
  <si>
    <t>NCU00181113</t>
  </si>
  <si>
    <t>Hanover</t>
  </si>
  <si>
    <t>E1505</t>
  </si>
  <si>
    <t>Wells 3294</t>
  </si>
  <si>
    <t>NCU00181116</t>
  </si>
  <si>
    <t>Isle of Wright</t>
  </si>
  <si>
    <t>E1506</t>
  </si>
  <si>
    <t>Borans 201</t>
  </si>
  <si>
    <t>NCU00181118</t>
  </si>
  <si>
    <t>James City</t>
  </si>
  <si>
    <t>E1507</t>
  </si>
  <si>
    <t>Gillespie 635</t>
  </si>
  <si>
    <t>NCU00181122</t>
  </si>
  <si>
    <t>New Kent</t>
  </si>
  <si>
    <t>E1508</t>
  </si>
  <si>
    <t>Mikula 5348</t>
  </si>
  <si>
    <t>NCU00181123</t>
  </si>
  <si>
    <t>Page</t>
  </si>
  <si>
    <t>E1510</t>
  </si>
  <si>
    <t>Corcoran 296</t>
  </si>
  <si>
    <t>NCU00181126</t>
  </si>
  <si>
    <t>Powhatan</t>
  </si>
  <si>
    <t>E1504</t>
  </si>
  <si>
    <t>Dougherty s.n.</t>
  </si>
  <si>
    <t>NCU00181115</t>
  </si>
  <si>
    <t>Richmond City</t>
  </si>
  <si>
    <t>E1512</t>
  </si>
  <si>
    <t>Wells 3295</t>
  </si>
  <si>
    <t>NCU00181128</t>
  </si>
  <si>
    <t>E1513</t>
  </si>
  <si>
    <t>Fur 439</t>
  </si>
  <si>
    <t>NCU00181129</t>
  </si>
  <si>
    <t>E1514</t>
  </si>
  <si>
    <t>Salle 324</t>
  </si>
  <si>
    <t>NCU00181130</t>
  </si>
  <si>
    <t>A28-1</t>
  </si>
  <si>
    <t xml:space="preserve">Heuchera americana var. americana </t>
  </si>
  <si>
    <t>Folk A28</t>
  </si>
  <si>
    <t>MISSA036285</t>
  </si>
  <si>
    <t>A28-2</t>
  </si>
  <si>
    <t>A28-3</t>
  </si>
  <si>
    <t>A28-4</t>
  </si>
  <si>
    <t>A28-5</t>
  </si>
  <si>
    <t>A28-6</t>
  </si>
  <si>
    <t>A28-7</t>
  </si>
  <si>
    <t>A28-8</t>
  </si>
  <si>
    <t>A28-9</t>
  </si>
  <si>
    <t>A29-1</t>
  </si>
  <si>
    <t>Folk A29</t>
  </si>
  <si>
    <t>MISSA036878</t>
  </si>
  <si>
    <t>A29-10</t>
  </si>
  <si>
    <t>MISSA036902</t>
  </si>
  <si>
    <t>A29-2</t>
  </si>
  <si>
    <t>A29-3</t>
  </si>
  <si>
    <t>A29-4</t>
  </si>
  <si>
    <t>A29-5</t>
  </si>
  <si>
    <t>A29-6</t>
  </si>
  <si>
    <t>A29-7</t>
  </si>
  <si>
    <t>A29-8</t>
  </si>
  <si>
    <t>A29-9</t>
  </si>
  <si>
    <t>E1541</t>
  </si>
  <si>
    <t>Parrish 40</t>
  </si>
  <si>
    <t>NCU00092996</t>
  </si>
  <si>
    <t>A55-1</t>
  </si>
  <si>
    <t>Folk A55</t>
  </si>
  <si>
    <t>MISSA037100</t>
  </si>
  <si>
    <t>A55-2</t>
  </si>
  <si>
    <t>A55-3</t>
  </si>
  <si>
    <t>A55-4</t>
  </si>
  <si>
    <t>A55-5</t>
  </si>
  <si>
    <t>A55-6</t>
  </si>
  <si>
    <t>A62-1</t>
  </si>
  <si>
    <t>Engle-Wrye A62</t>
  </si>
  <si>
    <t>MISSA037106</t>
  </si>
  <si>
    <t>A62-2</t>
  </si>
  <si>
    <t>A62-3</t>
  </si>
  <si>
    <t>A63-1</t>
  </si>
  <si>
    <t>Engle-Wrye A63</t>
  </si>
  <si>
    <t>MISSA037105</t>
  </si>
  <si>
    <t>A63-10</t>
  </si>
  <si>
    <t>A63-2</t>
  </si>
  <si>
    <t>A63-3</t>
  </si>
  <si>
    <t>A63-4</t>
  </si>
  <si>
    <t>A63-5</t>
  </si>
  <si>
    <t>A63-6</t>
  </si>
  <si>
    <t>A63-7</t>
  </si>
  <si>
    <t>A63-8</t>
  </si>
  <si>
    <t>A63-9</t>
  </si>
  <si>
    <t>E1524</t>
  </si>
  <si>
    <t>Demaree 33248</t>
  </si>
  <si>
    <t>NCU00092970</t>
  </si>
  <si>
    <t>A49-1</t>
  </si>
  <si>
    <t>Engle-Wrye A49</t>
  </si>
  <si>
    <t>MISSA036921</t>
  </si>
  <si>
    <t>A49-10</t>
  </si>
  <si>
    <t>MISSA036901</t>
  </si>
  <si>
    <t>A49-11</t>
  </si>
  <si>
    <t>MISSA036895</t>
  </si>
  <si>
    <t>A49-12</t>
  </si>
  <si>
    <t>A49-2</t>
  </si>
  <si>
    <t>A49-3</t>
  </si>
  <si>
    <t>A49-4</t>
  </si>
  <si>
    <t>A49-5</t>
  </si>
  <si>
    <t>A49-6</t>
  </si>
  <si>
    <t>A49-7</t>
  </si>
  <si>
    <t>A49-8</t>
  </si>
  <si>
    <t>A49-9</t>
  </si>
  <si>
    <t>E501</t>
  </si>
  <si>
    <t>Kral 59876</t>
  </si>
  <si>
    <t>E1525</t>
  </si>
  <si>
    <t>Demaree 5138</t>
  </si>
  <si>
    <t>NCU00092973</t>
  </si>
  <si>
    <t>E1526</t>
  </si>
  <si>
    <t>Stephens 10575</t>
  </si>
  <si>
    <t>NCU00092972</t>
  </si>
  <si>
    <t>E1527</t>
  </si>
  <si>
    <t>Hardin 634</t>
  </si>
  <si>
    <t>NCU00092971</t>
  </si>
  <si>
    <t>E521</t>
  </si>
  <si>
    <t>E499</t>
  </si>
  <si>
    <t>Kral 67083</t>
  </si>
  <si>
    <t>Garland</t>
  </si>
  <si>
    <t>E500</t>
  </si>
  <si>
    <t>Krall 61777</t>
  </si>
  <si>
    <t>Howard</t>
  </si>
  <si>
    <t>E1580</t>
  </si>
  <si>
    <t>Lipscomb 1564</t>
  </si>
  <si>
    <t>NCU00128864</t>
  </si>
  <si>
    <t>E1529</t>
  </si>
  <si>
    <t>Iltis 5477</t>
  </si>
  <si>
    <t>NCU00092974</t>
  </si>
  <si>
    <t>A48</t>
  </si>
  <si>
    <t>Engle-Wrye A48</t>
  </si>
  <si>
    <t>MISSA036883</t>
  </si>
  <si>
    <t>E1531</t>
  </si>
  <si>
    <t>Hawkins 385</t>
  </si>
  <si>
    <t>NCU00142731</t>
  </si>
  <si>
    <t>E1532</t>
  </si>
  <si>
    <t>Furr 649</t>
  </si>
  <si>
    <t>NCU00092977</t>
  </si>
  <si>
    <t>E1533</t>
  </si>
  <si>
    <t>Redfearn 31682</t>
  </si>
  <si>
    <t>NCU00128867</t>
  </si>
  <si>
    <t>E1534</t>
  </si>
  <si>
    <t>Demaree 49855</t>
  </si>
  <si>
    <t>NCU00092978</t>
  </si>
  <si>
    <t>Van Buren</t>
  </si>
  <si>
    <t>A45-1</t>
  </si>
  <si>
    <t>Engle-Wrye A45</t>
  </si>
  <si>
    <t>MISSA036897</t>
  </si>
  <si>
    <t>A45-10</t>
  </si>
  <si>
    <t>A45-2</t>
  </si>
  <si>
    <t>A45-3</t>
  </si>
  <si>
    <t>A45-4</t>
  </si>
  <si>
    <t>A45-5</t>
  </si>
  <si>
    <t>A45-6</t>
  </si>
  <si>
    <t>A45-7</t>
  </si>
  <si>
    <t>A45-8</t>
  </si>
  <si>
    <t>A45-9</t>
  </si>
  <si>
    <t>A46-1</t>
  </si>
  <si>
    <t>MISSA036920</t>
  </si>
  <si>
    <t>A46-2</t>
  </si>
  <si>
    <t>MISSA036924</t>
  </si>
  <si>
    <t>A46-3</t>
  </si>
  <si>
    <t>A46-4</t>
  </si>
  <si>
    <t>A46-5</t>
  </si>
  <si>
    <t>A46-6</t>
  </si>
  <si>
    <t>A46-7</t>
  </si>
  <si>
    <t>A46-8</t>
  </si>
  <si>
    <t>A47-1</t>
  </si>
  <si>
    <t>Engle-Wrye A47</t>
  </si>
  <si>
    <t>MISSA036915</t>
  </si>
  <si>
    <t>A47-2</t>
  </si>
  <si>
    <t>MISSA036914</t>
  </si>
  <si>
    <t>A47-3</t>
  </si>
  <si>
    <t>MISSA036896</t>
  </si>
  <si>
    <t>A47-4</t>
  </si>
  <si>
    <t>A47-5</t>
  </si>
  <si>
    <t>MISSA036918</t>
  </si>
  <si>
    <t>E1535</t>
  </si>
  <si>
    <t>Hughes 76</t>
  </si>
  <si>
    <t>NCU00092981</t>
  </si>
  <si>
    <t>E498</t>
  </si>
  <si>
    <t>D'Arcy 4497</t>
  </si>
  <si>
    <t>Yell</t>
  </si>
  <si>
    <t>E1693</t>
  </si>
  <si>
    <t>Furr 592</t>
  </si>
  <si>
    <t>NCU00196495</t>
  </si>
  <si>
    <t>E1680</t>
  </si>
  <si>
    <t>Ugent 81-70</t>
  </si>
  <si>
    <t>NCU00196305</t>
  </si>
  <si>
    <t>E1694</t>
  </si>
  <si>
    <t>Winterringer 901</t>
  </si>
  <si>
    <t>NCU00196496</t>
  </si>
  <si>
    <t>Hardin</t>
  </si>
  <si>
    <t>A14</t>
  </si>
  <si>
    <t>Folk A14</t>
  </si>
  <si>
    <t>MISSA036286</t>
  </si>
  <si>
    <t>Jersey</t>
  </si>
  <si>
    <t>E1697</t>
  </si>
  <si>
    <t>Bollwinkel FC 124</t>
  </si>
  <si>
    <t>NCU00196500</t>
  </si>
  <si>
    <t>E1698</t>
  </si>
  <si>
    <t>Neill 15228</t>
  </si>
  <si>
    <t>NCU00196550</t>
  </si>
  <si>
    <t>Saint Clair</t>
  </si>
  <si>
    <t>A13-1</t>
  </si>
  <si>
    <t>Folk A13</t>
  </si>
  <si>
    <t>MISSA036288</t>
  </si>
  <si>
    <t>A13-2</t>
  </si>
  <si>
    <t>A13-3</t>
  </si>
  <si>
    <t>A13-4</t>
  </si>
  <si>
    <t>A13-5</t>
  </si>
  <si>
    <t>A13-6</t>
  </si>
  <si>
    <t>A13-7</t>
  </si>
  <si>
    <t>A13-8</t>
  </si>
  <si>
    <t>A13-9</t>
  </si>
  <si>
    <t>A40</t>
  </si>
  <si>
    <t>Engle-Wrye A40</t>
  </si>
  <si>
    <t>MISSA036919</t>
  </si>
  <si>
    <t>A40-2</t>
  </si>
  <si>
    <t>MISSA036893</t>
  </si>
  <si>
    <t>A40-3</t>
  </si>
  <si>
    <t>H177-2</t>
  </si>
  <si>
    <t>Folk 177</t>
  </si>
  <si>
    <t>E1699</t>
  </si>
  <si>
    <t>Bartlett 2109</t>
  </si>
  <si>
    <t>NCU00196551</t>
  </si>
  <si>
    <t>E1702</t>
  </si>
  <si>
    <t>Wells 3306</t>
  </si>
  <si>
    <t>NCU00196555</t>
  </si>
  <si>
    <t>E1703</t>
  </si>
  <si>
    <t>Wells 3303</t>
  </si>
  <si>
    <t>NCU00196556</t>
  </si>
  <si>
    <t>A9-1</t>
  </si>
  <si>
    <t>grayana_orange</t>
  </si>
  <si>
    <t>A9-3</t>
  </si>
  <si>
    <t>A9-4</t>
  </si>
  <si>
    <t>E1459</t>
  </si>
  <si>
    <t>Wilson 234</t>
  </si>
  <si>
    <t>NCU00180881</t>
  </si>
  <si>
    <t>E1536</t>
  </si>
  <si>
    <t>Wells 3301</t>
  </si>
  <si>
    <t>NCU00092986</t>
  </si>
  <si>
    <t>E1537</t>
  </si>
  <si>
    <t>Windler 2497</t>
  </si>
  <si>
    <t>NCU00092991</t>
  </si>
  <si>
    <t>Livingston</t>
  </si>
  <si>
    <t>A38-1</t>
  </si>
  <si>
    <t>Engle-Wrye A38</t>
  </si>
  <si>
    <t>MISSA036910</t>
  </si>
  <si>
    <t>A38-2</t>
  </si>
  <si>
    <t>MISSA036909</t>
  </si>
  <si>
    <t>E1538</t>
  </si>
  <si>
    <t>Ellis 01089</t>
  </si>
  <si>
    <t>NCU00092982</t>
  </si>
  <si>
    <t>A39-1</t>
  </si>
  <si>
    <t>Engle-Wrye A39</t>
  </si>
  <si>
    <t>MISSA036894</t>
  </si>
  <si>
    <t>A39-10</t>
  </si>
  <si>
    <t>A39-11</t>
  </si>
  <si>
    <t>A39-2</t>
  </si>
  <si>
    <t>A39-3</t>
  </si>
  <si>
    <t>A39-4</t>
  </si>
  <si>
    <t>A39-5</t>
  </si>
  <si>
    <t>A39-6</t>
  </si>
  <si>
    <t>A39-7</t>
  </si>
  <si>
    <t>A39-8</t>
  </si>
  <si>
    <t>A39-9</t>
  </si>
  <si>
    <t>E1539</t>
  </si>
  <si>
    <t>Ellis 01338</t>
  </si>
  <si>
    <t>NCU00092987</t>
  </si>
  <si>
    <t>E1540</t>
  </si>
  <si>
    <t>Ellis 01393</t>
  </si>
  <si>
    <t>NCU00092983</t>
  </si>
  <si>
    <t>E1704</t>
  </si>
  <si>
    <t>Furr 594</t>
  </si>
  <si>
    <t>NCU00196559</t>
  </si>
  <si>
    <t>Boone</t>
  </si>
  <si>
    <t>E1681</t>
  </si>
  <si>
    <t>Raven 27489</t>
  </si>
  <si>
    <t>NCU00196306</t>
  </si>
  <si>
    <t>E503</t>
  </si>
  <si>
    <t>E513</t>
  </si>
  <si>
    <t>Randrianaivo 423</t>
  </si>
  <si>
    <t>Saint Genevieve</t>
  </si>
  <si>
    <t>E1707</t>
  </si>
  <si>
    <t>Dorr 387</t>
  </si>
  <si>
    <t>NCU00196803</t>
  </si>
  <si>
    <t>Saint Louis</t>
  </si>
  <si>
    <t>H62-1</t>
  </si>
  <si>
    <t>H62-2</t>
  </si>
  <si>
    <t>H62-4</t>
  </si>
  <si>
    <t>H62-5</t>
  </si>
  <si>
    <t>H62-6</t>
  </si>
  <si>
    <t>E1705</t>
  </si>
  <si>
    <t>Furr 668</t>
  </si>
  <si>
    <t>NCU00196801</t>
  </si>
  <si>
    <t>E1706</t>
  </si>
  <si>
    <t>Redfearn 27414</t>
  </si>
  <si>
    <t>NCU00196802</t>
  </si>
  <si>
    <t>H59-2</t>
  </si>
  <si>
    <t>Folk 59</t>
  </si>
  <si>
    <t>E1708</t>
  </si>
  <si>
    <t>Furr 665</t>
  </si>
  <si>
    <t>NCU00196804</t>
  </si>
  <si>
    <t>Taney</t>
  </si>
  <si>
    <t>A41-1</t>
  </si>
  <si>
    <t>Engle-Wrye A41</t>
  </si>
  <si>
    <t>MISSA036925</t>
  </si>
  <si>
    <t>A41-2</t>
  </si>
  <si>
    <t>MISSA036888</t>
  </si>
  <si>
    <t>A41-3</t>
  </si>
  <si>
    <t>MISSA036911</t>
  </si>
  <si>
    <t>E1711</t>
  </si>
  <si>
    <t>Wallis 6790-1</t>
  </si>
  <si>
    <t>NCU00196808</t>
  </si>
  <si>
    <t>Sequoyah</t>
  </si>
  <si>
    <t>E441</t>
  </si>
  <si>
    <t>Bates 1758</t>
  </si>
  <si>
    <t>Hardeman</t>
  </si>
  <si>
    <t>E442</t>
  </si>
  <si>
    <t>Bates 2205</t>
  </si>
  <si>
    <t>McNairy</t>
  </si>
  <si>
    <t>E1543</t>
  </si>
  <si>
    <t>Clebsch s.n.</t>
  </si>
  <si>
    <t>NCU00092988</t>
  </si>
  <si>
    <t>A31</t>
  </si>
  <si>
    <t xml:space="preserve">Heuchera americana var. hirsuticaulis </t>
  </si>
  <si>
    <t>Engle-Wrye A31</t>
  </si>
  <si>
    <t>No voucher</t>
  </si>
  <si>
    <t>Panola</t>
  </si>
  <si>
    <t>A32-1</t>
  </si>
  <si>
    <t>Engle-Wrye A32</t>
  </si>
  <si>
    <t>MISSA036889</t>
  </si>
  <si>
    <t>A32-10</t>
  </si>
  <si>
    <t>A32-2</t>
  </si>
  <si>
    <t>MISSA036882</t>
  </si>
  <si>
    <t>A32-3</t>
  </si>
  <si>
    <t>A32-4</t>
  </si>
  <si>
    <t>A32-5</t>
  </si>
  <si>
    <t>A32-6</t>
  </si>
  <si>
    <t>A32-7</t>
  </si>
  <si>
    <t>A32-8</t>
  </si>
  <si>
    <t>A32-9</t>
  </si>
  <si>
    <t>E1573</t>
  </si>
  <si>
    <t>Downs 3488</t>
  </si>
  <si>
    <t>NCU00196809</t>
  </si>
  <si>
    <t>E1926</t>
  </si>
  <si>
    <t>Poindexter 08-460</t>
  </si>
  <si>
    <t>NCU00128800</t>
  </si>
  <si>
    <t>E1927</t>
  </si>
  <si>
    <t>Poindexter 08-350</t>
  </si>
  <si>
    <t>NCU00128901</t>
  </si>
  <si>
    <t>A59-1</t>
  </si>
  <si>
    <t>Engle-Wrye A59</t>
  </si>
  <si>
    <t>MISSA037098</t>
  </si>
  <si>
    <t>A59-2</t>
  </si>
  <si>
    <t>A59-3</t>
  </si>
  <si>
    <t>A59-4</t>
  </si>
  <si>
    <t>A59-5</t>
  </si>
  <si>
    <t>A59-6</t>
  </si>
  <si>
    <t>A59-7</t>
  </si>
  <si>
    <t>A59-8</t>
  </si>
  <si>
    <t>A59-9</t>
  </si>
  <si>
    <t>E1928</t>
  </si>
  <si>
    <t>Radford 13141</t>
  </si>
  <si>
    <t>NCU00180492</t>
  </si>
  <si>
    <t>E1546</t>
  </si>
  <si>
    <t>Sharp 319</t>
  </si>
  <si>
    <t>NCU00045132</t>
  </si>
  <si>
    <t>E1547</t>
  </si>
  <si>
    <t>Freer 3943</t>
  </si>
  <si>
    <t>NCU00045133</t>
  </si>
  <si>
    <t>E1548</t>
  </si>
  <si>
    <t>Freer 1564</t>
  </si>
  <si>
    <t>NCU00045134</t>
  </si>
  <si>
    <t>E1549</t>
  </si>
  <si>
    <t>Furr 497</t>
  </si>
  <si>
    <t>NCU00045135</t>
  </si>
  <si>
    <t>E1550</t>
  </si>
  <si>
    <t>Furr 484</t>
  </si>
  <si>
    <t>NCU00045136</t>
  </si>
  <si>
    <t>E1551</t>
  </si>
  <si>
    <t>Fernald 1596</t>
  </si>
  <si>
    <t>NCU00045137</t>
  </si>
  <si>
    <t>E1552</t>
  </si>
  <si>
    <t>Wells 3313</t>
  </si>
  <si>
    <t>NCU00045138</t>
  </si>
  <si>
    <t>E1553</t>
  </si>
  <si>
    <t>Furr 480</t>
  </si>
  <si>
    <t>NCU00045139</t>
  </si>
  <si>
    <t>E1554</t>
  </si>
  <si>
    <t>Furr 474</t>
  </si>
  <si>
    <t>NCU00045140</t>
  </si>
  <si>
    <t>E1556</t>
  </si>
  <si>
    <t>Hawill 14127</t>
  </si>
  <si>
    <t>NCU00045142</t>
  </si>
  <si>
    <t>E1557</t>
  </si>
  <si>
    <t>Wells 3293</t>
  </si>
  <si>
    <t>NCU00045143</t>
  </si>
  <si>
    <t>Fauquier</t>
  </si>
  <si>
    <t>E1558</t>
  </si>
  <si>
    <t>Massey W3315</t>
  </si>
  <si>
    <t>NCU00045144</t>
  </si>
  <si>
    <t>E1559</t>
  </si>
  <si>
    <t>Cooperrider 4456</t>
  </si>
  <si>
    <t>NCU00045145</t>
  </si>
  <si>
    <t>E1560</t>
  </si>
  <si>
    <t>Furr 464</t>
  </si>
  <si>
    <t>NCU00045146</t>
  </si>
  <si>
    <t>E1561</t>
  </si>
  <si>
    <t>Harvill 14272</t>
  </si>
  <si>
    <t>NCU00045147</t>
  </si>
  <si>
    <t>E1562</t>
  </si>
  <si>
    <t>Harvill 16432</t>
  </si>
  <si>
    <t>NCU00045148</t>
  </si>
  <si>
    <t>E1563</t>
  </si>
  <si>
    <t>Harvill 19416</t>
  </si>
  <si>
    <t>NCU00045149</t>
  </si>
  <si>
    <t>Loudoun</t>
  </si>
  <si>
    <t>E1564</t>
  </si>
  <si>
    <t>Kral 10351</t>
  </si>
  <si>
    <t>NCU00045150</t>
  </si>
  <si>
    <t>E1565</t>
  </si>
  <si>
    <t>Smyth 1055</t>
  </si>
  <si>
    <t>NCU00045151</t>
  </si>
  <si>
    <t>E1677</t>
  </si>
  <si>
    <t>Kral 63868</t>
  </si>
  <si>
    <t>NCU00386386</t>
  </si>
  <si>
    <t>E1566</t>
  </si>
  <si>
    <t>Ahles 62433</t>
  </si>
  <si>
    <t>NCU00045153</t>
  </si>
  <si>
    <t>Pittsylvania</t>
  </si>
  <si>
    <t>E1567</t>
  </si>
  <si>
    <t>Furr 454</t>
  </si>
  <si>
    <t>NCU00045154</t>
  </si>
  <si>
    <t>E1568</t>
  </si>
  <si>
    <t>Wood 5819</t>
  </si>
  <si>
    <t>NCU00045155</t>
  </si>
  <si>
    <t>E1569</t>
  </si>
  <si>
    <t>Furr 393</t>
  </si>
  <si>
    <t>NCU00045157</t>
  </si>
  <si>
    <t>E1570</t>
  </si>
  <si>
    <t>Uttal 10455</t>
  </si>
  <si>
    <t>NCU00045158</t>
  </si>
  <si>
    <t>E1571</t>
  </si>
  <si>
    <t>Furr 434</t>
  </si>
  <si>
    <t>NCU00045159</t>
  </si>
  <si>
    <t>E1572</t>
  </si>
  <si>
    <t>Furr 449</t>
  </si>
  <si>
    <t>NCU00045160</t>
  </si>
  <si>
    <t>Wythe</t>
  </si>
  <si>
    <t>E1574</t>
  </si>
  <si>
    <t>Wells 3314</t>
  </si>
  <si>
    <t>NCU00053746</t>
  </si>
  <si>
    <t>E1575</t>
  </si>
  <si>
    <t>Wells 3312</t>
  </si>
  <si>
    <t>NCU00053747</t>
  </si>
  <si>
    <t>E1576</t>
  </si>
  <si>
    <t>Southern Appalachian Botanical Club 320</t>
  </si>
  <si>
    <t>NCU00053748</t>
  </si>
  <si>
    <t>E1905</t>
  </si>
  <si>
    <t>Radford 1351</t>
  </si>
  <si>
    <t>NCU00053715</t>
  </si>
  <si>
    <t>E1911</t>
  </si>
  <si>
    <t>Ahles 41083</t>
  </si>
  <si>
    <t>NCU00053722</t>
  </si>
  <si>
    <t>E1915</t>
  </si>
  <si>
    <t>NCU00053725</t>
  </si>
  <si>
    <t>Mecklenburg</t>
  </si>
  <si>
    <t>E1921</t>
  </si>
  <si>
    <t>Radford 11873</t>
  </si>
  <si>
    <t>NCU00053736</t>
  </si>
  <si>
    <t>E35</t>
  </si>
  <si>
    <t>UNA00014676</t>
  </si>
  <si>
    <t>E1924</t>
  </si>
  <si>
    <t>Radford 12001</t>
  </si>
  <si>
    <t>NCU00053739</t>
  </si>
  <si>
    <t>E1438</t>
  </si>
  <si>
    <t>Smith 67</t>
  </si>
  <si>
    <t>NCU00053743</t>
  </si>
  <si>
    <t>Darlington</t>
  </si>
  <si>
    <t>E1435</t>
  </si>
  <si>
    <t>Ahles 27366</t>
  </si>
  <si>
    <t>NCU00053744</t>
  </si>
  <si>
    <t>E1436</t>
  </si>
  <si>
    <t>Wells 3310</t>
  </si>
  <si>
    <t>NCU00053745</t>
  </si>
  <si>
    <t>A50-1</t>
  </si>
  <si>
    <t>A50-2</t>
  </si>
  <si>
    <t>A50-4</t>
  </si>
  <si>
    <t>A22-1</t>
  </si>
  <si>
    <t>I90-C</t>
  </si>
  <si>
    <t>Folk I90</t>
  </si>
  <si>
    <t>L1-1</t>
  </si>
  <si>
    <t>L1-3</t>
  </si>
  <si>
    <t>L3-1</t>
  </si>
  <si>
    <t>L3-2</t>
  </si>
  <si>
    <t>FL-26</t>
  </si>
  <si>
    <t>Floden s.n.</t>
  </si>
  <si>
    <t>L14-1</t>
  </si>
  <si>
    <t>L14-2</t>
  </si>
  <si>
    <t>L20-1</t>
  </si>
  <si>
    <t>L20-2</t>
  </si>
  <si>
    <t>FL-25</t>
  </si>
  <si>
    <t>L6-1</t>
  </si>
  <si>
    <t>L6-2</t>
  </si>
  <si>
    <t>L9-2</t>
  </si>
  <si>
    <t>A37-5</t>
  </si>
  <si>
    <t>E1936</t>
  </si>
  <si>
    <t>McCurdy 449</t>
  </si>
  <si>
    <t>NCU00064407</t>
  </si>
  <si>
    <t>E1596</t>
  </si>
  <si>
    <t>Gupton 3549</t>
  </si>
  <si>
    <t>NCU00190348</t>
  </si>
  <si>
    <t>E1598</t>
  </si>
  <si>
    <t>Wells 3316</t>
  </si>
  <si>
    <t>NCU00190350</t>
  </si>
  <si>
    <t>E1497</t>
  </si>
  <si>
    <t>Weiboldt 8150</t>
  </si>
  <si>
    <t>NCU00181106</t>
  </si>
  <si>
    <t>E1599</t>
  </si>
  <si>
    <t>Ramsey 4693</t>
  </si>
  <si>
    <t>NCU00190352</t>
  </si>
  <si>
    <t>E1600</t>
  </si>
  <si>
    <t>Mitchell 4107</t>
  </si>
  <si>
    <t>NCU00190353</t>
  </si>
  <si>
    <t>E1601</t>
  </si>
  <si>
    <t>Kral 10306</t>
  </si>
  <si>
    <t>NCU00190354</t>
  </si>
  <si>
    <t>E1602</t>
  </si>
  <si>
    <t>Johnson 4565</t>
  </si>
  <si>
    <t>NCU00190355</t>
  </si>
  <si>
    <t>E1603</t>
  </si>
  <si>
    <t>Ahles 60159</t>
  </si>
  <si>
    <t>NCU00190356</t>
  </si>
  <si>
    <t>I82</t>
  </si>
  <si>
    <t>Folk I82</t>
  </si>
  <si>
    <t>E1794</t>
  </si>
  <si>
    <t>Jackson 628</t>
  </si>
  <si>
    <t>NCU00196898</t>
  </si>
  <si>
    <t>H166-2</t>
  </si>
  <si>
    <t>Folk 166</t>
  </si>
  <si>
    <t>E1780</t>
  </si>
  <si>
    <t>Huang 3045</t>
  </si>
  <si>
    <t>NCU00196884</t>
  </si>
  <si>
    <t>Cedar</t>
  </si>
  <si>
    <t>E543</t>
  </si>
  <si>
    <t>Welch 9839</t>
  </si>
  <si>
    <t>Dickinson</t>
  </si>
  <si>
    <t>E1781</t>
  </si>
  <si>
    <t>Cooperrider 1120</t>
  </si>
  <si>
    <t>NCU00196885</t>
  </si>
  <si>
    <t>E1782</t>
  </si>
  <si>
    <t>Walker 231</t>
  </si>
  <si>
    <t>NCU00196894</t>
  </si>
  <si>
    <t>E1783</t>
  </si>
  <si>
    <t>Witlake 905</t>
  </si>
  <si>
    <t>NCU00196887</t>
  </si>
  <si>
    <t>E1784</t>
  </si>
  <si>
    <t>DeBurh 1184</t>
  </si>
  <si>
    <t>NCU00196888</t>
  </si>
  <si>
    <t>E1785</t>
  </si>
  <si>
    <t>Myron 13</t>
  </si>
  <si>
    <t>NCU00196889</t>
  </si>
  <si>
    <t>E1786</t>
  </si>
  <si>
    <t>Schwab 209</t>
  </si>
  <si>
    <t>NCU00196891</t>
  </si>
  <si>
    <t>Story</t>
  </si>
  <si>
    <t>E1787</t>
  </si>
  <si>
    <t>Freckmann 1882</t>
  </si>
  <si>
    <t>NCU00196892</t>
  </si>
  <si>
    <t>E1788</t>
  </si>
  <si>
    <t>Wagenknecht 287</t>
  </si>
  <si>
    <t>NCU00196893</t>
  </si>
  <si>
    <t>E542</t>
  </si>
  <si>
    <t>Chase 9546</t>
  </si>
  <si>
    <t>McHenry</t>
  </si>
  <si>
    <t>E640</t>
  </si>
  <si>
    <t>Chase 14460</t>
  </si>
  <si>
    <t>Peoria</t>
  </si>
  <si>
    <t>H167-1</t>
  </si>
  <si>
    <t>Folk 167</t>
  </si>
  <si>
    <t>Porter</t>
  </si>
  <si>
    <t>H167-2</t>
  </si>
  <si>
    <t>A43-1</t>
  </si>
  <si>
    <t>Engle-Wrye A43</t>
  </si>
  <si>
    <t>A43-2</t>
  </si>
  <si>
    <t>A43-3</t>
  </si>
  <si>
    <t>E641</t>
  </si>
  <si>
    <t>Chase 11914</t>
  </si>
  <si>
    <t>Will</t>
  </si>
  <si>
    <t>E1795</t>
  </si>
  <si>
    <t>Wells 3347</t>
  </si>
  <si>
    <t>NCU00196899</t>
  </si>
  <si>
    <t>E1796</t>
  </si>
  <si>
    <t>Wells 3346</t>
  </si>
  <si>
    <t>NCU00196900</t>
  </si>
  <si>
    <t>E1797</t>
  </si>
  <si>
    <t>McGregor 15586</t>
  </si>
  <si>
    <t>NCU00196901</t>
  </si>
  <si>
    <t>I65</t>
  </si>
  <si>
    <t>Folk I65</t>
  </si>
  <si>
    <t>Berrien</t>
  </si>
  <si>
    <t>E1798</t>
  </si>
  <si>
    <t>Kukla 91</t>
  </si>
  <si>
    <t>NCU00196902</t>
  </si>
  <si>
    <t>A21-1</t>
  </si>
  <si>
    <t>Folk A21</t>
  </si>
  <si>
    <t>MISSA036546</t>
  </si>
  <si>
    <t>A21-10</t>
  </si>
  <si>
    <t>A21-11</t>
  </si>
  <si>
    <t>A21-2</t>
  </si>
  <si>
    <t>A21-3</t>
  </si>
  <si>
    <t>A21-4</t>
  </si>
  <si>
    <t>A21-5</t>
  </si>
  <si>
    <t>A21-6</t>
  </si>
  <si>
    <t>A21-7</t>
  </si>
  <si>
    <t>A21-8</t>
  </si>
  <si>
    <t>A21-9</t>
  </si>
  <si>
    <t>E1799</t>
  </si>
  <si>
    <t>Steyermark 84538</t>
  </si>
  <si>
    <t>NCU00196904</t>
  </si>
  <si>
    <t>Andrew</t>
  </si>
  <si>
    <t>A44-1</t>
  </si>
  <si>
    <t>Engle-Wrye A44</t>
  </si>
  <si>
    <t>MISSA036881</t>
  </si>
  <si>
    <t>A44-10</t>
  </si>
  <si>
    <t>A44-2</t>
  </si>
  <si>
    <t>A44-3</t>
  </si>
  <si>
    <t>A44-4</t>
  </si>
  <si>
    <t>A44-5</t>
  </si>
  <si>
    <t>A44-6</t>
  </si>
  <si>
    <t>A44-7</t>
  </si>
  <si>
    <t>A44-8</t>
  </si>
  <si>
    <t>A44-9</t>
  </si>
  <si>
    <t>A15-10</t>
  </si>
  <si>
    <t>A15-11</t>
  </si>
  <si>
    <t>A15-12</t>
  </si>
  <si>
    <t>A15-13</t>
  </si>
  <si>
    <t>A15-15</t>
  </si>
  <si>
    <t>A15-2</t>
  </si>
  <si>
    <t>A15-3</t>
  </si>
  <si>
    <t>A15-4</t>
  </si>
  <si>
    <t>A15-5</t>
  </si>
  <si>
    <t>A15-6</t>
  </si>
  <si>
    <t>A15-7</t>
  </si>
  <si>
    <t>A15-8</t>
  </si>
  <si>
    <t>A15-9</t>
  </si>
  <si>
    <t>E1800</t>
  </si>
  <si>
    <t>Palmer 51751</t>
  </si>
  <si>
    <t>NCU00196905</t>
  </si>
  <si>
    <t>A42-1</t>
  </si>
  <si>
    <t>Engle-Wrye A42</t>
  </si>
  <si>
    <t>A42-2</t>
  </si>
  <si>
    <t>A42-3</t>
  </si>
  <si>
    <t>A42-4</t>
  </si>
  <si>
    <t>E1801</t>
  </si>
  <si>
    <t>Redfearn 14465</t>
  </si>
  <si>
    <t>NCU00196906</t>
  </si>
  <si>
    <t>Sainte Geneveive</t>
  </si>
  <si>
    <t>E1802</t>
  </si>
  <si>
    <t>Stephens 23426</t>
  </si>
  <si>
    <t>NCU00196908</t>
  </si>
  <si>
    <t>Golden Valley</t>
  </si>
  <si>
    <t>E1804</t>
  </si>
  <si>
    <t>Wallis 6866</t>
  </si>
  <si>
    <t>NCU00196910</t>
  </si>
  <si>
    <t>Ottawa</t>
  </si>
  <si>
    <t>E639</t>
  </si>
  <si>
    <t>Breitung 1139</t>
  </si>
  <si>
    <t>Saskatchewan</t>
  </si>
  <si>
    <t>Wallwort</t>
  </si>
  <si>
    <t>E1805</t>
  </si>
  <si>
    <t>Uttal 9346</t>
  </si>
  <si>
    <t>NCU00196911</t>
  </si>
  <si>
    <t>H105-1</t>
  </si>
  <si>
    <t>H106-1</t>
  </si>
  <si>
    <t>Folk 106</t>
  </si>
  <si>
    <t>H106-2</t>
  </si>
  <si>
    <t>E1789</t>
  </si>
  <si>
    <t>Utech 1925</t>
  </si>
  <si>
    <t>NCU00196912</t>
  </si>
  <si>
    <t>WI</t>
  </si>
  <si>
    <t>E1790</t>
  </si>
  <si>
    <t>Rice 1902</t>
  </si>
  <si>
    <t>NCU00196913</t>
  </si>
  <si>
    <t>Rock</t>
  </si>
  <si>
    <t>E1791</t>
  </si>
  <si>
    <t>Rice W3351</t>
  </si>
  <si>
    <t>NCU00196915</t>
  </si>
  <si>
    <t>E1792</t>
  </si>
  <si>
    <t>Rice W3349</t>
  </si>
  <si>
    <t>NCU00196917</t>
  </si>
  <si>
    <t>E1793</t>
  </si>
  <si>
    <t>Rice W3350</t>
  </si>
  <si>
    <t>NCU00196918</t>
  </si>
  <si>
    <t>A17-1</t>
  </si>
  <si>
    <t>Folk A17</t>
  </si>
  <si>
    <t>MISSA036545</t>
  </si>
  <si>
    <t>A17-2</t>
  </si>
  <si>
    <t>A17-3</t>
  </si>
  <si>
    <t>A17-4</t>
  </si>
  <si>
    <t>A17-5</t>
  </si>
  <si>
    <t>A17-6</t>
  </si>
  <si>
    <t>A17-7</t>
  </si>
  <si>
    <t>A17-8</t>
  </si>
  <si>
    <t>A17-9</t>
  </si>
  <si>
    <t>A16-1</t>
  </si>
  <si>
    <t>A16-10</t>
  </si>
  <si>
    <t>A16-11</t>
  </si>
  <si>
    <t>A16-2</t>
  </si>
  <si>
    <t>A16-3</t>
  </si>
  <si>
    <t>A16-4</t>
  </si>
  <si>
    <t>A16-6</t>
  </si>
  <si>
    <t>A16-8</t>
  </si>
  <si>
    <t>A16-9</t>
  </si>
  <si>
    <t>A26-1</t>
  </si>
  <si>
    <t>A30-1</t>
  </si>
  <si>
    <t>A5-1</t>
  </si>
  <si>
    <t>not included</t>
  </si>
  <si>
    <t>filtered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</si>
</sst>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yanfolk/Desktop/student_drafts/nick/species_paper/Master%20Heuchera%20Metadata%20-%20Final%20(1).xlsx" TargetMode="External"/><Relationship Id="rId1" Type="http://schemas.openxmlformats.org/officeDocument/2006/relationships/externalLinkPath" Target="Master%20Heuchera%20Metadata%20-%20Fina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Heuchera Metadata - Fina"/>
      <sheetName val="Spruceup manifest"/>
      <sheetName val="Putative species manifest"/>
    </sheetNames>
    <sheetDataSet>
      <sheetData sheetId="0"/>
      <sheetData sheetId="1"/>
      <sheetData sheetId="2">
        <row r="1">
          <cell r="A1" t="str">
            <v>FL-13</v>
          </cell>
          <cell r="B1" t="str">
            <v>Heuchera longiflora var. aceroides FL-13</v>
          </cell>
        </row>
        <row r="2">
          <cell r="A2" t="str">
            <v>FL-19</v>
          </cell>
          <cell r="B2" t="str">
            <v>Heuchera longiflora var. aceroides FL-19</v>
          </cell>
        </row>
        <row r="3">
          <cell r="A3" t="str">
            <v>FL-24</v>
          </cell>
          <cell r="B3" t="str">
            <v>Heuchera longiflora var. longiflora FL-24</v>
          </cell>
        </row>
        <row r="4">
          <cell r="A4" t="str">
            <v>FL-27</v>
          </cell>
          <cell r="B4" t="str">
            <v>Heuchera longiflora var. longiflora FL-27</v>
          </cell>
        </row>
        <row r="5">
          <cell r="A5" t="str">
            <v>FL-7</v>
          </cell>
          <cell r="B5" t="str">
            <v>Heuchera longiflora var. aceroides FL-7</v>
          </cell>
        </row>
        <row r="6">
          <cell r="A6" t="str">
            <v>H100-1</v>
          </cell>
          <cell r="B6" t="str">
            <v>Heuchera pubescens H100-1</v>
          </cell>
        </row>
        <row r="7">
          <cell r="A7" t="str">
            <v>H103-1</v>
          </cell>
          <cell r="B7" t="str">
            <v>HISPIDA</v>
          </cell>
        </row>
        <row r="8">
          <cell r="A8" t="str">
            <v>H104-2</v>
          </cell>
          <cell r="B8" t="str">
            <v>HISPIDA</v>
          </cell>
        </row>
        <row r="9">
          <cell r="A9" t="str">
            <v>H108</v>
          </cell>
          <cell r="B9" t="str">
            <v>Heuchera cylindrica var. cylindrica H108</v>
          </cell>
        </row>
        <row r="10">
          <cell r="A10" t="str">
            <v>H109</v>
          </cell>
          <cell r="B10" t="str">
            <v>Conimitella williamsii H109</v>
          </cell>
        </row>
        <row r="11">
          <cell r="A11" t="str">
            <v>H112</v>
          </cell>
          <cell r="B11" t="str">
            <v>Heuchera cylindrica var. cylindrica H112</v>
          </cell>
        </row>
        <row r="12">
          <cell r="A12" t="str">
            <v>H120-C</v>
          </cell>
          <cell r="B12" t="str">
            <v>Heuchera parvifolia H120-C</v>
          </cell>
        </row>
        <row r="13">
          <cell r="A13" t="str">
            <v>H127</v>
          </cell>
          <cell r="B13" t="str">
            <v>Tiarella trifoliata H127</v>
          </cell>
        </row>
        <row r="14">
          <cell r="A14" t="str">
            <v>H128-C</v>
          </cell>
          <cell r="B14" t="str">
            <v>Pectiantia pentandra H128-C</v>
          </cell>
        </row>
        <row r="15">
          <cell r="A15" t="str">
            <v>H130-1</v>
          </cell>
          <cell r="B15" t="str">
            <v>Tellima grandiflora H130-1</v>
          </cell>
        </row>
        <row r="16">
          <cell r="A16" t="str">
            <v>H131-C</v>
          </cell>
          <cell r="B16" t="str">
            <v>Tolmiea menziesii H131-C</v>
          </cell>
        </row>
        <row r="17">
          <cell r="A17" t="str">
            <v>H133-1</v>
          </cell>
          <cell r="B17" t="str">
            <v>Heuchera glabra X H. micrantha var. diversifolia H133-1</v>
          </cell>
        </row>
        <row r="18">
          <cell r="A18" t="str">
            <v>H134-1</v>
          </cell>
          <cell r="B18" t="str">
            <v>Heuchera micrantha var. micrantha H134-1</v>
          </cell>
        </row>
        <row r="19">
          <cell r="A19" t="str">
            <v>H138-1</v>
          </cell>
          <cell r="B19" t="str">
            <v>Heuchera chlorantha H138-1</v>
          </cell>
        </row>
        <row r="20">
          <cell r="A20" t="str">
            <v>H140-1</v>
          </cell>
          <cell r="B20" t="str">
            <v>Heuchera cylindrica var. alpina H140-1</v>
          </cell>
        </row>
        <row r="21">
          <cell r="A21" t="str">
            <v>H141-1</v>
          </cell>
          <cell r="B21" t="str">
            <v>Heuchera micrantha var. micrantha H141-1</v>
          </cell>
        </row>
        <row r="22">
          <cell r="A22" t="str">
            <v>H145-1</v>
          </cell>
          <cell r="B22" t="str">
            <v>Heuchera micrantha var. hartwegii H145-1</v>
          </cell>
        </row>
        <row r="23">
          <cell r="A23" t="str">
            <v>H146</v>
          </cell>
          <cell r="B23" t="str">
            <v>Heuchera micrantha var. macropetala H146</v>
          </cell>
        </row>
        <row r="24">
          <cell r="A24" t="str">
            <v>H148-1</v>
          </cell>
          <cell r="B24" t="str">
            <v>Bensoniella oregona H148-1</v>
          </cell>
        </row>
        <row r="25">
          <cell r="A25" t="str">
            <v>H150-1</v>
          </cell>
          <cell r="B25" t="str">
            <v>Heuchera merriamii H150-1</v>
          </cell>
        </row>
        <row r="26">
          <cell r="A26" t="str">
            <v>H153-1</v>
          </cell>
          <cell r="B26" t="str">
            <v>Heuchera rubescens var. truncata H153-1</v>
          </cell>
        </row>
        <row r="27">
          <cell r="A27" t="str">
            <v>H154-C</v>
          </cell>
          <cell r="B27" t="str">
            <v>Heuchera grossulariifolia var. grossulariifolia H154-C</v>
          </cell>
        </row>
        <row r="28">
          <cell r="A28" t="str">
            <v>H159-C</v>
          </cell>
          <cell r="B28" t="str">
            <v>Heuchera cylindrica var. cylindrica H159-C</v>
          </cell>
        </row>
        <row r="29">
          <cell r="A29" t="str">
            <v>H160-C</v>
          </cell>
          <cell r="B29" t="str">
            <v>Heuchera grossulariifolia var. grossulariifolia H160-C</v>
          </cell>
        </row>
        <row r="30">
          <cell r="A30" t="str">
            <v>H161</v>
          </cell>
          <cell r="B30" t="str">
            <v>Ozomelis stauropetala H161</v>
          </cell>
        </row>
        <row r="31">
          <cell r="A31" t="str">
            <v>H164-1</v>
          </cell>
          <cell r="B31" t="str">
            <v>Heuchera bracteata H164-1</v>
          </cell>
        </row>
        <row r="32">
          <cell r="A32" t="str">
            <v>H165-2</v>
          </cell>
          <cell r="B32" t="str">
            <v>Heuchera parvifolia H165-2 WY</v>
          </cell>
        </row>
        <row r="33">
          <cell r="A33" t="str">
            <v>H166-1</v>
          </cell>
          <cell r="B33" t="str">
            <v>GRAYANA</v>
          </cell>
        </row>
        <row r="34">
          <cell r="A34" t="str">
            <v>H169-C</v>
          </cell>
          <cell r="B34" t="str">
            <v>Tolmiea diplomenziesii H169-C</v>
          </cell>
        </row>
        <row r="35">
          <cell r="A35" t="str">
            <v>H192-1</v>
          </cell>
          <cell r="B35" t="str">
            <v>Heuchera villosa var. arkansana H192-1</v>
          </cell>
        </row>
        <row r="36">
          <cell r="A36" t="str">
            <v>H20-1</v>
          </cell>
          <cell r="B36" t="str">
            <v>Heuchera pulchella H20-1</v>
          </cell>
        </row>
        <row r="37">
          <cell r="A37" t="str">
            <v>H216-1</v>
          </cell>
          <cell r="B37" t="str">
            <v>Heuchera caroliniana H216-1</v>
          </cell>
        </row>
        <row r="38">
          <cell r="A38" t="str">
            <v>H22-1</v>
          </cell>
          <cell r="B38" t="str">
            <v>Heuchera wootonii H22-1</v>
          </cell>
        </row>
        <row r="39">
          <cell r="A39" t="str">
            <v>H23-1</v>
          </cell>
          <cell r="B39" t="str">
            <v>Heuchera woodsiaphila H23-1</v>
          </cell>
        </row>
        <row r="40">
          <cell r="A40" t="str">
            <v>H24-1</v>
          </cell>
          <cell r="B40" t="str">
            <v>Heuchera novomexicana H24-1</v>
          </cell>
        </row>
        <row r="41">
          <cell r="A41" t="str">
            <v>H26-1</v>
          </cell>
          <cell r="B41" t="str">
            <v>Heuchera versicolor H26-1</v>
          </cell>
        </row>
        <row r="42">
          <cell r="A42" t="str">
            <v>H33</v>
          </cell>
          <cell r="B42" t="str">
            <v>Heuchera inconstans H33</v>
          </cell>
        </row>
        <row r="43">
          <cell r="A43" t="str">
            <v>H35</v>
          </cell>
          <cell r="B43" t="str">
            <v>Heuchera eastwoodiae H35</v>
          </cell>
        </row>
        <row r="44">
          <cell r="A44" t="str">
            <v>H37-C</v>
          </cell>
          <cell r="B44" t="str">
            <v>Heuchera brevistaminea H37-C</v>
          </cell>
        </row>
        <row r="45">
          <cell r="A45" t="str">
            <v>H39-1</v>
          </cell>
          <cell r="B45" t="str">
            <v>Heuchera hirsutissima H39-1</v>
          </cell>
        </row>
        <row r="46">
          <cell r="A46" t="str">
            <v>H43-1</v>
          </cell>
          <cell r="B46" t="str">
            <v>Heuchera parishii H43-1</v>
          </cell>
        </row>
        <row r="47">
          <cell r="A47" t="str">
            <v>H44-1</v>
          </cell>
          <cell r="B47" t="str">
            <v>Heuchera elegans H44-1</v>
          </cell>
        </row>
        <row r="48">
          <cell r="A48" t="str">
            <v>H48-C</v>
          </cell>
          <cell r="B48" t="str">
            <v>Heuchera caespitosa H48-C</v>
          </cell>
        </row>
        <row r="49">
          <cell r="A49" t="str">
            <v>H49</v>
          </cell>
          <cell r="B49" t="str">
            <v>Heuchera micrantha var. erubescens H49</v>
          </cell>
        </row>
        <row r="50">
          <cell r="A50" t="str">
            <v>H50-1</v>
          </cell>
          <cell r="B50" t="str">
            <v>Heuchera parvifolia H50-1</v>
          </cell>
        </row>
        <row r="51">
          <cell r="A51" t="str">
            <v>H52-1</v>
          </cell>
          <cell r="B51" t="str">
            <v>Heuchera bracteata H52-1</v>
          </cell>
        </row>
        <row r="52">
          <cell r="A52" t="str">
            <v>H53-1</v>
          </cell>
          <cell r="B52" t="str">
            <v>Heuchera parvifolia H53-1</v>
          </cell>
        </row>
        <row r="53">
          <cell r="A53" t="str">
            <v>H55-1</v>
          </cell>
          <cell r="B53" t="str">
            <v>Heuchera parvifolia var. nivalis H55-1</v>
          </cell>
        </row>
        <row r="54">
          <cell r="A54" t="str">
            <v>H56-1</v>
          </cell>
          <cell r="B54" t="str">
            <v>Heuchera hallii H56-1</v>
          </cell>
        </row>
        <row r="55">
          <cell r="A55" t="str">
            <v>H59-1</v>
          </cell>
          <cell r="B55" t="str">
            <v>HIRSUTICAULIS</v>
          </cell>
        </row>
        <row r="56">
          <cell r="A56" t="str">
            <v>H63-1</v>
          </cell>
          <cell r="B56" t="str">
            <v>Heuchera alba H63-1</v>
          </cell>
        </row>
        <row r="57">
          <cell r="A57" t="str">
            <v>H64-1</v>
          </cell>
          <cell r="B57" t="str">
            <v>Heuchera alba H64-1</v>
          </cell>
        </row>
        <row r="58">
          <cell r="A58" t="str">
            <v>H65-C</v>
          </cell>
          <cell r="B58" t="str">
            <v>Heuchera longiflora var. longiflora H65-C</v>
          </cell>
        </row>
        <row r="59">
          <cell r="A59" t="str">
            <v>H68-2</v>
          </cell>
          <cell r="B59" t="str">
            <v>Heuchera longiflora var. longiflora H68-2</v>
          </cell>
        </row>
        <row r="60">
          <cell r="A60" t="str">
            <v>H69-1</v>
          </cell>
          <cell r="B60" t="str">
            <v>Heuchera puberula H69-1</v>
          </cell>
        </row>
        <row r="61">
          <cell r="A61" t="str">
            <v>H70</v>
          </cell>
          <cell r="B61" t="str">
            <v>BREVIPETALA</v>
          </cell>
        </row>
        <row r="62">
          <cell r="A62" t="str">
            <v>H72-C</v>
          </cell>
          <cell r="B62" t="str">
            <v>Heuchera parviflora var. parviflora H72-C</v>
          </cell>
        </row>
        <row r="63">
          <cell r="A63" t="str">
            <v>H73</v>
          </cell>
          <cell r="B63" t="str">
            <v>Heuchera villosa var. macrorhiza H73</v>
          </cell>
        </row>
        <row r="64">
          <cell r="A64" t="str">
            <v>H78-1</v>
          </cell>
          <cell r="B64" t="str">
            <v>Heuchera villosa var. macrorhiza H78-1</v>
          </cell>
        </row>
        <row r="65">
          <cell r="A65" t="str">
            <v>H88</v>
          </cell>
          <cell r="B65" t="str">
            <v>Mitella diphylla H88</v>
          </cell>
        </row>
        <row r="66">
          <cell r="A66" t="str">
            <v>H89</v>
          </cell>
          <cell r="B66" t="str">
            <v>Tiarella cordifolia H89</v>
          </cell>
        </row>
        <row r="67">
          <cell r="A67" t="str">
            <v>H90-1</v>
          </cell>
          <cell r="B67" t="str">
            <v>Heuchera villosa var. villosa H90-1</v>
          </cell>
        </row>
        <row r="68">
          <cell r="A68" t="str">
            <v>H92-1</v>
          </cell>
          <cell r="B68" t="str">
            <v>AMERICANA</v>
          </cell>
        </row>
        <row r="69">
          <cell r="A69" t="str">
            <v>H94-1</v>
          </cell>
          <cell r="B69" t="str">
            <v>Heuchera villosa var. villosa H94-1</v>
          </cell>
        </row>
        <row r="70">
          <cell r="A70" t="str">
            <v>H96-1</v>
          </cell>
          <cell r="B70" t="str">
            <v>Heuchera pubescens H96-1</v>
          </cell>
        </row>
        <row r="71">
          <cell r="A71" t="str">
            <v>H98-1</v>
          </cell>
          <cell r="B71" t="str">
            <v>Heuchera longiflora var. aceroides H98-1</v>
          </cell>
        </row>
        <row r="72">
          <cell r="A72" t="str">
            <v>I113</v>
          </cell>
          <cell r="B72" t="str">
            <v>Tiarella polyphylla I113</v>
          </cell>
        </row>
        <row r="73">
          <cell r="A73" t="str">
            <v>I114</v>
          </cell>
          <cell r="B73" t="str">
            <v>Asimitellaria amamiana I114</v>
          </cell>
        </row>
        <row r="74">
          <cell r="A74" t="str">
            <v>I115</v>
          </cell>
          <cell r="B74" t="str">
            <v>Spuriomitella integripetala I115</v>
          </cell>
        </row>
        <row r="75">
          <cell r="A75" t="str">
            <v>I116</v>
          </cell>
          <cell r="B75" t="str">
            <v>Asimitellaria doiana I116</v>
          </cell>
        </row>
        <row r="76">
          <cell r="A76" t="str">
            <v>I117</v>
          </cell>
          <cell r="B76" t="str">
            <v>Asimitellaria formosana I117</v>
          </cell>
        </row>
        <row r="77">
          <cell r="A77" t="str">
            <v>I118</v>
          </cell>
          <cell r="B77" t="str">
            <v>Ozomelis trifida I118</v>
          </cell>
        </row>
        <row r="78">
          <cell r="A78" t="str">
            <v>I119</v>
          </cell>
          <cell r="B78" t="str">
            <v>Asimitellaria yamatoensis I119</v>
          </cell>
        </row>
        <row r="79">
          <cell r="A79" t="str">
            <v>I120</v>
          </cell>
          <cell r="B79" t="str">
            <v>Asimitellaria kiusiana I120</v>
          </cell>
        </row>
        <row r="80">
          <cell r="A80" t="str">
            <v>I121</v>
          </cell>
          <cell r="B80" t="str">
            <v>Asimitellaria kumaensis I121</v>
          </cell>
        </row>
        <row r="81">
          <cell r="A81" t="str">
            <v>I122</v>
          </cell>
          <cell r="B81" t="str">
            <v>Heuchera villosa var. macrorhiza I122</v>
          </cell>
        </row>
        <row r="82">
          <cell r="A82" t="str">
            <v>I123</v>
          </cell>
          <cell r="B82" t="str">
            <v>Mitella nuda I123</v>
          </cell>
        </row>
        <row r="83">
          <cell r="A83" t="str">
            <v>I124</v>
          </cell>
          <cell r="B83" t="str">
            <v>Mitella nuda I124</v>
          </cell>
        </row>
        <row r="84">
          <cell r="A84" t="str">
            <v>I125</v>
          </cell>
          <cell r="B84" t="str">
            <v>Mitella nuda I125</v>
          </cell>
        </row>
        <row r="85">
          <cell r="A85" t="str">
            <v>I126</v>
          </cell>
          <cell r="B85" t="str">
            <v>Heuchera lakelae I126</v>
          </cell>
        </row>
        <row r="86">
          <cell r="A86" t="str">
            <v>I129</v>
          </cell>
          <cell r="B86" t="str">
            <v>Heuchera lakelae I129</v>
          </cell>
        </row>
        <row r="87">
          <cell r="A87" t="str">
            <v>I130</v>
          </cell>
          <cell r="B87" t="str">
            <v>Ozomelis diversifolia I130</v>
          </cell>
        </row>
        <row r="88">
          <cell r="A88" t="str">
            <v>I19</v>
          </cell>
          <cell r="B88" t="str">
            <v>Heuchera rubescens var. rubescens I19</v>
          </cell>
        </row>
        <row r="89">
          <cell r="A89" t="str">
            <v>I1</v>
          </cell>
          <cell r="B89" t="str">
            <v>Heuchera villosa var. villosa I1</v>
          </cell>
        </row>
        <row r="90">
          <cell r="A90" t="str">
            <v>I21</v>
          </cell>
          <cell r="B90" t="str">
            <v>Heuchera longipetala var. longipetala I21</v>
          </cell>
        </row>
        <row r="91">
          <cell r="A91" t="str">
            <v>I22</v>
          </cell>
          <cell r="B91" t="str">
            <v>Asimitellaria yoshinagae I22</v>
          </cell>
        </row>
        <row r="92">
          <cell r="A92" t="str">
            <v>I23</v>
          </cell>
          <cell r="B92" t="str">
            <v>Asimitellaria acerina I23</v>
          </cell>
        </row>
        <row r="93">
          <cell r="A93" t="str">
            <v>I25</v>
          </cell>
          <cell r="B93" t="str">
            <v>Mitellastra caulescens I25</v>
          </cell>
        </row>
        <row r="94">
          <cell r="A94" t="str">
            <v>I26</v>
          </cell>
          <cell r="B94" t="str">
            <v>Asimitellaria stylosa var. stylosa I26</v>
          </cell>
        </row>
        <row r="95">
          <cell r="A95" t="str">
            <v>I31</v>
          </cell>
          <cell r="B95" t="str">
            <v>Asimitellaria stylosa var. makinoi I31</v>
          </cell>
        </row>
        <row r="96">
          <cell r="A96" t="str">
            <v>I32</v>
          </cell>
          <cell r="B96" t="str">
            <v>Brewerimitella ovalis I32</v>
          </cell>
        </row>
        <row r="97">
          <cell r="A97" t="str">
            <v>I33</v>
          </cell>
          <cell r="B97" t="str">
            <v>Brewerimitella breweri I33</v>
          </cell>
        </row>
        <row r="98">
          <cell r="A98" t="str">
            <v>I35</v>
          </cell>
          <cell r="B98" t="str">
            <v>Mitella nuda I35</v>
          </cell>
        </row>
        <row r="99">
          <cell r="A99" t="str">
            <v>I36</v>
          </cell>
          <cell r="B99" t="str">
            <v>Asimitellaria pauciflora I36</v>
          </cell>
        </row>
        <row r="100">
          <cell r="A100" t="str">
            <v>I37</v>
          </cell>
          <cell r="B100" t="str">
            <v>Asimitellaria japonica I37</v>
          </cell>
        </row>
        <row r="101">
          <cell r="A101" t="str">
            <v>I38</v>
          </cell>
          <cell r="B101" t="str">
            <v>Asimitellaria koshiensis I38</v>
          </cell>
        </row>
        <row r="102">
          <cell r="A102" t="str">
            <v>I39</v>
          </cell>
          <cell r="B102" t="str">
            <v>Asimitellaria furusei var. subramosa I39</v>
          </cell>
        </row>
        <row r="103">
          <cell r="A103" t="str">
            <v>I40</v>
          </cell>
          <cell r="B103" t="str">
            <v>Heuchera abramsii I40</v>
          </cell>
        </row>
        <row r="104">
          <cell r="A104" t="str">
            <v>I41</v>
          </cell>
          <cell r="B104" t="str">
            <v>Heuchera elegans I41</v>
          </cell>
        </row>
        <row r="105">
          <cell r="A105" t="str">
            <v>I43</v>
          </cell>
          <cell r="B105" t="str">
            <v>Heuchera rubescens var. alpicola I43</v>
          </cell>
        </row>
        <row r="106">
          <cell r="A106" t="str">
            <v>I46</v>
          </cell>
          <cell r="B106" t="str">
            <v>Heuchera glabra I46</v>
          </cell>
        </row>
        <row r="107">
          <cell r="A107" t="str">
            <v>I48</v>
          </cell>
          <cell r="B107" t="str">
            <v>Darmera peltata I48</v>
          </cell>
        </row>
        <row r="108">
          <cell r="A108" t="str">
            <v>I49</v>
          </cell>
          <cell r="B108" t="str">
            <v>Peltoboykinia tellimoides I49</v>
          </cell>
        </row>
        <row r="109">
          <cell r="A109" t="str">
            <v>I4</v>
          </cell>
          <cell r="B109" t="str">
            <v>Heuchera sanguinea I4</v>
          </cell>
        </row>
        <row r="110">
          <cell r="A110" t="str">
            <v>I50</v>
          </cell>
          <cell r="B110" t="str">
            <v>Rodgersia pinnata I50</v>
          </cell>
        </row>
        <row r="111">
          <cell r="A111" t="str">
            <v>I51</v>
          </cell>
          <cell r="B111" t="str">
            <v>Heuchera mexicana var. mexicana I51</v>
          </cell>
        </row>
        <row r="112">
          <cell r="A112" t="str">
            <v>I55</v>
          </cell>
          <cell r="B112" t="str">
            <v>Heuchera parvifolia I55</v>
          </cell>
        </row>
        <row r="113">
          <cell r="A113" t="str">
            <v>I56</v>
          </cell>
          <cell r="B113" t="str">
            <v>Heuchera parvifolia I56</v>
          </cell>
        </row>
        <row r="114">
          <cell r="A114" t="str">
            <v>I57</v>
          </cell>
          <cell r="B114" t="str">
            <v>Heuchera cylindrica var. glabella I57</v>
          </cell>
        </row>
        <row r="115">
          <cell r="A115" t="str">
            <v>I58</v>
          </cell>
          <cell r="B115" t="str">
            <v>RICHARDSONII</v>
          </cell>
        </row>
        <row r="116">
          <cell r="A116" t="str">
            <v>I59</v>
          </cell>
          <cell r="B116" t="str">
            <v>Heuchera pilosissima I59</v>
          </cell>
        </row>
        <row r="117">
          <cell r="A117" t="str">
            <v>I5</v>
          </cell>
          <cell r="B117" t="str">
            <v>Heuchera glomerulata I5</v>
          </cell>
        </row>
        <row r="118">
          <cell r="A118" t="str">
            <v>I69</v>
          </cell>
          <cell r="B118" t="str">
            <v>Heuchera missouriensis I69</v>
          </cell>
        </row>
        <row r="119">
          <cell r="A119" t="str">
            <v>I6</v>
          </cell>
          <cell r="B119" t="str">
            <v>Heuchera maxima I6</v>
          </cell>
        </row>
        <row r="120">
          <cell r="A120" t="str">
            <v>I70</v>
          </cell>
          <cell r="B120" t="str">
            <v>HETERADENIA</v>
          </cell>
        </row>
        <row r="121">
          <cell r="A121" t="str">
            <v>I74</v>
          </cell>
          <cell r="B121" t="str">
            <v>Heuchera acutifolia I74</v>
          </cell>
        </row>
        <row r="122">
          <cell r="A122" t="str">
            <v>I7</v>
          </cell>
          <cell r="B122" t="str">
            <v>Heuchera wellsiae I7</v>
          </cell>
        </row>
        <row r="123">
          <cell r="A123" t="str">
            <v>I80</v>
          </cell>
          <cell r="B123" t="str">
            <v>Heuchera lakelae I80</v>
          </cell>
        </row>
        <row r="124">
          <cell r="A124" t="str">
            <v>I85</v>
          </cell>
          <cell r="B124" t="str">
            <v>Heuchera soltisii I85</v>
          </cell>
        </row>
        <row r="125">
          <cell r="A125" t="str">
            <v>I89</v>
          </cell>
          <cell r="B125" t="str">
            <v>Elmera racemosa I89</v>
          </cell>
        </row>
        <row r="126">
          <cell r="A126" t="str">
            <v>I96</v>
          </cell>
          <cell r="B126" t="str">
            <v>Heuchera eastwoodiae X H. glomerulata I96</v>
          </cell>
        </row>
        <row r="127">
          <cell r="A127" t="str">
            <v>I9</v>
          </cell>
          <cell r="B127" t="str">
            <v>Heuchera rosendahlii I9</v>
          </cell>
        </row>
        <row r="128">
          <cell r="A128" t="str">
            <v>L16-2</v>
          </cell>
          <cell r="B128" t="str">
            <v>Heuchera longiflora var. longiflora L16-2</v>
          </cell>
        </row>
        <row r="129">
          <cell r="A129" t="str">
            <v>L19-2</v>
          </cell>
          <cell r="B129" t="str">
            <v>Heuchera longiflora var. longiflora L19-2</v>
          </cell>
        </row>
        <row r="130">
          <cell r="A130" t="str">
            <v>L21-2</v>
          </cell>
          <cell r="B130" t="str">
            <v>Heuchera longiflora var. longiflora L21-2</v>
          </cell>
        </row>
        <row r="131">
          <cell r="A131" t="str">
            <v>L23-2</v>
          </cell>
          <cell r="B131" t="str">
            <v>Heuchera longiflora var. longiflora L23-2</v>
          </cell>
        </row>
        <row r="132">
          <cell r="A132" t="str">
            <v>rf511</v>
          </cell>
          <cell r="B132" t="str">
            <v>Lithophragma parviflorum rf511</v>
          </cell>
        </row>
        <row r="133">
          <cell r="A133" t="str">
            <v>rf512</v>
          </cell>
          <cell r="B133" t="str">
            <v>Lithophragma heterophyllum rf512</v>
          </cell>
        </row>
        <row r="134">
          <cell r="A134" t="str">
            <v>rf513</v>
          </cell>
          <cell r="B134" t="str">
            <v>Lithophragma cymbalaria rf513</v>
          </cell>
        </row>
        <row r="135">
          <cell r="A135" t="str">
            <v>rf514</v>
          </cell>
          <cell r="B135" t="str">
            <v>Lithophragma bolanderi rf514</v>
          </cell>
        </row>
        <row r="136">
          <cell r="A136" t="str">
            <v>rf515</v>
          </cell>
          <cell r="B136" t="str">
            <v>Lithophragma trifoliatum rf515</v>
          </cell>
        </row>
        <row r="137">
          <cell r="A137" t="str">
            <v>rf516</v>
          </cell>
          <cell r="B137" t="str">
            <v>Lithophragma affine ssp. mixtum rf516</v>
          </cell>
        </row>
        <row r="138">
          <cell r="A138" t="str">
            <v>rf517</v>
          </cell>
          <cell r="B138" t="str">
            <v>Lithophragma campanulatum rf517</v>
          </cell>
        </row>
        <row r="139">
          <cell r="A139" t="str">
            <v>rf518</v>
          </cell>
          <cell r="B139" t="str">
            <v>Lithophragma maximum rf518</v>
          </cell>
        </row>
        <row r="140">
          <cell r="A140" t="str">
            <v>rf519</v>
          </cell>
          <cell r="B140" t="str">
            <v>Lithophragma bolanderi rf519</v>
          </cell>
        </row>
        <row r="141">
          <cell r="A141" t="str">
            <v>rf520</v>
          </cell>
          <cell r="B141" t="str">
            <v>Lithophragma thompsonii rf520</v>
          </cell>
        </row>
        <row r="142">
          <cell r="A142" t="str">
            <v>rf521</v>
          </cell>
          <cell r="B142" t="str">
            <v>Lithophragma glabrum rf521</v>
          </cell>
        </row>
        <row r="143">
          <cell r="A143" t="str">
            <v>rf522</v>
          </cell>
          <cell r="B143" t="str">
            <v>Lithophragma glabrum rf522</v>
          </cell>
        </row>
        <row r="144">
          <cell r="A144" t="str">
            <v>rf523</v>
          </cell>
          <cell r="B144" t="str">
            <v>Lithophragma affine rf523</v>
          </cell>
        </row>
        <row r="145">
          <cell r="A145" t="str">
            <v>rf524</v>
          </cell>
          <cell r="B145" t="str">
            <v>Lithophragma tenellum rf524</v>
          </cell>
        </row>
        <row r="146">
          <cell r="A146" t="str">
            <v>A10-2</v>
          </cell>
          <cell r="B146" t="str">
            <v>BREVIPETALA</v>
          </cell>
        </row>
        <row r="147">
          <cell r="A147" t="str">
            <v>A10-3</v>
          </cell>
          <cell r="B147" t="str">
            <v>BREVIPETALA</v>
          </cell>
        </row>
        <row r="148">
          <cell r="A148" t="str">
            <v>A10-5</v>
          </cell>
          <cell r="B148" t="str">
            <v>BREVIPETALA</v>
          </cell>
        </row>
        <row r="149">
          <cell r="A149" t="str">
            <v>A10-6</v>
          </cell>
          <cell r="B149" t="str">
            <v>BREVIPETALA</v>
          </cell>
        </row>
        <row r="150">
          <cell r="A150" t="str">
            <v>A10-7</v>
          </cell>
          <cell r="B150" t="str">
            <v>BREVIPETALA</v>
          </cell>
        </row>
        <row r="151">
          <cell r="A151" t="str">
            <v>A10-8</v>
          </cell>
          <cell r="B151" t="str">
            <v>BREVIPETALA</v>
          </cell>
        </row>
        <row r="152">
          <cell r="A152" t="str">
            <v>A11-6</v>
          </cell>
          <cell r="B152" t="str">
            <v>BREVIPETALA</v>
          </cell>
        </row>
        <row r="153">
          <cell r="A153" t="str">
            <v>A1-2</v>
          </cell>
          <cell r="B153" t="str">
            <v>CALYCOSA</v>
          </cell>
        </row>
        <row r="154">
          <cell r="A154" t="str">
            <v>A13-1</v>
          </cell>
          <cell r="B154" t="str">
            <v>HIRSUTICAULIS</v>
          </cell>
        </row>
        <row r="155">
          <cell r="A155" t="str">
            <v>A13-2</v>
          </cell>
          <cell r="B155" t="str">
            <v>HIRSUTICAULIS</v>
          </cell>
        </row>
        <row r="156">
          <cell r="A156" t="str">
            <v>A13-3</v>
          </cell>
          <cell r="B156" t="str">
            <v>HIRSUTICAULIS</v>
          </cell>
        </row>
        <row r="157">
          <cell r="A157" t="str">
            <v>A13-9</v>
          </cell>
          <cell r="B157" t="str">
            <v>HIRSUTICAULIS</v>
          </cell>
        </row>
        <row r="158">
          <cell r="A158" t="str">
            <v>A15-4</v>
          </cell>
          <cell r="B158" t="str">
            <v>RICHARDSONII</v>
          </cell>
        </row>
        <row r="159">
          <cell r="A159" t="str">
            <v>A15-5</v>
          </cell>
          <cell r="B159" t="str">
            <v>RICHARDSONII</v>
          </cell>
        </row>
        <row r="160">
          <cell r="A160" t="str">
            <v>A16-6</v>
          </cell>
          <cell r="B160" t="str">
            <v>GRAYANA</v>
          </cell>
        </row>
        <row r="161">
          <cell r="A161" t="str">
            <v>A17-6</v>
          </cell>
          <cell r="B161" t="str">
            <v>RICHARDSONII</v>
          </cell>
        </row>
        <row r="162">
          <cell r="A162" t="str">
            <v>A17-9</v>
          </cell>
          <cell r="B162" t="str">
            <v>RICHARDSONII</v>
          </cell>
        </row>
        <row r="163">
          <cell r="A163" t="str">
            <v>A21-10</v>
          </cell>
          <cell r="B163" t="str">
            <v>RICHARDSONII</v>
          </cell>
        </row>
        <row r="164">
          <cell r="A164" t="str">
            <v>A21-11</v>
          </cell>
          <cell r="B164" t="str">
            <v>RICHARDSONII</v>
          </cell>
        </row>
        <row r="165">
          <cell r="A165" t="str">
            <v>A21-1</v>
          </cell>
          <cell r="B165" t="str">
            <v>RICHARDSONII</v>
          </cell>
        </row>
        <row r="166">
          <cell r="A166" t="str">
            <v>A21-3</v>
          </cell>
          <cell r="B166" t="str">
            <v>RICHARDSONII</v>
          </cell>
        </row>
        <row r="167">
          <cell r="A167" t="str">
            <v>A21-4</v>
          </cell>
          <cell r="B167" t="str">
            <v>RICHARDSONII</v>
          </cell>
        </row>
        <row r="168">
          <cell r="A168" t="str">
            <v>A21-5</v>
          </cell>
          <cell r="B168" t="str">
            <v>RICHARDSONII</v>
          </cell>
        </row>
        <row r="169">
          <cell r="A169" t="str">
            <v>A21-6</v>
          </cell>
          <cell r="B169" t="str">
            <v>RICHARDSONII</v>
          </cell>
        </row>
        <row r="170">
          <cell r="A170" t="str">
            <v>A21-7</v>
          </cell>
          <cell r="B170" t="str">
            <v>RICHARDSONII</v>
          </cell>
        </row>
        <row r="171">
          <cell r="A171" t="str">
            <v>A21-8</v>
          </cell>
          <cell r="B171" t="str">
            <v>RICHARDSONII</v>
          </cell>
        </row>
        <row r="172">
          <cell r="A172" t="str">
            <v>A22-5</v>
          </cell>
          <cell r="B172" t="str">
            <v>Heuchera glomerulata A22-5 AZ</v>
          </cell>
        </row>
        <row r="173">
          <cell r="A173" t="str">
            <v>A5-2</v>
          </cell>
          <cell r="B173" t="str">
            <v>Heuchera villosa var. villosa A5-2 GA</v>
          </cell>
        </row>
        <row r="174">
          <cell r="A174" t="str">
            <v>A6-3</v>
          </cell>
          <cell r="B174" t="str">
            <v>CALYCOSA</v>
          </cell>
        </row>
        <row r="175">
          <cell r="A175" t="str">
            <v>A7-1</v>
          </cell>
          <cell r="B175" t="str">
            <v>AMERICANA</v>
          </cell>
        </row>
        <row r="176">
          <cell r="A176" t="str">
            <v>A7-2</v>
          </cell>
          <cell r="B176" t="str">
            <v>AMERICANA</v>
          </cell>
        </row>
        <row r="177">
          <cell r="A177" t="str">
            <v>A7-3</v>
          </cell>
          <cell r="B177" t="str">
            <v>AMERICANA</v>
          </cell>
        </row>
        <row r="178">
          <cell r="A178" t="str">
            <v>A7-4</v>
          </cell>
          <cell r="B178" t="str">
            <v>AMERICANA</v>
          </cell>
        </row>
        <row r="179">
          <cell r="A179" t="str">
            <v>A8</v>
          </cell>
          <cell r="B179" t="str">
            <v>CALYCOSA</v>
          </cell>
        </row>
        <row r="180">
          <cell r="A180" t="str">
            <v>A9-1</v>
          </cell>
          <cell r="B180" t="str">
            <v>HIRSUTICAULIS</v>
          </cell>
        </row>
        <row r="181">
          <cell r="A181" t="str">
            <v>A9-3</v>
          </cell>
          <cell r="B181" t="str">
            <v>HIRSUTICAULIS</v>
          </cell>
        </row>
        <row r="182">
          <cell r="A182" t="str">
            <v>A9-4</v>
          </cell>
          <cell r="B182" t="str">
            <v>HIRSUTICAULIS</v>
          </cell>
        </row>
        <row r="183">
          <cell r="A183" t="str">
            <v>FL-10</v>
          </cell>
          <cell r="B183" t="str">
            <v>Heuchera longiflora var. aceroides FL-10 TN</v>
          </cell>
        </row>
        <row r="184">
          <cell r="A184" t="str">
            <v>FL-11</v>
          </cell>
          <cell r="B184" t="str">
            <v>Heuchera longiflora var. aceroides FL-11 TN</v>
          </cell>
        </row>
        <row r="185">
          <cell r="A185" t="str">
            <v>FL-12</v>
          </cell>
          <cell r="B185" t="str">
            <v>Heuchera longiflora var. aceroides FL-12 TN</v>
          </cell>
        </row>
        <row r="186">
          <cell r="A186" t="str">
            <v>FL-14</v>
          </cell>
          <cell r="B186" t="str">
            <v>Heuchera longiflora var. longiflora FL-14 TN</v>
          </cell>
        </row>
        <row r="187">
          <cell r="A187" t="str">
            <v>FL-15</v>
          </cell>
          <cell r="B187" t="str">
            <v>Heuchera longiflora var. longiflora FL-15 TN</v>
          </cell>
        </row>
        <row r="188">
          <cell r="A188" t="str">
            <v>FL-16</v>
          </cell>
          <cell r="B188" t="str">
            <v>Heuchera longiflora var. aceroides FL-16 TN</v>
          </cell>
        </row>
        <row r="189">
          <cell r="A189" t="str">
            <v>FL-17</v>
          </cell>
          <cell r="B189" t="str">
            <v>Heuchera longiflora var. longiflora FL-17 TN</v>
          </cell>
        </row>
        <row r="190">
          <cell r="A190" t="str">
            <v>FL-18</v>
          </cell>
          <cell r="B190" t="str">
            <v>Heuchera longiflora var. aceroides FL-18 TN</v>
          </cell>
        </row>
        <row r="191">
          <cell r="A191" t="str">
            <v>FL-1</v>
          </cell>
          <cell r="B191" t="str">
            <v>Heuchera longiflora var. longiflora FL-1</v>
          </cell>
        </row>
        <row r="192">
          <cell r="A192" t="str">
            <v>FL-20</v>
          </cell>
          <cell r="B192" t="str">
            <v>Heuchera longiflora var. aceroides FL-20 TN</v>
          </cell>
        </row>
        <row r="193">
          <cell r="A193" t="str">
            <v>FL-21</v>
          </cell>
          <cell r="B193" t="str">
            <v>Heuchera longiflora var. aceroides FL-21 TN</v>
          </cell>
        </row>
        <row r="194">
          <cell r="A194" t="str">
            <v>FL-22</v>
          </cell>
          <cell r="B194" t="str">
            <v>Heuchera longiflora var. longiflora FL-22 TN</v>
          </cell>
        </row>
        <row r="195">
          <cell r="A195" t="str">
            <v>FL-25</v>
          </cell>
          <cell r="B195" t="str">
            <v>Heuchera longiflora var. longiflora FL-25 VA</v>
          </cell>
        </row>
        <row r="196">
          <cell r="A196" t="str">
            <v>FL-26</v>
          </cell>
          <cell r="B196" t="str">
            <v>Heuchera longiflora var. longiflora FL-26 AL</v>
          </cell>
        </row>
        <row r="197">
          <cell r="A197" t="str">
            <v>FL-2</v>
          </cell>
          <cell r="B197" t="str">
            <v>Heuchera longiflora var. aceroides FL-2 TN</v>
          </cell>
        </row>
        <row r="198">
          <cell r="A198" t="str">
            <v>FL-3</v>
          </cell>
          <cell r="B198" t="str">
            <v>Heuchera longiflora var. aceroides FL-3 TN</v>
          </cell>
        </row>
        <row r="199">
          <cell r="A199" t="str">
            <v>FL-4</v>
          </cell>
          <cell r="B199" t="str">
            <v>Heuchera longiflora var. aceroides FL-4 TN</v>
          </cell>
        </row>
        <row r="200">
          <cell r="A200" t="str">
            <v>FL-5</v>
          </cell>
          <cell r="B200" t="str">
            <v>Heuchera longiflora var. aceroides FL-5 TN</v>
          </cell>
        </row>
        <row r="201">
          <cell r="A201" t="str">
            <v>FL-6</v>
          </cell>
          <cell r="B201" t="str">
            <v>Heuchera longiflora var. aceroides FL-6 TN</v>
          </cell>
        </row>
        <row r="202">
          <cell r="A202" t="str">
            <v>FL-8</v>
          </cell>
          <cell r="B202" t="str">
            <v>Heuchera longiflora var. longiflora FL-8 TN</v>
          </cell>
        </row>
        <row r="203">
          <cell r="A203" t="str">
            <v>FL-9</v>
          </cell>
          <cell r="B203" t="str">
            <v>Heuchera longiflora var. longiflora FL-9 TN</v>
          </cell>
        </row>
        <row r="204">
          <cell r="A204" t="str">
            <v>H100-2</v>
          </cell>
          <cell r="B204" t="str">
            <v>Heuchera pubescens H100-2 VA Rockbridge</v>
          </cell>
        </row>
        <row r="205">
          <cell r="A205" t="str">
            <v>H101-2</v>
          </cell>
          <cell r="B205" t="str">
            <v>HISPIDA</v>
          </cell>
        </row>
        <row r="206">
          <cell r="A206" t="str">
            <v>H101-3</v>
          </cell>
          <cell r="B206" t="str">
            <v>HISPIDA</v>
          </cell>
        </row>
        <row r="207">
          <cell r="A207" t="str">
            <v>H102-1</v>
          </cell>
          <cell r="B207" t="str">
            <v>HISPIDA</v>
          </cell>
        </row>
        <row r="208">
          <cell r="A208" t="str">
            <v>H102-2</v>
          </cell>
          <cell r="B208" t="str">
            <v>HISPIDA</v>
          </cell>
        </row>
        <row r="209">
          <cell r="A209" t="str">
            <v>H103-2</v>
          </cell>
          <cell r="B209" t="str">
            <v>HISPIDA</v>
          </cell>
        </row>
        <row r="210">
          <cell r="A210" t="str">
            <v>H104-1</v>
          </cell>
          <cell r="B210" t="str">
            <v>HISPIDA</v>
          </cell>
        </row>
        <row r="211">
          <cell r="A211" t="str">
            <v>H105-1</v>
          </cell>
          <cell r="B211" t="str">
            <v>RICHARDSONII</v>
          </cell>
        </row>
        <row r="212">
          <cell r="A212" t="str">
            <v>H115-1</v>
          </cell>
          <cell r="B212" t="str">
            <v>Heuchera cylindrica var. glabella H115-1 MT Lewis and Clark</v>
          </cell>
        </row>
        <row r="213">
          <cell r="A213" t="str">
            <v>H119-1</v>
          </cell>
          <cell r="B213" t="str">
            <v>Heuchera cylindrica var. glabella H119-1 MT Glacier</v>
          </cell>
        </row>
        <row r="214">
          <cell r="A214" t="str">
            <v>H122-1</v>
          </cell>
          <cell r="B214" t="str">
            <v>Heuchera cylindrica var. cylindrica H122-1 WA</v>
          </cell>
        </row>
        <row r="215">
          <cell r="A215" t="str">
            <v>H123-1</v>
          </cell>
          <cell r="B215" t="str">
            <v>Heuchera cylindrica var. cylindrica H123-1 WA</v>
          </cell>
        </row>
        <row r="216">
          <cell r="A216" t="str">
            <v>H132-1</v>
          </cell>
          <cell r="B216" t="str">
            <v>Heuchera micrantha var. diversifolia H132-1 WA</v>
          </cell>
        </row>
        <row r="217">
          <cell r="A217" t="str">
            <v>H132-2</v>
          </cell>
          <cell r="B217" t="str">
            <v>Heuchera micrantha var. diversifolia H132-2 WA</v>
          </cell>
        </row>
        <row r="218">
          <cell r="A218" t="str">
            <v>H133-2</v>
          </cell>
          <cell r="B218" t="str">
            <v>Heuchera glabra X H. micrantha var. diversifolia H133-2 WA</v>
          </cell>
        </row>
        <row r="219">
          <cell r="A219" t="str">
            <v>H135-1</v>
          </cell>
          <cell r="B219" t="str">
            <v>Heuchera glabra H135-1 WA</v>
          </cell>
        </row>
        <row r="220">
          <cell r="A220" t="str">
            <v>H136-1</v>
          </cell>
          <cell r="B220" t="str">
            <v>Heuchera micrantha var. micrantha H136-1 OR</v>
          </cell>
        </row>
        <row r="221">
          <cell r="A221" t="str">
            <v>H137-1</v>
          </cell>
          <cell r="B221" t="str">
            <v>Heuchera glabra H137-1 OR</v>
          </cell>
        </row>
        <row r="222">
          <cell r="A222" t="str">
            <v>H139-2</v>
          </cell>
          <cell r="B222" t="str">
            <v>Heuchera cylindrica var. alpina H139-2 OR</v>
          </cell>
        </row>
        <row r="223">
          <cell r="A223" t="str">
            <v>H144-2</v>
          </cell>
          <cell r="B223" t="str">
            <v>Heuchera micrantha var. hartwegii H144-2 OR</v>
          </cell>
        </row>
        <row r="224">
          <cell r="A224" t="str">
            <v>H151-2</v>
          </cell>
          <cell r="B224" t="str">
            <v>Heuchera cylindrica var. alpina H151-2 CA</v>
          </cell>
        </row>
        <row r="225">
          <cell r="A225" t="str">
            <v>H152-P</v>
          </cell>
          <cell r="B225" t="str">
            <v>Heuchera cylindrica var. alpina H152-P OR</v>
          </cell>
        </row>
        <row r="226">
          <cell r="A226" t="str">
            <v>H153-2</v>
          </cell>
          <cell r="B226" t="str">
            <v>Heuchera rubescens var. truncata H153-2 OR</v>
          </cell>
        </row>
        <row r="227">
          <cell r="A227" t="str">
            <v>H155-1</v>
          </cell>
          <cell r="B227" t="str">
            <v>Heuchera grossulariifolia var. grossulariifolia H155-1 ID</v>
          </cell>
        </row>
        <row r="228">
          <cell r="A228" t="str">
            <v>H157-1</v>
          </cell>
          <cell r="B228" t="str">
            <v>Heuchera grossulariifolia var. grossulariifolia H157-1 ID</v>
          </cell>
        </row>
        <row r="229">
          <cell r="A229" t="str">
            <v>H158-1</v>
          </cell>
          <cell r="B229" t="str">
            <v>Heuchera grossulariifolia var. grossulariifolia H158-1 ID</v>
          </cell>
        </row>
        <row r="230">
          <cell r="A230" t="str">
            <v>H162-1</v>
          </cell>
          <cell r="B230" t="str">
            <v>Heuchera rubescens var. rubescens H162-1 ID</v>
          </cell>
        </row>
        <row r="231">
          <cell r="A231" t="str">
            <v>H163</v>
          </cell>
          <cell r="B231" t="str">
            <v>Heuchera bracteata H163 WY</v>
          </cell>
        </row>
        <row r="232">
          <cell r="A232" t="str">
            <v>H166-2</v>
          </cell>
          <cell r="B232" t="str">
            <v>GRAYANA</v>
          </cell>
        </row>
        <row r="233">
          <cell r="A233" t="str">
            <v>H167-1</v>
          </cell>
          <cell r="B233" t="str">
            <v>GRAYANA</v>
          </cell>
        </row>
        <row r="234">
          <cell r="A234" t="str">
            <v>H167-2</v>
          </cell>
          <cell r="B234" t="str">
            <v>GRAYANA</v>
          </cell>
        </row>
        <row r="235">
          <cell r="A235" t="str">
            <v>H170-1</v>
          </cell>
          <cell r="B235" t="str">
            <v>Heuchera parviflora var. parviflora H170-1 OH</v>
          </cell>
        </row>
        <row r="236">
          <cell r="A236" t="str">
            <v>H170-2</v>
          </cell>
          <cell r="B236" t="str">
            <v>Heuchera parviflora var. parviflora H170-2 OH</v>
          </cell>
        </row>
        <row r="237">
          <cell r="A237" t="str">
            <v>H170-3</v>
          </cell>
          <cell r="B237" t="str">
            <v>Heuchera parviflora var. parviflora H170-3 OH</v>
          </cell>
        </row>
        <row r="238">
          <cell r="A238" t="str">
            <v>H171-1</v>
          </cell>
          <cell r="B238" t="str">
            <v>Heuchera parviflora var. parviflora H171-1 OH</v>
          </cell>
        </row>
        <row r="239">
          <cell r="A239" t="str">
            <v>H172-1</v>
          </cell>
          <cell r="B239" t="str">
            <v>Heuchera missouriensis H172-1 IN</v>
          </cell>
        </row>
        <row r="240">
          <cell r="A240" t="str">
            <v>H172-2</v>
          </cell>
          <cell r="B240" t="str">
            <v>Heuchera missouriensis H172-2 IN</v>
          </cell>
        </row>
        <row r="241">
          <cell r="A241" t="str">
            <v>H172-3</v>
          </cell>
          <cell r="B241" t="str">
            <v>Heuchera missouriensis H172-3 IN</v>
          </cell>
        </row>
        <row r="242">
          <cell r="A242" t="str">
            <v>H173-1</v>
          </cell>
          <cell r="B242" t="str">
            <v>Heuchera missouriensis H173-1 IL</v>
          </cell>
        </row>
        <row r="243">
          <cell r="A243" t="str">
            <v>H173-2</v>
          </cell>
          <cell r="B243" t="str">
            <v>Heuchera missouriensis H173-2 IL</v>
          </cell>
        </row>
        <row r="244">
          <cell r="A244" t="str">
            <v>H173-4</v>
          </cell>
          <cell r="B244" t="str">
            <v>Heuchera missouriensis H173-4 IL</v>
          </cell>
        </row>
        <row r="245">
          <cell r="A245" t="str">
            <v>H174-1</v>
          </cell>
          <cell r="B245" t="str">
            <v>Heuchera missouriensis H174-1 IL</v>
          </cell>
        </row>
        <row r="246">
          <cell r="A246" t="str">
            <v>H174-2</v>
          </cell>
          <cell r="B246" t="str">
            <v>Heuchera missouriensis H174-2 IL</v>
          </cell>
        </row>
        <row r="247">
          <cell r="A247" t="str">
            <v>H175-1</v>
          </cell>
          <cell r="B247" t="str">
            <v>Heuchera missouriensis H175-1 IL</v>
          </cell>
        </row>
        <row r="248">
          <cell r="A248" t="str">
            <v>H175-2</v>
          </cell>
          <cell r="B248" t="str">
            <v>Heuchera missouriensis H175-2 IL</v>
          </cell>
        </row>
        <row r="249">
          <cell r="A249" t="str">
            <v>H176-1</v>
          </cell>
          <cell r="B249" t="str">
            <v>Heuchera missouriensis H176-1 IL</v>
          </cell>
        </row>
        <row r="250">
          <cell r="A250" t="str">
            <v>H176-2</v>
          </cell>
          <cell r="B250" t="str">
            <v>Heuchera missouriensis H176-2 IL</v>
          </cell>
        </row>
        <row r="251">
          <cell r="A251" t="str">
            <v>H176-3</v>
          </cell>
          <cell r="B251" t="str">
            <v>Heuchera missouriensis H176-3 IL</v>
          </cell>
        </row>
        <row r="252">
          <cell r="A252" t="str">
            <v>H176-4</v>
          </cell>
          <cell r="B252" t="str">
            <v>Heuchera missouriensis H176-4 IL</v>
          </cell>
        </row>
        <row r="253">
          <cell r="A253" t="str">
            <v>H178-1</v>
          </cell>
          <cell r="B253" t="str">
            <v>Heuchera missouriensis H178-1 IL</v>
          </cell>
        </row>
        <row r="254">
          <cell r="A254" t="str">
            <v>H178-2</v>
          </cell>
          <cell r="B254" t="str">
            <v>Heuchera missouriensis H178-2 IL</v>
          </cell>
        </row>
        <row r="255">
          <cell r="A255" t="str">
            <v>H178-3</v>
          </cell>
          <cell r="B255" t="str">
            <v>Heuchera missouriensis H178-3 IL</v>
          </cell>
        </row>
        <row r="256">
          <cell r="A256" t="str">
            <v>H179-1</v>
          </cell>
          <cell r="B256" t="str">
            <v>Heuchera missouriensis H179-1 IL</v>
          </cell>
        </row>
        <row r="257">
          <cell r="A257" t="str">
            <v>H179-2</v>
          </cell>
          <cell r="B257" t="str">
            <v>Heuchera missouriensis H179-2 IL</v>
          </cell>
        </row>
        <row r="258">
          <cell r="A258" t="str">
            <v>H180-1</v>
          </cell>
          <cell r="B258" t="str">
            <v>Heuchera missouriensis H180-1 IL</v>
          </cell>
        </row>
        <row r="259">
          <cell r="A259" t="str">
            <v>H180-2</v>
          </cell>
          <cell r="B259" t="str">
            <v>Heuchera missouriensis H180-2 IL</v>
          </cell>
        </row>
        <row r="260">
          <cell r="A260" t="str">
            <v>H181-1</v>
          </cell>
          <cell r="B260" t="str">
            <v>Heuchera puberula H181-1 MO</v>
          </cell>
        </row>
        <row r="261">
          <cell r="A261" t="str">
            <v>H181-4</v>
          </cell>
          <cell r="B261" t="str">
            <v>Heuchera puberula H181-4 MO</v>
          </cell>
        </row>
        <row r="262">
          <cell r="A262" t="str">
            <v>H182-1</v>
          </cell>
          <cell r="B262" t="str">
            <v>Heuchera puberula H182-1 MO</v>
          </cell>
        </row>
        <row r="263">
          <cell r="A263" t="str">
            <v>H182-2</v>
          </cell>
          <cell r="B263" t="str">
            <v>Heuchera puberula H182-2 MO</v>
          </cell>
        </row>
        <row r="264">
          <cell r="A264" t="str">
            <v>H183-1</v>
          </cell>
          <cell r="B264" t="str">
            <v>Heuchera puberula H183-1 MO</v>
          </cell>
        </row>
        <row r="265">
          <cell r="A265" t="str">
            <v>H183-2</v>
          </cell>
          <cell r="B265" t="str">
            <v>Heuchera puberula H183-2 MO</v>
          </cell>
        </row>
        <row r="266">
          <cell r="A266" t="str">
            <v>H183-4</v>
          </cell>
          <cell r="B266" t="str">
            <v>Heuchera puberula H183-4 MO</v>
          </cell>
        </row>
        <row r="267">
          <cell r="A267" t="str">
            <v>H184-1</v>
          </cell>
          <cell r="B267" t="str">
            <v>Heuchera puberula H184-1 MO</v>
          </cell>
        </row>
        <row r="268">
          <cell r="A268" t="str">
            <v>H184-2</v>
          </cell>
          <cell r="B268" t="str">
            <v>Heuchera puberula H184-2 MO</v>
          </cell>
        </row>
        <row r="269">
          <cell r="A269" t="str">
            <v>H185-1</v>
          </cell>
          <cell r="B269" t="str">
            <v>Heuchera puberula H185-1 MO</v>
          </cell>
        </row>
        <row r="270">
          <cell r="A270" t="str">
            <v>H185-2</v>
          </cell>
          <cell r="B270" t="str">
            <v>Heuchera puberula H185-2 MO</v>
          </cell>
        </row>
        <row r="271">
          <cell r="A271" t="str">
            <v>H185-4</v>
          </cell>
          <cell r="B271" t="str">
            <v>Heuchera puberula H185-4 MO</v>
          </cell>
        </row>
        <row r="272">
          <cell r="A272" t="str">
            <v>H186-1</v>
          </cell>
          <cell r="B272" t="str">
            <v>Heuchera puberula H186-1 MO</v>
          </cell>
        </row>
        <row r="273">
          <cell r="A273" t="str">
            <v>H186-2</v>
          </cell>
          <cell r="B273" t="str">
            <v>Heuchera puberula H186-2 MO</v>
          </cell>
        </row>
        <row r="274">
          <cell r="A274" t="str">
            <v>H187-1</v>
          </cell>
          <cell r="B274" t="str">
            <v>Heuchera puberula H187-1 MO</v>
          </cell>
        </row>
        <row r="275">
          <cell r="A275" t="str">
            <v>H187-2</v>
          </cell>
          <cell r="B275" t="str">
            <v>Heuchera puberula H187-2 MO</v>
          </cell>
        </row>
        <row r="276">
          <cell r="A276" t="str">
            <v>H187-3</v>
          </cell>
          <cell r="B276" t="str">
            <v>Heuchera puberula H187-3 MO</v>
          </cell>
        </row>
        <row r="277">
          <cell r="A277" t="str">
            <v>H187-4</v>
          </cell>
          <cell r="B277" t="str">
            <v>Heuchera puberula H187-4 MO</v>
          </cell>
        </row>
        <row r="278">
          <cell r="A278" t="str">
            <v>H188-1</v>
          </cell>
          <cell r="B278" t="str">
            <v>Heuchera puberula H188-1 MO</v>
          </cell>
        </row>
        <row r="279">
          <cell r="A279" t="str">
            <v>H188-2</v>
          </cell>
          <cell r="B279" t="str">
            <v>Heuchera puberula H188-2 MO</v>
          </cell>
        </row>
        <row r="280">
          <cell r="A280" t="str">
            <v>H188-3</v>
          </cell>
          <cell r="B280" t="str">
            <v>Heuchera puberula H188-3 MO</v>
          </cell>
        </row>
        <row r="281">
          <cell r="A281" t="str">
            <v>H188-4</v>
          </cell>
          <cell r="B281" t="str">
            <v>Heuchera puberula H188-4 MO</v>
          </cell>
        </row>
        <row r="282">
          <cell r="A282" t="str">
            <v>H189-1</v>
          </cell>
          <cell r="B282" t="str">
            <v>Heuchera puberula H189-1 AR</v>
          </cell>
        </row>
        <row r="283">
          <cell r="A283" t="str">
            <v>H189-2</v>
          </cell>
          <cell r="B283" t="str">
            <v>Heuchera puberula H189-2 AR</v>
          </cell>
        </row>
        <row r="284">
          <cell r="A284" t="str">
            <v>H189-4</v>
          </cell>
          <cell r="B284" t="str">
            <v>Heuchera puberula H189-4 AR</v>
          </cell>
        </row>
        <row r="285">
          <cell r="A285" t="str">
            <v>H190-1</v>
          </cell>
          <cell r="B285" t="str">
            <v>Heuchera puberula H190-1 AR</v>
          </cell>
        </row>
        <row r="286">
          <cell r="A286" t="str">
            <v>H190-2</v>
          </cell>
          <cell r="B286" t="str">
            <v>Heuchera puberula H190-2 AR</v>
          </cell>
        </row>
        <row r="287">
          <cell r="A287" t="str">
            <v>H191-1</v>
          </cell>
          <cell r="B287" t="str">
            <v>Heuchera puberula H191-1 AR</v>
          </cell>
        </row>
        <row r="288">
          <cell r="A288" t="str">
            <v>H191-2</v>
          </cell>
          <cell r="B288" t="str">
            <v>Heuchera puberula H191-2 AR</v>
          </cell>
        </row>
        <row r="289">
          <cell r="A289" t="str">
            <v>H191-3</v>
          </cell>
          <cell r="B289" t="str">
            <v>Heuchera puberula H191-3 AR</v>
          </cell>
        </row>
        <row r="290">
          <cell r="A290" t="str">
            <v>H193-2</v>
          </cell>
          <cell r="B290" t="str">
            <v>Heuchera longiflora var. longiflora H193-2 KY</v>
          </cell>
        </row>
        <row r="291">
          <cell r="A291" t="str">
            <v>H195-1</v>
          </cell>
          <cell r="B291" t="str">
            <v>Heuchera parviflora var. parviflora H195-1 KY</v>
          </cell>
        </row>
        <row r="292">
          <cell r="A292" t="str">
            <v>H195-2</v>
          </cell>
          <cell r="B292" t="str">
            <v>Heuchera parviflora var. parviflora H195-2 KY</v>
          </cell>
        </row>
        <row r="293">
          <cell r="A293" t="str">
            <v>H196-1</v>
          </cell>
          <cell r="B293" t="str">
            <v>Heuchera parviflora var. parviflora H196-1 KY</v>
          </cell>
        </row>
        <row r="294">
          <cell r="A294" t="str">
            <v>H197-1</v>
          </cell>
          <cell r="B294" t="str">
            <v>Heuchera parviflora var. parviflora H197-1 KY</v>
          </cell>
        </row>
        <row r="295">
          <cell r="A295" t="str">
            <v>H197-2</v>
          </cell>
          <cell r="B295" t="str">
            <v>Heuchera parviflora var. parviflora H197-2 KY</v>
          </cell>
        </row>
        <row r="296">
          <cell r="A296" t="str">
            <v>H198-2</v>
          </cell>
          <cell r="B296" t="str">
            <v>Heuchera parviflora var. parviflora H198-2 KY</v>
          </cell>
        </row>
        <row r="297">
          <cell r="A297" t="str">
            <v>H198-4</v>
          </cell>
          <cell r="B297" t="str">
            <v>Heuchera parviflora var. parviflora H198-4 KY</v>
          </cell>
        </row>
        <row r="298">
          <cell r="A298" t="str">
            <v>H199-1</v>
          </cell>
          <cell r="B298" t="str">
            <v>Heuchera parviflora var. parviflora H199-1 KY</v>
          </cell>
        </row>
        <row r="299">
          <cell r="A299" t="str">
            <v>H199-2</v>
          </cell>
          <cell r="B299" t="str">
            <v>Heuchera parviflora var. parviflora H199-2 KY</v>
          </cell>
        </row>
        <row r="300">
          <cell r="A300" t="str">
            <v>H200-1</v>
          </cell>
          <cell r="B300" t="str">
            <v>Heuchera parviflora var. parviflora H200-1 KY</v>
          </cell>
        </row>
        <row r="301">
          <cell r="A301" t="str">
            <v>H200-2</v>
          </cell>
          <cell r="B301" t="str">
            <v>Heuchera parviflora var. parviflora H200-2 KY</v>
          </cell>
        </row>
        <row r="302">
          <cell r="A302" t="str">
            <v>H200-3</v>
          </cell>
          <cell r="B302" t="str">
            <v>Heuchera parviflora var. parviflora H200-3 KY</v>
          </cell>
        </row>
        <row r="303">
          <cell r="A303" t="str">
            <v>H200-4</v>
          </cell>
          <cell r="B303" t="str">
            <v>Heuchera parviflora var. parviflora H200-4 KY</v>
          </cell>
        </row>
        <row r="304">
          <cell r="A304" t="str">
            <v>H201-2</v>
          </cell>
          <cell r="B304" t="str">
            <v>Heuchera parviflora var. parviflora H201-2 KY</v>
          </cell>
        </row>
        <row r="305">
          <cell r="A305" t="str">
            <v>H201-3</v>
          </cell>
          <cell r="B305" t="str">
            <v>Heuchera parviflora var. parviflora H201-3 KY</v>
          </cell>
        </row>
        <row r="306">
          <cell r="A306" t="str">
            <v>H201-4</v>
          </cell>
          <cell r="B306" t="str">
            <v>Heuchera parviflora var. parviflora H201-4 KY</v>
          </cell>
        </row>
        <row r="307">
          <cell r="A307" t="str">
            <v>H202-1</v>
          </cell>
          <cell r="B307" t="str">
            <v>Heuchera parviflora var. parviflora H202-1 KY</v>
          </cell>
        </row>
        <row r="308">
          <cell r="A308" t="str">
            <v>H202-2</v>
          </cell>
          <cell r="B308" t="str">
            <v>Heuchera parviflora var. parviflora H202-2 KY</v>
          </cell>
        </row>
        <row r="309">
          <cell r="A309" t="str">
            <v>H20-2</v>
          </cell>
          <cell r="B309" t="str">
            <v>Heuchera parviflora var. parviflora H20-2 NM</v>
          </cell>
        </row>
        <row r="310">
          <cell r="A310" t="str">
            <v>H203-1</v>
          </cell>
          <cell r="B310" t="str">
            <v>Heuchera parviflora var. parviflora H203-1 KY</v>
          </cell>
        </row>
        <row r="311">
          <cell r="A311" t="str">
            <v>H203-2</v>
          </cell>
          <cell r="B311" t="str">
            <v>Heuchera parviflora var. parviflora H203-2 KY</v>
          </cell>
        </row>
        <row r="312">
          <cell r="A312" t="str">
            <v>H203-4</v>
          </cell>
          <cell r="B312" t="str">
            <v>Heuchera parviflora var. parviflora H203-4 KY</v>
          </cell>
        </row>
        <row r="313">
          <cell r="A313" t="str">
            <v>H204-1</v>
          </cell>
          <cell r="B313" t="str">
            <v>Heuchera parviflora var. parviflora H204-1 KY</v>
          </cell>
        </row>
        <row r="314">
          <cell r="A314" t="str">
            <v>H204-2</v>
          </cell>
          <cell r="B314" t="str">
            <v>Heuchera parviflora var. parviflora H204-2 KY</v>
          </cell>
        </row>
        <row r="315">
          <cell r="A315" t="str">
            <v>H204-3</v>
          </cell>
          <cell r="B315" t="str">
            <v>Heuchera parviflora var. parviflora H204-3 KY</v>
          </cell>
        </row>
        <row r="316">
          <cell r="A316" t="str">
            <v>H205-1</v>
          </cell>
          <cell r="B316" t="str">
            <v>Heuchera parviflora var. parviflora H205-1 TN</v>
          </cell>
        </row>
        <row r="317">
          <cell r="A317" t="str">
            <v>H205-2</v>
          </cell>
          <cell r="B317" t="str">
            <v>Heuchera parviflora var. parviflora H205-2 TN</v>
          </cell>
        </row>
        <row r="318">
          <cell r="A318" t="str">
            <v>H206-1</v>
          </cell>
          <cell r="B318" t="str">
            <v>Heuchera parviflora var. parviflora H206-1 TN</v>
          </cell>
        </row>
        <row r="319">
          <cell r="A319" t="str">
            <v>H206-2</v>
          </cell>
          <cell r="B319" t="str">
            <v>Heuchera parviflora var. parviflora H206-2 TN</v>
          </cell>
        </row>
        <row r="320">
          <cell r="A320" t="str">
            <v>H207-1</v>
          </cell>
          <cell r="B320" t="str">
            <v>Heuchera parviflora var. parviflora H207-1 TN</v>
          </cell>
        </row>
        <row r="321">
          <cell r="A321" t="str">
            <v>H207-2</v>
          </cell>
          <cell r="B321" t="str">
            <v>Heuchera parviflora var. parviflora H207-2 TN</v>
          </cell>
        </row>
        <row r="322">
          <cell r="A322" t="str">
            <v>H207-3</v>
          </cell>
          <cell r="B322" t="str">
            <v>Heuchera parviflora var. parviflora H207-3 TN</v>
          </cell>
        </row>
        <row r="323">
          <cell r="A323" t="str">
            <v>H207-4</v>
          </cell>
          <cell r="B323" t="str">
            <v>Heuchera parviflora var. parviflora H207-4 TN</v>
          </cell>
        </row>
        <row r="324">
          <cell r="A324" t="str">
            <v>H208-1</v>
          </cell>
          <cell r="B324" t="str">
            <v>Heuchera parviflora var. parviflora H208-1 TN</v>
          </cell>
        </row>
        <row r="325">
          <cell r="A325" t="str">
            <v>H208-2</v>
          </cell>
          <cell r="B325" t="str">
            <v>Heuchera parviflora var. parviflora H208-2 TN</v>
          </cell>
        </row>
        <row r="326">
          <cell r="A326" t="str">
            <v>H208-3</v>
          </cell>
          <cell r="B326" t="str">
            <v>Heuchera parviflora var. parviflora H208-3 TN</v>
          </cell>
        </row>
        <row r="327">
          <cell r="A327" t="str">
            <v>H208-4</v>
          </cell>
          <cell r="B327" t="str">
            <v>Heuchera parviflora var. parviflora H208-4 TN</v>
          </cell>
        </row>
        <row r="328">
          <cell r="A328" t="str">
            <v>H209-1</v>
          </cell>
          <cell r="B328" t="str">
            <v>Heuchera missouriensis H209-1 TN</v>
          </cell>
        </row>
        <row r="329">
          <cell r="A329" t="str">
            <v>H209-2</v>
          </cell>
          <cell r="B329" t="str">
            <v>Heuchera missouriensis H209-2 TN</v>
          </cell>
        </row>
        <row r="330">
          <cell r="A330" t="str">
            <v>H209-3</v>
          </cell>
          <cell r="B330" t="str">
            <v>Heuchera missouriensis H209-3 TN</v>
          </cell>
        </row>
        <row r="331">
          <cell r="A331" t="str">
            <v>H209-4</v>
          </cell>
          <cell r="B331" t="str">
            <v>Heuchera missouriensis H209-4 TN</v>
          </cell>
        </row>
        <row r="332">
          <cell r="A332" t="str">
            <v>H210-1</v>
          </cell>
          <cell r="B332" t="str">
            <v>Heuchera missouriensis H210-1 TN</v>
          </cell>
        </row>
        <row r="333">
          <cell r="A333" t="str">
            <v>H210-2</v>
          </cell>
          <cell r="B333" t="str">
            <v>Heuchera missouriensis H210-2 TN</v>
          </cell>
        </row>
        <row r="334">
          <cell r="A334" t="str">
            <v>H211-1</v>
          </cell>
          <cell r="B334" t="str">
            <v>Heuchera missouriensis H211-1 TN</v>
          </cell>
        </row>
        <row r="335">
          <cell r="A335" t="str">
            <v>H211-2</v>
          </cell>
          <cell r="B335" t="str">
            <v>Heuchera missouriensis H211-2 TN</v>
          </cell>
        </row>
        <row r="336">
          <cell r="A336" t="str">
            <v>H211-4</v>
          </cell>
          <cell r="B336" t="str">
            <v>Heuchera missouriensis H211-4 TN</v>
          </cell>
        </row>
        <row r="337">
          <cell r="A337" t="str">
            <v>H21-1</v>
          </cell>
          <cell r="B337" t="str">
            <v>Heuchera pulchella H21-1 NM</v>
          </cell>
        </row>
        <row r="338">
          <cell r="A338" t="str">
            <v>H212-1</v>
          </cell>
          <cell r="B338" t="str">
            <v>Heuchera parviflora var. parviflora H212-1 TN</v>
          </cell>
        </row>
        <row r="339">
          <cell r="A339" t="str">
            <v>H212-2</v>
          </cell>
          <cell r="B339" t="str">
            <v>Heuchera parviflora var. parviflora H212-2 TN</v>
          </cell>
        </row>
        <row r="340">
          <cell r="A340" t="str">
            <v>H212-4</v>
          </cell>
          <cell r="B340" t="str">
            <v>Heuchera parviflora var. parviflora H212-4 TN</v>
          </cell>
        </row>
        <row r="341">
          <cell r="A341" t="str">
            <v>H21-2</v>
          </cell>
          <cell r="B341" t="str">
            <v>Heuchera pulchella H21-2 NM</v>
          </cell>
        </row>
        <row r="342">
          <cell r="A342" t="str">
            <v>H213-1</v>
          </cell>
          <cell r="B342" t="str">
            <v>Heuchera missouriensis H213-1 TN</v>
          </cell>
        </row>
        <row r="343">
          <cell r="A343" t="str">
            <v>H213-2</v>
          </cell>
          <cell r="B343" t="str">
            <v>Heuchera missouriensis H213-2 TN</v>
          </cell>
        </row>
        <row r="344">
          <cell r="A344" t="str">
            <v>H213-3</v>
          </cell>
          <cell r="B344" t="str">
            <v>Heuchera missouriensis H213-3 TN</v>
          </cell>
        </row>
        <row r="345">
          <cell r="A345" t="str">
            <v>H213-4</v>
          </cell>
          <cell r="B345" t="str">
            <v>Heuchera missouriensis H213-4 TN</v>
          </cell>
        </row>
        <row r="346">
          <cell r="A346" t="str">
            <v>H214-2</v>
          </cell>
          <cell r="B346" t="str">
            <v>BREVIPETALA</v>
          </cell>
        </row>
        <row r="347">
          <cell r="A347" t="str">
            <v>H215-1</v>
          </cell>
          <cell r="B347" t="str">
            <v>Heuchera parviflora var. parviflora H215-1 KY</v>
          </cell>
        </row>
        <row r="348">
          <cell r="A348" t="str">
            <v>H215-2</v>
          </cell>
          <cell r="B348" t="str">
            <v>Heuchera parviflora var. parviflora H215-2 KY</v>
          </cell>
        </row>
        <row r="349">
          <cell r="A349" t="str">
            <v>H215-3</v>
          </cell>
          <cell r="B349" t="str">
            <v>Heuchera parviflora var. parviflora H215-3 KY</v>
          </cell>
        </row>
        <row r="350">
          <cell r="A350" t="str">
            <v>H217-1</v>
          </cell>
          <cell r="B350" t="str">
            <v>Heuchera missouriensis H217-1 AL</v>
          </cell>
        </row>
        <row r="351">
          <cell r="A351" t="str">
            <v>H217-2</v>
          </cell>
          <cell r="B351" t="str">
            <v>Heuchera missouriensis H217-2 AL</v>
          </cell>
        </row>
        <row r="352">
          <cell r="A352" t="str">
            <v>H217-3</v>
          </cell>
          <cell r="B352" t="str">
            <v>Heuchera missouriensis H217-3 AL</v>
          </cell>
        </row>
        <row r="353">
          <cell r="A353" t="str">
            <v>H218-1</v>
          </cell>
          <cell r="B353" t="str">
            <v>Heuchera missouriensis H218-1 AL</v>
          </cell>
        </row>
        <row r="354">
          <cell r="A354" t="str">
            <v>H218-3</v>
          </cell>
          <cell r="B354" t="str">
            <v>Heuchera missouriensis H218-3 AL</v>
          </cell>
        </row>
        <row r="355">
          <cell r="A355" t="str">
            <v>H219-1</v>
          </cell>
          <cell r="B355" t="str">
            <v>Heuchera missouriensis H219-1 AL</v>
          </cell>
        </row>
        <row r="356">
          <cell r="A356" t="str">
            <v>H219-2</v>
          </cell>
          <cell r="B356" t="str">
            <v>Heuchera missouriensis H219-2 AL</v>
          </cell>
        </row>
        <row r="357">
          <cell r="A357" t="str">
            <v>H220-1</v>
          </cell>
          <cell r="B357" t="str">
            <v>Heuchera missouriensis H220-1 AL</v>
          </cell>
        </row>
        <row r="358">
          <cell r="A358" t="str">
            <v>H220-2</v>
          </cell>
          <cell r="B358" t="str">
            <v>Heuchera missouriensis H220-2 AL</v>
          </cell>
        </row>
        <row r="359">
          <cell r="A359" t="str">
            <v>H221-1</v>
          </cell>
          <cell r="B359" t="str">
            <v>Heuchera missouriensis H221-1 AL</v>
          </cell>
        </row>
        <row r="360">
          <cell r="A360" t="str">
            <v>H221-2</v>
          </cell>
          <cell r="B360" t="str">
            <v>Heuchera missouriensis H221-2 AL</v>
          </cell>
        </row>
        <row r="361">
          <cell r="A361" t="str">
            <v>H221-3</v>
          </cell>
          <cell r="B361" t="str">
            <v>Heuchera missouriensis H221-3 AL</v>
          </cell>
        </row>
        <row r="362">
          <cell r="A362" t="str">
            <v>H222-1</v>
          </cell>
          <cell r="B362" t="str">
            <v>Heuchera puberula H222-1 AR</v>
          </cell>
        </row>
        <row r="363">
          <cell r="A363" t="str">
            <v>H222-2</v>
          </cell>
          <cell r="B363" t="str">
            <v>Heuchera puberula H222-2 AR</v>
          </cell>
        </row>
        <row r="364">
          <cell r="A364" t="str">
            <v>H222-4</v>
          </cell>
          <cell r="B364" t="str">
            <v>Heuchera puberula H222-4 AR</v>
          </cell>
        </row>
        <row r="365">
          <cell r="A365" t="str">
            <v>H22-2</v>
          </cell>
          <cell r="B365" t="str">
            <v>Heuchera wootonii H22-2 NM</v>
          </cell>
        </row>
        <row r="366">
          <cell r="A366" t="str">
            <v>H223-1</v>
          </cell>
          <cell r="B366" t="str">
            <v>Heuchera puberula H223-1 AR</v>
          </cell>
        </row>
        <row r="367">
          <cell r="A367" t="str">
            <v>H223-2</v>
          </cell>
          <cell r="B367" t="str">
            <v>Heuchera puberula H223-2 AR</v>
          </cell>
        </row>
        <row r="368">
          <cell r="A368" t="str">
            <v>H224-1</v>
          </cell>
          <cell r="B368" t="str">
            <v>Heuchera puberula H224-1 AR</v>
          </cell>
        </row>
        <row r="369">
          <cell r="A369" t="str">
            <v>H224-2</v>
          </cell>
          <cell r="B369" t="str">
            <v>Heuchera puberula H224-2 AR</v>
          </cell>
        </row>
        <row r="370">
          <cell r="A370" t="str">
            <v>H224-3</v>
          </cell>
          <cell r="B370" t="str">
            <v>Heuchera puberula H224-3 AR</v>
          </cell>
        </row>
        <row r="371">
          <cell r="A371" t="str">
            <v>H225-1</v>
          </cell>
          <cell r="B371" t="str">
            <v>Heuchera missouriensis H225-1 KY</v>
          </cell>
        </row>
        <row r="372">
          <cell r="A372" t="str">
            <v>H225-2</v>
          </cell>
          <cell r="B372" t="str">
            <v>Heuchera missouriensis H225-2 KY</v>
          </cell>
        </row>
        <row r="373">
          <cell r="A373" t="str">
            <v>H225-3</v>
          </cell>
          <cell r="B373" t="str">
            <v>Heuchera missouriensis H225-3 KY</v>
          </cell>
        </row>
        <row r="374">
          <cell r="A374" t="str">
            <v>H226-1</v>
          </cell>
          <cell r="B374" t="str">
            <v>Heuchera missouriensis H226-1 KY</v>
          </cell>
        </row>
        <row r="375">
          <cell r="A375" t="str">
            <v>H226-2</v>
          </cell>
          <cell r="B375" t="str">
            <v>Heuchera missouriensis H226-2 KY</v>
          </cell>
        </row>
        <row r="376">
          <cell r="A376" t="str">
            <v>H227-1</v>
          </cell>
          <cell r="B376" t="str">
            <v>Heuchera missouriensis H227-1 KY</v>
          </cell>
        </row>
        <row r="377">
          <cell r="A377" t="str">
            <v>H227-2</v>
          </cell>
          <cell r="B377" t="str">
            <v>Heuchera missouriensis H227-2 KY</v>
          </cell>
        </row>
        <row r="378">
          <cell r="A378" t="str">
            <v>H228-1</v>
          </cell>
          <cell r="B378" t="str">
            <v>Heuchera missouriensis H228-1 KY</v>
          </cell>
        </row>
        <row r="379">
          <cell r="A379" t="str">
            <v>H228-2</v>
          </cell>
          <cell r="B379" t="str">
            <v>Heuchera missouriensis H228-2 KY</v>
          </cell>
        </row>
        <row r="380">
          <cell r="A380" t="str">
            <v>H228-3</v>
          </cell>
          <cell r="B380" t="str">
            <v>Heuchera missouriensis H228-3 KY</v>
          </cell>
        </row>
        <row r="381">
          <cell r="A381" t="str">
            <v>H229-1</v>
          </cell>
          <cell r="B381" t="str">
            <v>Heuchera parviflora var. saurensis H229-1 NC</v>
          </cell>
        </row>
        <row r="382">
          <cell r="A382" t="str">
            <v>H229-2</v>
          </cell>
          <cell r="B382" t="str">
            <v>Heuchera parviflora var. saurensis H229-2 NC</v>
          </cell>
        </row>
        <row r="383">
          <cell r="A383" t="str">
            <v>H229-3</v>
          </cell>
          <cell r="B383" t="str">
            <v>Heuchera parviflora var. saurensis H229-3 NC</v>
          </cell>
        </row>
        <row r="384">
          <cell r="A384" t="str">
            <v>H229-5</v>
          </cell>
          <cell r="B384" t="str">
            <v>Heuchera parviflora var. saurensis H229-5 NC</v>
          </cell>
        </row>
        <row r="385">
          <cell r="A385" t="str">
            <v>H230-1</v>
          </cell>
          <cell r="B385" t="str">
            <v>Heuchera parviflora var. parviflora H230-1 NC</v>
          </cell>
        </row>
        <row r="386">
          <cell r="A386" t="str">
            <v>H230-2</v>
          </cell>
          <cell r="B386" t="str">
            <v>Heuchera parviflora var. parviflora H230-2 NC</v>
          </cell>
        </row>
        <row r="387">
          <cell r="A387" t="str">
            <v>H230-3</v>
          </cell>
          <cell r="B387" t="str">
            <v>Heuchera parviflora var. parviflora H230-3 NC</v>
          </cell>
        </row>
        <row r="388">
          <cell r="A388" t="str">
            <v>H230-4</v>
          </cell>
          <cell r="B388" t="str">
            <v>Heuchera parviflora var. parviflora H230-4 NC</v>
          </cell>
        </row>
        <row r="389">
          <cell r="A389" t="str">
            <v>H230-5</v>
          </cell>
          <cell r="B389" t="str">
            <v>Heuchera parviflora var. parviflora H230-5 NC</v>
          </cell>
        </row>
        <row r="390">
          <cell r="A390" t="str">
            <v>H230-7</v>
          </cell>
          <cell r="B390" t="str">
            <v>Heuchera parviflora var. parviflora H230-7 NC</v>
          </cell>
        </row>
        <row r="391">
          <cell r="A391" t="str">
            <v>H230-9</v>
          </cell>
          <cell r="B391" t="str">
            <v>Heuchera parviflora var. parviflora H230-9 NC</v>
          </cell>
        </row>
        <row r="392">
          <cell r="A392" t="str">
            <v>H231-1</v>
          </cell>
          <cell r="B392" t="str">
            <v>Heuchera parviflora var. parviflora H231-1 NC</v>
          </cell>
        </row>
        <row r="393">
          <cell r="A393" t="str">
            <v>H231-2</v>
          </cell>
          <cell r="B393" t="str">
            <v>Heuchera parviflora var. parviflora H231-2 NC</v>
          </cell>
        </row>
        <row r="394">
          <cell r="A394" t="str">
            <v>H231-3</v>
          </cell>
          <cell r="B394" t="str">
            <v>Heuchera parviflora var. parviflora H231-3 NC</v>
          </cell>
        </row>
        <row r="395">
          <cell r="A395" t="str">
            <v>H232-1</v>
          </cell>
          <cell r="B395" t="str">
            <v>Heuchera parviflora var. saurensis H232-1 NC</v>
          </cell>
        </row>
        <row r="396">
          <cell r="A396" t="str">
            <v>H232-2</v>
          </cell>
          <cell r="B396" t="str">
            <v>Heuchera parviflora var. saurensis H232-2 NC</v>
          </cell>
        </row>
        <row r="397">
          <cell r="A397" t="str">
            <v>H232-3</v>
          </cell>
          <cell r="B397" t="str">
            <v>Heuchera parviflora var. saurensis H232-3 NC</v>
          </cell>
        </row>
        <row r="398">
          <cell r="A398" t="str">
            <v>H232-5</v>
          </cell>
          <cell r="B398" t="str">
            <v>Heuchera parviflora var. saurensis H232-5 NC</v>
          </cell>
        </row>
        <row r="399">
          <cell r="A399" t="str">
            <v>H23-2</v>
          </cell>
          <cell r="B399" t="str">
            <v>Heuchera woodsiaphila H23-2 NM</v>
          </cell>
        </row>
        <row r="400">
          <cell r="A400" t="str">
            <v>H24-2</v>
          </cell>
          <cell r="B400" t="str">
            <v>Heuchera novomexicana H24-2 NM</v>
          </cell>
        </row>
        <row r="401">
          <cell r="A401" t="str">
            <v>H246</v>
          </cell>
          <cell r="B401" t="str">
            <v>BREVIPETALA</v>
          </cell>
        </row>
        <row r="402">
          <cell r="A402" t="str">
            <v>H25-C</v>
          </cell>
          <cell r="B402" t="str">
            <v>Heuchera novomexicana H25-C NM</v>
          </cell>
        </row>
        <row r="403">
          <cell r="A403" t="str">
            <v>H26-2</v>
          </cell>
          <cell r="B403" t="str">
            <v>Heuchera versicolor H26-2 NM</v>
          </cell>
        </row>
        <row r="404">
          <cell r="A404" t="str">
            <v>H29</v>
          </cell>
          <cell r="B404" t="str">
            <v>Heuchera versicolor H29 AZ</v>
          </cell>
        </row>
        <row r="405">
          <cell r="A405" t="str">
            <v>H32-1</v>
          </cell>
          <cell r="B405" t="str">
            <v>Heuchera inconstans H32-1 AZ</v>
          </cell>
        </row>
        <row r="406">
          <cell r="A406" t="str">
            <v>H32-2</v>
          </cell>
          <cell r="B406" t="str">
            <v>Heuchera inconstans H32-2 AZ</v>
          </cell>
        </row>
        <row r="407">
          <cell r="A407" t="str">
            <v>H34-1</v>
          </cell>
          <cell r="B407" t="str">
            <v>Heuchera inconstans H34-1 AZ</v>
          </cell>
        </row>
        <row r="408">
          <cell r="A408" t="str">
            <v>H34-2</v>
          </cell>
          <cell r="B408" t="str">
            <v>Heuchera inconstans H34-2 AZ</v>
          </cell>
        </row>
        <row r="409">
          <cell r="A409" t="str">
            <v>H36</v>
          </cell>
          <cell r="B409" t="str">
            <v>Heuchera eastwoodiae H36 AZ</v>
          </cell>
        </row>
        <row r="410">
          <cell r="A410" t="str">
            <v>H39-2</v>
          </cell>
          <cell r="B410" t="str">
            <v>Heuchera hirsutissima H39-2 CA</v>
          </cell>
        </row>
        <row r="411">
          <cell r="A411" t="str">
            <v>H40</v>
          </cell>
          <cell r="B411" t="str">
            <v>Heuchera hirsutissima H40 CA</v>
          </cell>
        </row>
        <row r="412">
          <cell r="A412" t="str">
            <v>H42-1</v>
          </cell>
          <cell r="B412" t="str">
            <v>Heuchera parishii H42-1 CA</v>
          </cell>
        </row>
        <row r="413">
          <cell r="A413" t="str">
            <v>H43-2</v>
          </cell>
          <cell r="B413" t="str">
            <v>Heuchera parishii H43-2 CA</v>
          </cell>
        </row>
        <row r="414">
          <cell r="A414" t="str">
            <v>H44-2</v>
          </cell>
          <cell r="B414" t="str">
            <v>Heuchera elegans H44-2 CA</v>
          </cell>
        </row>
        <row r="415">
          <cell r="A415" t="str">
            <v>H45-2</v>
          </cell>
          <cell r="B415" t="str">
            <v>Heuchera abramsii H45-2 CA</v>
          </cell>
        </row>
        <row r="416">
          <cell r="A416" t="str">
            <v>H46-2</v>
          </cell>
          <cell r="B416" t="str">
            <v>Heuchera abramsii H46-2 CA</v>
          </cell>
        </row>
        <row r="417">
          <cell r="A417" t="str">
            <v>H50-2</v>
          </cell>
          <cell r="B417" t="str">
            <v>Heuchera parvifolia H50-2 CA</v>
          </cell>
        </row>
        <row r="418">
          <cell r="A418" t="str">
            <v>H51-1</v>
          </cell>
          <cell r="B418" t="str">
            <v>Heuchera bracteata H51-1 CO</v>
          </cell>
        </row>
        <row r="419">
          <cell r="A419" t="str">
            <v>H51-2</v>
          </cell>
          <cell r="B419" t="str">
            <v>Heuchera bracteata H51-2 CO</v>
          </cell>
        </row>
        <row r="420">
          <cell r="A420" t="str">
            <v>H52-2</v>
          </cell>
          <cell r="B420" t="str">
            <v>Heuchera bracteata H52-2 CO</v>
          </cell>
        </row>
        <row r="421">
          <cell r="A421" t="str">
            <v>H53-2</v>
          </cell>
          <cell r="B421" t="str">
            <v>Heuchera parvifolia H53-2 CO</v>
          </cell>
        </row>
        <row r="422">
          <cell r="A422" t="str">
            <v>H54-1</v>
          </cell>
          <cell r="B422" t="str">
            <v>Heuchera bracteata H54-1 CO</v>
          </cell>
        </row>
        <row r="423">
          <cell r="A423" t="str">
            <v>H55-2</v>
          </cell>
          <cell r="B423" t="str">
            <v>Heuchera parvifolia var. nivalis H55-2 CO</v>
          </cell>
        </row>
        <row r="424">
          <cell r="A424" t="str">
            <v>H56-2</v>
          </cell>
          <cell r="B424" t="str">
            <v>Heuchera hallii H56-2 CO</v>
          </cell>
        </row>
        <row r="425">
          <cell r="A425" t="str">
            <v>H57</v>
          </cell>
          <cell r="B425" t="str">
            <v>Heuchera parvifolia var. nivalis H57 CO</v>
          </cell>
        </row>
        <row r="426">
          <cell r="A426" t="str">
            <v>H58-1</v>
          </cell>
          <cell r="B426" t="str">
            <v>Heuchera hallii H58-1 CO</v>
          </cell>
        </row>
        <row r="427">
          <cell r="A427" t="str">
            <v>H58-2</v>
          </cell>
          <cell r="B427" t="str">
            <v>Heuchera hallii H58-2 CO</v>
          </cell>
        </row>
        <row r="428">
          <cell r="A428" t="str">
            <v>H59-2</v>
          </cell>
          <cell r="B428" t="str">
            <v>HIRSUTICAULIS</v>
          </cell>
        </row>
        <row r="429">
          <cell r="A429" t="str">
            <v>H60-1</v>
          </cell>
          <cell r="B429" t="str">
            <v>HIRSUTICAULIS</v>
          </cell>
        </row>
        <row r="430">
          <cell r="A430" t="str">
            <v>H60-2</v>
          </cell>
          <cell r="B430" t="str">
            <v>HIRSUTICAULIS</v>
          </cell>
        </row>
        <row r="431">
          <cell r="A431" t="str">
            <v>H60-3</v>
          </cell>
          <cell r="B431" t="str">
            <v>HIRSUTICAULIS</v>
          </cell>
        </row>
        <row r="432">
          <cell r="A432" t="str">
            <v>H61-1</v>
          </cell>
          <cell r="B432" t="str">
            <v>HIRSUTICAULIS</v>
          </cell>
        </row>
        <row r="433">
          <cell r="A433" t="str">
            <v>H61-2</v>
          </cell>
          <cell r="B433" t="str">
            <v>HIRSUTICAULIS</v>
          </cell>
        </row>
        <row r="434">
          <cell r="A434" t="str">
            <v>H61-3</v>
          </cell>
          <cell r="B434" t="str">
            <v>HIRSUTICAULIS</v>
          </cell>
        </row>
        <row r="435">
          <cell r="A435" t="str">
            <v>H62-1</v>
          </cell>
          <cell r="B435" t="str">
            <v>HIRSUTICAULIS</v>
          </cell>
        </row>
        <row r="436">
          <cell r="A436" t="str">
            <v>H62-2</v>
          </cell>
          <cell r="B436" t="str">
            <v>HIRSUTICAULIS</v>
          </cell>
        </row>
        <row r="437">
          <cell r="A437" t="str">
            <v>H62-3</v>
          </cell>
          <cell r="B437" t="str">
            <v>HIRSUTICAULIS</v>
          </cell>
        </row>
        <row r="438">
          <cell r="A438" t="str">
            <v>H62-4</v>
          </cell>
          <cell r="B438" t="str">
            <v>HIRSUTICAULIS</v>
          </cell>
        </row>
        <row r="439">
          <cell r="A439" t="str">
            <v>H62-5</v>
          </cell>
          <cell r="B439" t="str">
            <v>HIRSUTICAULIS</v>
          </cell>
        </row>
        <row r="440">
          <cell r="A440" t="str">
            <v>H62-6</v>
          </cell>
          <cell r="B440" t="str">
            <v>HIRSUTICAULIS</v>
          </cell>
        </row>
        <row r="441">
          <cell r="A441" t="str">
            <v>H63-2</v>
          </cell>
          <cell r="B441" t="str">
            <v>Heuchera alba H63-2 WV</v>
          </cell>
        </row>
        <row r="442">
          <cell r="A442" t="str">
            <v>H64-2</v>
          </cell>
          <cell r="B442" t="str">
            <v>Heuchera alba H64-2 WV</v>
          </cell>
        </row>
        <row r="443">
          <cell r="A443" t="str">
            <v>H66</v>
          </cell>
          <cell r="B443" t="str">
            <v>Heuchera longiflora var. longiflora H66 KY</v>
          </cell>
        </row>
        <row r="444">
          <cell r="A444" t="str">
            <v>H67-1</v>
          </cell>
          <cell r="B444" t="str">
            <v>Heuchera longiflora var. longiflora H67-1 OH</v>
          </cell>
        </row>
        <row r="445">
          <cell r="A445" t="str">
            <v>H71</v>
          </cell>
          <cell r="B445" t="str">
            <v>BREVIPETALA</v>
          </cell>
        </row>
        <row r="446">
          <cell r="A446" t="str">
            <v>H74-1</v>
          </cell>
          <cell r="B446" t="str">
            <v>Heuchera parviflora var. parviflora H74-1 KY</v>
          </cell>
        </row>
        <row r="447">
          <cell r="A447" t="str">
            <v>H74-2</v>
          </cell>
          <cell r="B447" t="str">
            <v>Heuchera parviflora var. parviflora H74-2 KY</v>
          </cell>
        </row>
        <row r="448">
          <cell r="A448" t="str">
            <v>H75-1</v>
          </cell>
          <cell r="B448" t="str">
            <v>Heuchera villosa var. macrorhiza H75-1 KY</v>
          </cell>
        </row>
        <row r="449">
          <cell r="A449" t="str">
            <v>H75-2</v>
          </cell>
          <cell r="B449" t="str">
            <v>Heuchera villosa var. macrorhiza H75-2 KY</v>
          </cell>
        </row>
        <row r="450">
          <cell r="A450" t="str">
            <v>H76</v>
          </cell>
          <cell r="B450" t="str">
            <v>Heuchera parviflora var. parviflora H76 KY</v>
          </cell>
        </row>
        <row r="451">
          <cell r="A451" t="str">
            <v>H77-1</v>
          </cell>
          <cell r="B451" t="str">
            <v>Heuchera parviflora var. parviflora H77-1 KY</v>
          </cell>
        </row>
        <row r="452">
          <cell r="A452" t="str">
            <v>H77-2</v>
          </cell>
          <cell r="B452" t="str">
            <v>Heuchera parviflora var. parviflora H77-2 KY</v>
          </cell>
        </row>
        <row r="453">
          <cell r="A453" t="str">
            <v>H79-2</v>
          </cell>
          <cell r="B453" t="str">
            <v>Heuchera parviflora var. parviflora H79-2 OH</v>
          </cell>
        </row>
        <row r="454">
          <cell r="A454" t="str">
            <v>H80-1</v>
          </cell>
          <cell r="B454" t="str">
            <v>Heuchera parviflora var. parviflora H80-1 OH</v>
          </cell>
        </row>
        <row r="455">
          <cell r="A455" t="str">
            <v>H80-2</v>
          </cell>
          <cell r="B455" t="str">
            <v>Heuchera parviflora var. parviflora H80-2 OH</v>
          </cell>
        </row>
        <row r="456">
          <cell r="A456" t="str">
            <v>H81-C</v>
          </cell>
          <cell r="B456" t="str">
            <v>Heuchera longiflora var. longiflora H81-C OH</v>
          </cell>
        </row>
        <row r="457">
          <cell r="A457" t="str">
            <v>H82-C</v>
          </cell>
          <cell r="B457" t="str">
            <v>Heuchera longiflora var. longiflora H82-C OH</v>
          </cell>
        </row>
        <row r="458">
          <cell r="A458" t="str">
            <v>I100-C</v>
          </cell>
          <cell r="B458" t="str">
            <v>Heuchera inconstans I100-C AZ Coconino</v>
          </cell>
        </row>
        <row r="459">
          <cell r="A459" t="str">
            <v>I60-C</v>
          </cell>
          <cell r="B459" t="str">
            <v>Tellima grandiflora I60-C CA Marin</v>
          </cell>
        </row>
        <row r="460">
          <cell r="A460" t="str">
            <v>I66</v>
          </cell>
          <cell r="B460" t="str">
            <v>Heuchera missouriensis I66 KY</v>
          </cell>
        </row>
        <row r="461">
          <cell r="A461" t="str">
            <v>I86</v>
          </cell>
          <cell r="B461" t="str">
            <v>Heuchera puberula I86 AR</v>
          </cell>
        </row>
        <row r="462">
          <cell r="A462" t="str">
            <v>I90-C</v>
          </cell>
          <cell r="B462" t="str">
            <v>Heuchera inconstans I90-C AZ Coconino</v>
          </cell>
        </row>
        <row r="463">
          <cell r="A463" t="str">
            <v>I99-C</v>
          </cell>
          <cell r="B463" t="str">
            <v>Heuchera eastwoodiae I99-C AZ</v>
          </cell>
        </row>
        <row r="464">
          <cell r="A464" t="str">
            <v>L10-1</v>
          </cell>
          <cell r="B464" t="str">
            <v>Heuchera longiflora var. longiflora L10-1 KY</v>
          </cell>
        </row>
        <row r="465">
          <cell r="A465" t="str">
            <v>L11-1</v>
          </cell>
          <cell r="B465" t="str">
            <v>Heuchera longiflora var. longiflora L11-1 KY</v>
          </cell>
        </row>
        <row r="466">
          <cell r="A466" t="str">
            <v>L11-2</v>
          </cell>
          <cell r="B466" t="str">
            <v>Heuchera longiflora var. longiflora L11-2 KY</v>
          </cell>
        </row>
        <row r="467">
          <cell r="A467" t="str">
            <v>L1-1</v>
          </cell>
          <cell r="B467" t="str">
            <v>Heuchera longiflora var. aceroides L1-1 NC</v>
          </cell>
        </row>
        <row r="468">
          <cell r="A468" t="str">
            <v>L12-1</v>
          </cell>
          <cell r="B468" t="str">
            <v>Heuchera longiflora var. longiflora L12-1 KY</v>
          </cell>
        </row>
        <row r="469">
          <cell r="A469" t="str">
            <v>L12-2</v>
          </cell>
          <cell r="B469" t="str">
            <v>Heuchera longiflora var. longiflora L12-2 KY</v>
          </cell>
        </row>
        <row r="470">
          <cell r="A470" t="str">
            <v>L1-2</v>
          </cell>
          <cell r="B470" t="str">
            <v>Heuchera longiflora var. aceroides L1-2 NC</v>
          </cell>
        </row>
        <row r="471">
          <cell r="A471" t="str">
            <v>L13-1</v>
          </cell>
          <cell r="B471" t="str">
            <v>Heuchera longiflora var. longiflora L13-1 KY</v>
          </cell>
        </row>
        <row r="472">
          <cell r="A472" t="str">
            <v>L13-2</v>
          </cell>
          <cell r="B472" t="str">
            <v>Heuchera longiflora var. longiflora L13-2 KY</v>
          </cell>
        </row>
        <row r="473">
          <cell r="A473" t="str">
            <v>L14-1</v>
          </cell>
          <cell r="B473" t="str">
            <v>Heuchera longiflora var. longiflora L14-1 KY</v>
          </cell>
        </row>
        <row r="474">
          <cell r="A474" t="str">
            <v>L14-2</v>
          </cell>
          <cell r="B474" t="str">
            <v>Heuchera longiflora var. longiflora L14-2 KY</v>
          </cell>
        </row>
        <row r="475">
          <cell r="A475" t="str">
            <v>L15-1</v>
          </cell>
          <cell r="B475" t="str">
            <v>Heuchera longiflora var. longiflora L15-1 KY</v>
          </cell>
        </row>
        <row r="476">
          <cell r="A476" t="str">
            <v>L16-1</v>
          </cell>
          <cell r="B476" t="str">
            <v>Heuchera longiflora var. longiflora L16-1 KY</v>
          </cell>
        </row>
        <row r="477">
          <cell r="A477" t="str">
            <v>L17-1</v>
          </cell>
          <cell r="B477" t="str">
            <v>Heuchera longiflora var. longiflora L17-1 KY</v>
          </cell>
        </row>
        <row r="478">
          <cell r="A478" t="str">
            <v>L17-2</v>
          </cell>
          <cell r="B478" t="str">
            <v>Heuchera longiflora var. longiflora L17-2 KY</v>
          </cell>
        </row>
        <row r="479">
          <cell r="A479" t="str">
            <v>L18-1</v>
          </cell>
          <cell r="B479" t="str">
            <v>Heuchera longiflora var. longiflora L18-1 KY</v>
          </cell>
        </row>
        <row r="480">
          <cell r="A480" t="str">
            <v>L18-2</v>
          </cell>
          <cell r="B480" t="str">
            <v>Heuchera longiflora var. longiflora L18-2 KY</v>
          </cell>
        </row>
        <row r="481">
          <cell r="A481" t="str">
            <v>L19-1</v>
          </cell>
          <cell r="B481" t="str">
            <v>Heuchera longiflora var. longiflora L19-1 KY</v>
          </cell>
        </row>
        <row r="482">
          <cell r="A482" t="str">
            <v>L20-1</v>
          </cell>
          <cell r="B482" t="str">
            <v>Heuchera longiflora var. longiflora L20-1 KY</v>
          </cell>
        </row>
        <row r="483">
          <cell r="A483" t="str">
            <v>L20-2</v>
          </cell>
          <cell r="B483" t="str">
            <v>Heuchera longiflora var. longiflora L20-2 KY</v>
          </cell>
        </row>
        <row r="484">
          <cell r="A484" t="str">
            <v>L2-1</v>
          </cell>
          <cell r="B484" t="str">
            <v>Heuchera longiflora var. aceroides L2-1 NC</v>
          </cell>
        </row>
        <row r="485">
          <cell r="A485" t="str">
            <v>L22-1</v>
          </cell>
          <cell r="B485" t="str">
            <v>Heuchera longiflora var. longiflora L22-1 KY</v>
          </cell>
        </row>
        <row r="486">
          <cell r="A486" t="str">
            <v>L22-2</v>
          </cell>
          <cell r="B486" t="str">
            <v>Heuchera longiflora var. longiflora L22-2 KY</v>
          </cell>
        </row>
        <row r="487">
          <cell r="A487" t="str">
            <v>L2-2</v>
          </cell>
          <cell r="B487" t="str">
            <v>Heuchera longiflora var. aceroides L2-2 NC</v>
          </cell>
        </row>
        <row r="488">
          <cell r="A488" t="str">
            <v>L23-1</v>
          </cell>
          <cell r="B488" t="str">
            <v>Heuchera longiflora var. longiflora L23-1 KY</v>
          </cell>
        </row>
        <row r="489">
          <cell r="A489" t="str">
            <v>L23-3</v>
          </cell>
          <cell r="B489" t="str">
            <v>Heuchera longiflora var. longiflora L23-3 KY</v>
          </cell>
        </row>
        <row r="490">
          <cell r="A490" t="str">
            <v>L3-1</v>
          </cell>
          <cell r="B490" t="str">
            <v>Heuchera longiflora var. aceroides L3-1 NC</v>
          </cell>
        </row>
        <row r="491">
          <cell r="A491" t="str">
            <v>L3-2</v>
          </cell>
          <cell r="B491" t="str">
            <v>Heuchera longiflora var. aceroides L3-2 NC</v>
          </cell>
        </row>
        <row r="492">
          <cell r="A492" t="str">
            <v>L4-1</v>
          </cell>
          <cell r="B492" t="str">
            <v>Heuchera longiflora var. aceroides L4-1 NC</v>
          </cell>
        </row>
        <row r="493">
          <cell r="A493" t="str">
            <v>L4-2</v>
          </cell>
          <cell r="B493" t="str">
            <v>Heuchera longiflora var. aceroides L4-2 NC</v>
          </cell>
        </row>
        <row r="494">
          <cell r="A494" t="str">
            <v>L5-1</v>
          </cell>
          <cell r="B494" t="str">
            <v>Heuchera longiflora var. aceroides L5-1 NC</v>
          </cell>
        </row>
        <row r="495">
          <cell r="A495" t="str">
            <v>L6-1</v>
          </cell>
          <cell r="B495" t="str">
            <v>Heuchera longiflora var. longiflora L6-1 VA</v>
          </cell>
        </row>
        <row r="496">
          <cell r="A496" t="str">
            <v>L6-2</v>
          </cell>
          <cell r="B496" t="str">
            <v>Heuchera longiflora var. longiflora L6-2 VA</v>
          </cell>
        </row>
        <row r="497">
          <cell r="A497" t="str">
            <v>L7-1</v>
          </cell>
          <cell r="B497" t="str">
            <v>Heuchera longiflora var. longiflora L7-1 VA</v>
          </cell>
        </row>
        <row r="498">
          <cell r="A498" t="str">
            <v>L8-1</v>
          </cell>
          <cell r="B498" t="str">
            <v>Heuchera longiflora var. longiflora L8-1 VA</v>
          </cell>
        </row>
        <row r="499">
          <cell r="A499" t="str">
            <v>L8-2</v>
          </cell>
          <cell r="B499" t="str">
            <v>Heuchera longiflora var. longiflora L8-2 VA</v>
          </cell>
        </row>
        <row r="500">
          <cell r="A500" t="str">
            <v>L9-2</v>
          </cell>
          <cell r="B500" t="str">
            <v>Heuchera longiflora var. longiflora L9-2 VA</v>
          </cell>
        </row>
        <row r="501">
          <cell r="A501" t="str">
            <v>A10-4</v>
          </cell>
          <cell r="B501" t="str">
            <v>BREVIPETALA</v>
          </cell>
        </row>
        <row r="502">
          <cell r="A502" t="str">
            <v>A11-1</v>
          </cell>
          <cell r="B502" t="str">
            <v>BREVIPETALA</v>
          </cell>
        </row>
        <row r="503">
          <cell r="A503" t="str">
            <v>A11-2</v>
          </cell>
          <cell r="B503" t="str">
            <v>BREVIPETALA</v>
          </cell>
        </row>
        <row r="504">
          <cell r="A504" t="str">
            <v>A11-3</v>
          </cell>
          <cell r="B504" t="str">
            <v>BREVIPETALA</v>
          </cell>
        </row>
        <row r="505">
          <cell r="A505" t="str">
            <v>A11-4</v>
          </cell>
          <cell r="B505" t="str">
            <v>BREVIPETALA</v>
          </cell>
        </row>
        <row r="506">
          <cell r="A506" t="str">
            <v>A11-5</v>
          </cell>
          <cell r="B506" t="str">
            <v>BREVIPETALA</v>
          </cell>
        </row>
        <row r="507">
          <cell r="A507" t="str">
            <v>A11-8</v>
          </cell>
          <cell r="B507" t="str">
            <v>BREVIPETALA</v>
          </cell>
        </row>
        <row r="508">
          <cell r="A508" t="str">
            <v>A1-1</v>
          </cell>
          <cell r="B508" t="str">
            <v>CALYCOSA</v>
          </cell>
        </row>
        <row r="509">
          <cell r="A509" t="str">
            <v>A12-2</v>
          </cell>
          <cell r="B509" t="str">
            <v>Heuchera villosa var. macrorhiza A12-2 IN</v>
          </cell>
        </row>
        <row r="510">
          <cell r="A510" t="str">
            <v>A12-3</v>
          </cell>
          <cell r="B510" t="str">
            <v>Heuchera villosa var. macrorhiza A12-3 IN</v>
          </cell>
        </row>
        <row r="511">
          <cell r="A511" t="str">
            <v>A12-5</v>
          </cell>
          <cell r="B511" t="str">
            <v>Heuchera villosa var. macrorhiza A12-5 IN</v>
          </cell>
        </row>
        <row r="512">
          <cell r="A512" t="str">
            <v>A13-5</v>
          </cell>
          <cell r="B512" t="str">
            <v>HIRSUTICAULIS</v>
          </cell>
        </row>
        <row r="513">
          <cell r="A513" t="str">
            <v>A13-6</v>
          </cell>
          <cell r="B513" t="str">
            <v>HIRSUTICAULIS</v>
          </cell>
        </row>
        <row r="514">
          <cell r="A514" t="str">
            <v>A13-7</v>
          </cell>
          <cell r="B514" t="str">
            <v>HIRSUTICAULIS</v>
          </cell>
        </row>
        <row r="515">
          <cell r="A515" t="str">
            <v>A13-8</v>
          </cell>
          <cell r="B515" t="str">
            <v>HIRSUTICAULIS</v>
          </cell>
        </row>
        <row r="516">
          <cell r="A516" t="str">
            <v>A14</v>
          </cell>
          <cell r="B516" t="str">
            <v>HIRSUTICAULIS</v>
          </cell>
        </row>
        <row r="517">
          <cell r="A517" t="str">
            <v>A15-10</v>
          </cell>
          <cell r="B517" t="str">
            <v>RICHARDSONII</v>
          </cell>
        </row>
        <row r="518">
          <cell r="A518" t="str">
            <v>A15-11</v>
          </cell>
          <cell r="B518" t="str">
            <v>RICHARDSONII</v>
          </cell>
        </row>
        <row r="519">
          <cell r="A519" t="str">
            <v>A15-15</v>
          </cell>
          <cell r="B519" t="str">
            <v>RICHARDSONII</v>
          </cell>
        </row>
        <row r="520">
          <cell r="A520" t="str">
            <v>A15-2</v>
          </cell>
          <cell r="B520" t="str">
            <v>RICHARDSONII</v>
          </cell>
        </row>
        <row r="521">
          <cell r="A521" t="str">
            <v>A15-3</v>
          </cell>
          <cell r="B521" t="str">
            <v>RICHARDSONII</v>
          </cell>
        </row>
        <row r="522">
          <cell r="A522" t="str">
            <v>A15-6</v>
          </cell>
          <cell r="B522" t="str">
            <v>RICHARDSONII</v>
          </cell>
        </row>
        <row r="523">
          <cell r="A523" t="str">
            <v>A15-7</v>
          </cell>
          <cell r="B523" t="str">
            <v>RICHARDSONII</v>
          </cell>
        </row>
        <row r="524">
          <cell r="A524" t="str">
            <v>A15-8</v>
          </cell>
          <cell r="B524" t="str">
            <v>RICHARDSONII</v>
          </cell>
        </row>
        <row r="525">
          <cell r="A525" t="str">
            <v>A15-9</v>
          </cell>
          <cell r="B525" t="str">
            <v>RICHARDSONII</v>
          </cell>
        </row>
        <row r="526">
          <cell r="A526" t="str">
            <v>A16-10</v>
          </cell>
          <cell r="B526" t="str">
            <v>GRAYANA</v>
          </cell>
        </row>
        <row r="527">
          <cell r="A527" t="str">
            <v>A16-11</v>
          </cell>
          <cell r="B527" t="str">
            <v>GRAYANA</v>
          </cell>
        </row>
        <row r="528">
          <cell r="A528" t="str">
            <v>A16-12</v>
          </cell>
          <cell r="B528" t="str">
            <v>GRAYANA</v>
          </cell>
        </row>
        <row r="529">
          <cell r="A529" t="str">
            <v>A16-1</v>
          </cell>
          <cell r="B529" t="str">
            <v>GRAYANA</v>
          </cell>
        </row>
        <row r="530">
          <cell r="A530" t="str">
            <v>A16-2</v>
          </cell>
          <cell r="B530" t="str">
            <v>GRAYANA</v>
          </cell>
        </row>
        <row r="531">
          <cell r="A531" t="str">
            <v>A16-3</v>
          </cell>
          <cell r="B531" t="str">
            <v>GRAYANA</v>
          </cell>
        </row>
        <row r="532">
          <cell r="A532" t="str">
            <v>A16-8</v>
          </cell>
          <cell r="B532" t="str">
            <v>GRAYANA</v>
          </cell>
        </row>
        <row r="533">
          <cell r="A533" t="str">
            <v>A16-9</v>
          </cell>
          <cell r="B533" t="str">
            <v>GRAYANA</v>
          </cell>
        </row>
        <row r="534">
          <cell r="A534" t="str">
            <v>A17-1</v>
          </cell>
          <cell r="B534" t="str">
            <v>RICHARDSONII</v>
          </cell>
        </row>
        <row r="535">
          <cell r="A535" t="str">
            <v>A17-2</v>
          </cell>
          <cell r="B535" t="str">
            <v>RICHARDSONII</v>
          </cell>
        </row>
        <row r="536">
          <cell r="A536" t="str">
            <v>A17-3</v>
          </cell>
          <cell r="B536" t="str">
            <v>RICHARDSONII</v>
          </cell>
        </row>
        <row r="537">
          <cell r="A537" t="str">
            <v>A17-4</v>
          </cell>
          <cell r="B537" t="str">
            <v>RICHARDSONII</v>
          </cell>
        </row>
        <row r="538">
          <cell r="A538" t="str">
            <v>A17-5</v>
          </cell>
          <cell r="B538" t="str">
            <v>RICHARDSONII</v>
          </cell>
        </row>
        <row r="539">
          <cell r="A539" t="str">
            <v>A17-7</v>
          </cell>
          <cell r="B539" t="str">
            <v>RICHARDSONII</v>
          </cell>
        </row>
        <row r="540">
          <cell r="A540" t="str">
            <v>A17-8</v>
          </cell>
          <cell r="B540" t="str">
            <v>RICHARDSONII</v>
          </cell>
        </row>
        <row r="541">
          <cell r="A541" t="str">
            <v>A21-2</v>
          </cell>
          <cell r="B541" t="str">
            <v>RICHARDSONII</v>
          </cell>
        </row>
        <row r="542">
          <cell r="A542" t="str">
            <v>A21-9</v>
          </cell>
          <cell r="B542" t="str">
            <v>RICHARDSONII</v>
          </cell>
        </row>
        <row r="543">
          <cell r="A543" t="str">
            <v>A22-1</v>
          </cell>
          <cell r="B543" t="str">
            <v>Heuchera glomerulata A22-1 AZ</v>
          </cell>
        </row>
        <row r="544">
          <cell r="A544" t="str">
            <v>A22-2</v>
          </cell>
          <cell r="B544" t="str">
            <v>Heuchera glomerulata A22-2 AZ</v>
          </cell>
        </row>
        <row r="545">
          <cell r="A545" t="str">
            <v>A22-3</v>
          </cell>
          <cell r="B545" t="str">
            <v>Heuchera glomerulata A22-3 AZ</v>
          </cell>
        </row>
        <row r="546">
          <cell r="A546" t="str">
            <v>A22-4</v>
          </cell>
          <cell r="B546" t="str">
            <v>Heuchera glomerulata A22-4 AZ</v>
          </cell>
        </row>
        <row r="547">
          <cell r="A547" t="str">
            <v>A22-6</v>
          </cell>
          <cell r="B547" t="str">
            <v>Heuchera glomerulata A22-6 AZ</v>
          </cell>
        </row>
        <row r="548">
          <cell r="A548" t="str">
            <v>A22-7</v>
          </cell>
          <cell r="B548" t="str">
            <v>Heuchera glomerulata A22-7 AZ</v>
          </cell>
        </row>
        <row r="549">
          <cell r="A549" t="str">
            <v>A23-1</v>
          </cell>
          <cell r="B549" t="str">
            <v>Heuchera glomerulata A23-1 AZ</v>
          </cell>
        </row>
        <row r="550">
          <cell r="A550" t="str">
            <v>A23-2</v>
          </cell>
          <cell r="B550" t="str">
            <v>Heuchera glomerulata A23-2 AZ</v>
          </cell>
        </row>
        <row r="551">
          <cell r="A551" t="str">
            <v>A23-3</v>
          </cell>
          <cell r="B551" t="str">
            <v>Heuchera glomerulata A23-3 AZ</v>
          </cell>
        </row>
        <row r="552">
          <cell r="A552" t="str">
            <v>A23-4</v>
          </cell>
          <cell r="B552" t="str">
            <v>Heuchera glomerulata A23-4 AZ</v>
          </cell>
        </row>
        <row r="553">
          <cell r="A553" t="str">
            <v>A23-5</v>
          </cell>
          <cell r="B553" t="str">
            <v>Heuchera glomerulata A23-5 AZ</v>
          </cell>
        </row>
        <row r="554">
          <cell r="A554" t="str">
            <v>A23-6</v>
          </cell>
          <cell r="B554" t="str">
            <v>Heuchera glomerulata A23-6 AZ</v>
          </cell>
        </row>
        <row r="555">
          <cell r="A555" t="str">
            <v>A23-7</v>
          </cell>
          <cell r="B555" t="str">
            <v>Heuchera glomerulata A23-7 AZ</v>
          </cell>
        </row>
        <row r="556">
          <cell r="A556" t="str">
            <v>A23-8</v>
          </cell>
          <cell r="B556" t="str">
            <v>Heuchera glomerulata A23-8 AZ</v>
          </cell>
        </row>
        <row r="557">
          <cell r="A557" t="str">
            <v>A2-3</v>
          </cell>
          <cell r="B557" t="str">
            <v>CALYCOSA</v>
          </cell>
        </row>
        <row r="558">
          <cell r="A558" t="str">
            <v>A2-4</v>
          </cell>
          <cell r="B558" t="str">
            <v>CALYCOSA</v>
          </cell>
        </row>
        <row r="559">
          <cell r="A559" t="str">
            <v>A25-10</v>
          </cell>
          <cell r="B559" t="str">
            <v>Heuchera sanguinea A25-10 AZ</v>
          </cell>
        </row>
        <row r="560">
          <cell r="A560" t="str">
            <v>A25-1</v>
          </cell>
          <cell r="B560" t="str">
            <v>Heuchera sanguinea A25-1 AZ</v>
          </cell>
        </row>
        <row r="561">
          <cell r="A561" t="str">
            <v>A25-2</v>
          </cell>
          <cell r="B561" t="str">
            <v>Heuchera sanguinea A25-2 AZ</v>
          </cell>
        </row>
        <row r="562">
          <cell r="A562" t="str">
            <v>A25-3</v>
          </cell>
          <cell r="B562" t="str">
            <v>Heuchera sanguinea A25-3 AZ</v>
          </cell>
        </row>
        <row r="563">
          <cell r="A563" t="str">
            <v>A25-4</v>
          </cell>
          <cell r="B563" t="str">
            <v>Heuchera sanguinea A25-4 AZ</v>
          </cell>
        </row>
        <row r="564">
          <cell r="A564" t="str">
            <v>A25-5</v>
          </cell>
          <cell r="B564" t="str">
            <v>Heuchera sanguinea A25-5 AZ</v>
          </cell>
        </row>
        <row r="565">
          <cell r="A565" t="str">
            <v>A25-6</v>
          </cell>
          <cell r="B565" t="str">
            <v>Heuchera sanguinea A25-6 AZ</v>
          </cell>
        </row>
        <row r="566">
          <cell r="A566" t="str">
            <v>A25-7</v>
          </cell>
          <cell r="B566" t="str">
            <v>Heuchera sanguinea A25-7 AZ</v>
          </cell>
        </row>
        <row r="567">
          <cell r="A567" t="str">
            <v>A25-8</v>
          </cell>
          <cell r="B567" t="str">
            <v>Heuchera sanguinea A25-8 AZ</v>
          </cell>
        </row>
        <row r="568">
          <cell r="A568" t="str">
            <v>A25-9</v>
          </cell>
          <cell r="B568" t="str">
            <v>Heuchera sanguinea A25-9 AZ</v>
          </cell>
        </row>
        <row r="569">
          <cell r="A569" t="str">
            <v>A25</v>
          </cell>
          <cell r="B569" t="str">
            <v>Heuchera sanguinea A25</v>
          </cell>
        </row>
        <row r="570">
          <cell r="A570" t="str">
            <v>A26-10</v>
          </cell>
          <cell r="B570" t="str">
            <v>Heuchera sanguinea A26-10 AZ</v>
          </cell>
        </row>
        <row r="571">
          <cell r="A571" t="str">
            <v>A26-11</v>
          </cell>
          <cell r="B571" t="str">
            <v>Heuchera sanguinea A26-11 AZ</v>
          </cell>
        </row>
        <row r="572">
          <cell r="A572" t="str">
            <v>A26-1</v>
          </cell>
          <cell r="B572" t="str">
            <v>Heuchera sanguinea A26-1 AZ</v>
          </cell>
        </row>
        <row r="573">
          <cell r="A573" t="str">
            <v>A26-2</v>
          </cell>
          <cell r="B573" t="str">
            <v>Heuchera sanguinea A26-2 AZ</v>
          </cell>
        </row>
        <row r="574">
          <cell r="A574" t="str">
            <v>A26-3</v>
          </cell>
          <cell r="B574" t="str">
            <v>Heuchera sanguinea A26-3 AZ</v>
          </cell>
        </row>
        <row r="575">
          <cell r="A575" t="str">
            <v>A26-4</v>
          </cell>
          <cell r="B575" t="str">
            <v>Heuchera sanguinea A26-4 AZ</v>
          </cell>
        </row>
        <row r="576">
          <cell r="A576" t="str">
            <v>A26-6</v>
          </cell>
          <cell r="B576" t="str">
            <v>Heuchera sanguinea A26-6 AZ</v>
          </cell>
        </row>
        <row r="577">
          <cell r="A577" t="str">
            <v>A26-8</v>
          </cell>
          <cell r="B577" t="str">
            <v>Heuchera sanguinea A26-8 AZ</v>
          </cell>
        </row>
        <row r="578">
          <cell r="A578" t="str">
            <v>A26-9</v>
          </cell>
          <cell r="B578" t="str">
            <v>Heuchera sanguinea A26-9 AZ</v>
          </cell>
        </row>
        <row r="579">
          <cell r="A579" t="str">
            <v>A28-1</v>
          </cell>
          <cell r="B579" t="str">
            <v>CALYCOSA</v>
          </cell>
        </row>
        <row r="580">
          <cell r="A580" t="str">
            <v>A28-2</v>
          </cell>
          <cell r="B580" t="str">
            <v>CALYCOSA</v>
          </cell>
        </row>
        <row r="581">
          <cell r="A581" t="str">
            <v>A28-3</v>
          </cell>
          <cell r="B581" t="str">
            <v>CALYCOSA</v>
          </cell>
        </row>
        <row r="582">
          <cell r="A582" t="str">
            <v>A28-4</v>
          </cell>
          <cell r="B582" t="str">
            <v>CALYCOSA</v>
          </cell>
        </row>
        <row r="583">
          <cell r="A583" t="str">
            <v>A28-5</v>
          </cell>
          <cell r="B583" t="str">
            <v>CALYCOSA</v>
          </cell>
        </row>
        <row r="584">
          <cell r="A584" t="str">
            <v>A28-6</v>
          </cell>
          <cell r="B584" t="str">
            <v>CALYCOSA</v>
          </cell>
        </row>
        <row r="585">
          <cell r="A585" t="str">
            <v>A28-7</v>
          </cell>
          <cell r="B585" t="str">
            <v>CALYCOSA</v>
          </cell>
        </row>
        <row r="586">
          <cell r="A586" t="str">
            <v>A28-8</v>
          </cell>
          <cell r="B586" t="str">
            <v>CALYCOSA</v>
          </cell>
        </row>
        <row r="587">
          <cell r="A587" t="str">
            <v>A28-9</v>
          </cell>
          <cell r="B587" t="str">
            <v>CALYCOSA</v>
          </cell>
        </row>
        <row r="588">
          <cell r="A588" t="str">
            <v>A29-10</v>
          </cell>
          <cell r="B588" t="str">
            <v>CALYCOSA</v>
          </cell>
        </row>
        <row r="589">
          <cell r="A589" t="str">
            <v>A29-1</v>
          </cell>
          <cell r="B589" t="str">
            <v>CALYCOSA</v>
          </cell>
        </row>
        <row r="590">
          <cell r="A590" t="str">
            <v>A29-2</v>
          </cell>
          <cell r="B590" t="str">
            <v>CALYCOSA</v>
          </cell>
        </row>
        <row r="591">
          <cell r="A591" t="str">
            <v>A29-3</v>
          </cell>
          <cell r="B591" t="str">
            <v>CALYCOSA</v>
          </cell>
        </row>
        <row r="592">
          <cell r="A592" t="str">
            <v>A29-4</v>
          </cell>
          <cell r="B592" t="str">
            <v>CALYCOSA</v>
          </cell>
        </row>
        <row r="593">
          <cell r="A593" t="str">
            <v>A29-5</v>
          </cell>
          <cell r="B593" t="str">
            <v>CALYCOSA</v>
          </cell>
        </row>
        <row r="594">
          <cell r="A594" t="str">
            <v>A29-6</v>
          </cell>
          <cell r="B594" t="str">
            <v>CALYCOSA</v>
          </cell>
        </row>
        <row r="595">
          <cell r="A595" t="str">
            <v>A29-7</v>
          </cell>
          <cell r="B595" t="str">
            <v>CALYCOSA</v>
          </cell>
        </row>
        <row r="596">
          <cell r="A596" t="str">
            <v>A29-8</v>
          </cell>
          <cell r="B596" t="str">
            <v>CALYCOSA</v>
          </cell>
        </row>
        <row r="597">
          <cell r="A597" t="str">
            <v>A29-9</v>
          </cell>
          <cell r="B597" t="str">
            <v>CALYCOSA</v>
          </cell>
        </row>
        <row r="598">
          <cell r="A598" t="str">
            <v>A30-10</v>
          </cell>
          <cell r="B598" t="str">
            <v>Heuchera villosa var. macrorhiza A30-10 MS</v>
          </cell>
        </row>
        <row r="599">
          <cell r="A599" t="str">
            <v>A30-1</v>
          </cell>
          <cell r="B599" t="str">
            <v>Heuchera villosa var. macrorhiza A30-1 MS</v>
          </cell>
        </row>
        <row r="600">
          <cell r="A600" t="str">
            <v>A30-2</v>
          </cell>
          <cell r="B600" t="str">
            <v>Heuchera villosa var. macrorhiza A30-2 MS</v>
          </cell>
        </row>
        <row r="601">
          <cell r="A601" t="str">
            <v>A30-3</v>
          </cell>
          <cell r="B601" t="str">
            <v>Heuchera villosa var. macrorhiza A30-3 MS</v>
          </cell>
        </row>
        <row r="602">
          <cell r="A602" t="str">
            <v>A30-4</v>
          </cell>
          <cell r="B602" t="str">
            <v>Heuchera villosa var. macrorhiza A30-4 MS</v>
          </cell>
        </row>
        <row r="603">
          <cell r="A603" t="str">
            <v>A30-5</v>
          </cell>
          <cell r="B603" t="str">
            <v>Heuchera villosa var. macrorhiza A30-5 MS</v>
          </cell>
        </row>
        <row r="604">
          <cell r="A604" t="str">
            <v>A30-6</v>
          </cell>
          <cell r="B604" t="str">
            <v>Heuchera villosa var. macrorhiza A30-6 MS</v>
          </cell>
        </row>
        <row r="605">
          <cell r="A605" t="str">
            <v>A30-7</v>
          </cell>
          <cell r="B605" t="str">
            <v>Heuchera villosa var. macrorhiza A30-7 MS</v>
          </cell>
        </row>
        <row r="606">
          <cell r="A606" t="str">
            <v>A30-9</v>
          </cell>
          <cell r="B606" t="str">
            <v>Heuchera villosa var. macrorhiza A30-9 MS</v>
          </cell>
        </row>
        <row r="607">
          <cell r="A607" t="str">
            <v>A31</v>
          </cell>
          <cell r="B607" t="str">
            <v>HIRSUTICAULIS</v>
          </cell>
        </row>
        <row r="608">
          <cell r="A608" t="str">
            <v>A32-10</v>
          </cell>
          <cell r="B608" t="str">
            <v>HIRSUTICAULIS</v>
          </cell>
        </row>
        <row r="609">
          <cell r="A609" t="str">
            <v>A32-1</v>
          </cell>
          <cell r="B609" t="str">
            <v>HIRSUTICAULIS</v>
          </cell>
        </row>
        <row r="610">
          <cell r="A610" t="str">
            <v>A32-2</v>
          </cell>
          <cell r="B610" t="str">
            <v>HIRSUTICAULIS</v>
          </cell>
        </row>
        <row r="611">
          <cell r="A611" t="str">
            <v>A32-3</v>
          </cell>
          <cell r="B611" t="str">
            <v>HIRSUTICAULIS</v>
          </cell>
        </row>
        <row r="612">
          <cell r="A612" t="str">
            <v>A32-4</v>
          </cell>
          <cell r="B612" t="str">
            <v>HIRSUTICAULIS</v>
          </cell>
        </row>
        <row r="613">
          <cell r="A613" t="str">
            <v>A32-5</v>
          </cell>
          <cell r="B613" t="str">
            <v>HIRSUTICAULIS</v>
          </cell>
        </row>
        <row r="614">
          <cell r="A614" t="str">
            <v>A32-7</v>
          </cell>
          <cell r="B614" t="str">
            <v>HIRSUTICAULIS</v>
          </cell>
        </row>
        <row r="615">
          <cell r="A615" t="str">
            <v>A32-8</v>
          </cell>
          <cell r="B615" t="str">
            <v>HIRSUTICAULIS</v>
          </cell>
        </row>
        <row r="616">
          <cell r="A616" t="str">
            <v>A32-9</v>
          </cell>
          <cell r="B616" t="str">
            <v>HIRSUTICAULIS</v>
          </cell>
        </row>
        <row r="617">
          <cell r="A617" t="str">
            <v>A3-2</v>
          </cell>
          <cell r="B617" t="str">
            <v>CALYCOSA</v>
          </cell>
        </row>
        <row r="618">
          <cell r="A618" t="str">
            <v>A33-1</v>
          </cell>
          <cell r="B618" t="str">
            <v>BREVIPETALA</v>
          </cell>
        </row>
        <row r="619">
          <cell r="A619" t="str">
            <v>A33-3</v>
          </cell>
          <cell r="B619" t="str">
            <v>BREVIPETALA</v>
          </cell>
        </row>
        <row r="620">
          <cell r="A620" t="str">
            <v>A33-4</v>
          </cell>
          <cell r="B620" t="str">
            <v>BREVIPETALA</v>
          </cell>
        </row>
        <row r="621">
          <cell r="A621" t="str">
            <v>A33-5</v>
          </cell>
          <cell r="B621" t="str">
            <v>BREVIPETALA</v>
          </cell>
        </row>
        <row r="622">
          <cell r="A622" t="str">
            <v>A33-6</v>
          </cell>
          <cell r="B622" t="str">
            <v>BREVIPETALA</v>
          </cell>
        </row>
        <row r="623">
          <cell r="A623" t="str">
            <v>A3-3</v>
          </cell>
          <cell r="B623" t="str">
            <v>CALYCOSA</v>
          </cell>
        </row>
        <row r="624">
          <cell r="A624" t="str">
            <v>A34-10</v>
          </cell>
          <cell r="B624" t="str">
            <v>BREVIPETALA</v>
          </cell>
        </row>
        <row r="625">
          <cell r="A625" t="str">
            <v>A34-1</v>
          </cell>
          <cell r="B625" t="str">
            <v>BREVIPETALA</v>
          </cell>
        </row>
        <row r="626">
          <cell r="A626" t="str">
            <v>A34-2</v>
          </cell>
          <cell r="B626" t="str">
            <v>BREVIPETALA</v>
          </cell>
        </row>
        <row r="627">
          <cell r="A627" t="str">
            <v>A34-3</v>
          </cell>
          <cell r="B627" t="str">
            <v>BREVIPETALA</v>
          </cell>
        </row>
        <row r="628">
          <cell r="A628" t="str">
            <v>A34-4</v>
          </cell>
          <cell r="B628" t="str">
            <v>BREVIPETALA</v>
          </cell>
        </row>
        <row r="629">
          <cell r="A629" t="str">
            <v>A34-5</v>
          </cell>
          <cell r="B629" t="str">
            <v>BREVIPETALA</v>
          </cell>
        </row>
        <row r="630">
          <cell r="A630" t="str">
            <v>A34-6</v>
          </cell>
          <cell r="B630" t="str">
            <v>BREVIPETALA</v>
          </cell>
        </row>
        <row r="631">
          <cell r="A631" t="str">
            <v>A34-7</v>
          </cell>
          <cell r="B631" t="str">
            <v>BREVIPETALA</v>
          </cell>
        </row>
        <row r="632">
          <cell r="A632" t="str">
            <v>A34-8</v>
          </cell>
          <cell r="B632" t="str">
            <v>BREVIPETALA</v>
          </cell>
        </row>
        <row r="633">
          <cell r="A633" t="str">
            <v>A34-9</v>
          </cell>
          <cell r="B633" t="str">
            <v>BREVIPETALA</v>
          </cell>
        </row>
        <row r="634">
          <cell r="A634" t="str">
            <v>A35-10</v>
          </cell>
          <cell r="B634" t="str">
            <v>BREVIPETALA</v>
          </cell>
        </row>
        <row r="635">
          <cell r="A635" t="str">
            <v>A35-1</v>
          </cell>
          <cell r="B635" t="str">
            <v>BREVIPETALA</v>
          </cell>
        </row>
        <row r="636">
          <cell r="A636" t="str">
            <v>A35-3</v>
          </cell>
          <cell r="B636" t="str">
            <v>BREVIPETALA</v>
          </cell>
        </row>
        <row r="637">
          <cell r="A637" t="str">
            <v>A35-4</v>
          </cell>
          <cell r="B637" t="str">
            <v>BREVIPETALA</v>
          </cell>
        </row>
        <row r="638">
          <cell r="A638" t="str">
            <v>A35-5</v>
          </cell>
          <cell r="B638" t="str">
            <v>BREVIPETALA</v>
          </cell>
        </row>
        <row r="639">
          <cell r="A639" t="str">
            <v>A35-6</v>
          </cell>
          <cell r="B639" t="str">
            <v>BREVIPETALA</v>
          </cell>
        </row>
        <row r="640">
          <cell r="A640" t="str">
            <v>A35-7</v>
          </cell>
          <cell r="B640" t="str">
            <v>BREVIPETALA</v>
          </cell>
        </row>
        <row r="641">
          <cell r="A641" t="str">
            <v>A35-8</v>
          </cell>
          <cell r="B641" t="str">
            <v>BREVIPETALA</v>
          </cell>
        </row>
        <row r="642">
          <cell r="A642" t="str">
            <v>A35-9</v>
          </cell>
          <cell r="B642" t="str">
            <v>BREVIPETALA</v>
          </cell>
        </row>
        <row r="643">
          <cell r="A643" t="str">
            <v>A36</v>
          </cell>
          <cell r="B643" t="str">
            <v>BREVIPETALA</v>
          </cell>
        </row>
        <row r="644">
          <cell r="A644" t="str">
            <v>A37-10</v>
          </cell>
          <cell r="B644" t="str">
            <v>Heuchera missouriensis A37-10 KY</v>
          </cell>
        </row>
        <row r="645">
          <cell r="A645" t="str">
            <v>A37-1</v>
          </cell>
          <cell r="B645" t="str">
            <v>Heuchera missouriensis A37-1 KY</v>
          </cell>
        </row>
        <row r="646">
          <cell r="A646" t="str">
            <v>A37-2</v>
          </cell>
          <cell r="B646" t="str">
            <v>Heuchera missouriensis A37-2 KY</v>
          </cell>
        </row>
        <row r="647">
          <cell r="A647" t="str">
            <v>A37-3</v>
          </cell>
          <cell r="B647" t="str">
            <v>Heuchera missouriensis A37-3 KY</v>
          </cell>
        </row>
        <row r="648">
          <cell r="A648" t="str">
            <v>A37-4</v>
          </cell>
          <cell r="B648" t="str">
            <v>Heuchera missouriensis A37-4 KY</v>
          </cell>
        </row>
        <row r="649">
          <cell r="A649" t="str">
            <v>A37-5</v>
          </cell>
          <cell r="B649" t="str">
            <v>Heuchera missouriensis A37-5 KY</v>
          </cell>
        </row>
        <row r="650">
          <cell r="A650" t="str">
            <v>A37-7</v>
          </cell>
          <cell r="B650" t="str">
            <v>Heuchera missouriensis A37-7 KY</v>
          </cell>
        </row>
        <row r="651">
          <cell r="A651" t="str">
            <v>A37-8</v>
          </cell>
          <cell r="B651" t="str">
            <v>Heuchera missouriensis A37-8 KY</v>
          </cell>
        </row>
        <row r="652">
          <cell r="A652" t="str">
            <v>A37-9</v>
          </cell>
          <cell r="B652" t="str">
            <v>Heuchera missouriensis A37-9 KY</v>
          </cell>
        </row>
        <row r="653">
          <cell r="A653" t="str">
            <v>A38-1</v>
          </cell>
          <cell r="B653" t="str">
            <v>HIRSUTICAULIS</v>
          </cell>
        </row>
        <row r="654">
          <cell r="A654" t="str">
            <v>A38-2</v>
          </cell>
          <cell r="B654" t="str">
            <v>HIRSUTICAULIS</v>
          </cell>
        </row>
        <row r="655">
          <cell r="A655" t="str">
            <v>A39-10</v>
          </cell>
          <cell r="B655" t="str">
            <v>HIRSUTICAULIS</v>
          </cell>
        </row>
        <row r="656">
          <cell r="A656" t="str">
            <v>A39-11</v>
          </cell>
          <cell r="B656" t="str">
            <v>HIRSUTICAULIS</v>
          </cell>
        </row>
        <row r="657">
          <cell r="A657" t="str">
            <v>A39-1</v>
          </cell>
          <cell r="B657" t="str">
            <v>HIRSUTICAULIS</v>
          </cell>
        </row>
        <row r="658">
          <cell r="A658" t="str">
            <v>A39-2</v>
          </cell>
          <cell r="B658" t="str">
            <v>HIRSUTICAULIS</v>
          </cell>
        </row>
        <row r="659">
          <cell r="A659" t="str">
            <v>A39-3</v>
          </cell>
          <cell r="B659" t="str">
            <v>HIRSUTICAULIS</v>
          </cell>
        </row>
        <row r="660">
          <cell r="A660" t="str">
            <v>A39-4</v>
          </cell>
          <cell r="B660" t="str">
            <v>HIRSUTICAULIS</v>
          </cell>
        </row>
        <row r="661">
          <cell r="A661" t="str">
            <v>A39-5</v>
          </cell>
          <cell r="B661" t="str">
            <v>HIRSUTICAULIS</v>
          </cell>
        </row>
        <row r="662">
          <cell r="A662" t="str">
            <v>A39-6</v>
          </cell>
          <cell r="B662" t="str">
            <v>HIRSUTICAULIS</v>
          </cell>
        </row>
        <row r="663">
          <cell r="A663" t="str">
            <v>A39-7</v>
          </cell>
          <cell r="B663" t="str">
            <v>HIRSUTICAULIS</v>
          </cell>
        </row>
        <row r="664">
          <cell r="A664" t="str">
            <v>A39-8</v>
          </cell>
          <cell r="B664" t="str">
            <v>HIRSUTICAULIS</v>
          </cell>
        </row>
        <row r="665">
          <cell r="A665" t="str">
            <v>A39-9</v>
          </cell>
          <cell r="B665" t="str">
            <v>HIRSUTICAULIS</v>
          </cell>
        </row>
        <row r="666">
          <cell r="A666" t="str">
            <v>A40-2</v>
          </cell>
          <cell r="B666" t="str">
            <v>HIRSUTICAULIS</v>
          </cell>
        </row>
        <row r="667">
          <cell r="A667" t="str">
            <v>A40-3</v>
          </cell>
          <cell r="B667" t="str">
            <v>HIRSUTICAULIS</v>
          </cell>
        </row>
        <row r="668">
          <cell r="A668" t="str">
            <v>A40</v>
          </cell>
          <cell r="B668" t="str">
            <v>HIRSUTICAULIS</v>
          </cell>
        </row>
        <row r="669">
          <cell r="A669" t="str">
            <v>A41-1</v>
          </cell>
          <cell r="B669" t="str">
            <v>HIRSUTICAULIS</v>
          </cell>
        </row>
        <row r="670">
          <cell r="A670" t="str">
            <v>A41-2</v>
          </cell>
          <cell r="B670" t="str">
            <v>HIRSUTICAULIS</v>
          </cell>
        </row>
        <row r="671">
          <cell r="A671" t="str">
            <v>A41-3</v>
          </cell>
          <cell r="B671" t="str">
            <v>HIRSUTICAULIS</v>
          </cell>
        </row>
        <row r="672">
          <cell r="A672" t="str">
            <v>A4-1</v>
          </cell>
          <cell r="B672" t="str">
            <v>CALYCOSA</v>
          </cell>
        </row>
        <row r="673">
          <cell r="A673" t="str">
            <v>A42-1</v>
          </cell>
          <cell r="B673" t="str">
            <v>RICHARDSONII</v>
          </cell>
        </row>
        <row r="674">
          <cell r="A674" t="str">
            <v>A42-2</v>
          </cell>
          <cell r="B674" t="str">
            <v>RICHARDSONII</v>
          </cell>
        </row>
        <row r="675">
          <cell r="A675" t="str">
            <v>A42-3</v>
          </cell>
          <cell r="B675" t="str">
            <v>RICHARDSONII</v>
          </cell>
        </row>
        <row r="676">
          <cell r="A676" t="str">
            <v>A42-4</v>
          </cell>
          <cell r="B676" t="str">
            <v>RICHARDSONII</v>
          </cell>
        </row>
        <row r="677">
          <cell r="A677" t="str">
            <v>A4-2</v>
          </cell>
          <cell r="B677" t="str">
            <v>CALYCOSA</v>
          </cell>
        </row>
        <row r="678">
          <cell r="A678" t="str">
            <v>A43-1</v>
          </cell>
          <cell r="B678" t="str">
            <v>RICHARDSONII</v>
          </cell>
        </row>
        <row r="679">
          <cell r="A679" t="str">
            <v>A43-2</v>
          </cell>
          <cell r="B679" t="str">
            <v>RICHARDSONII</v>
          </cell>
        </row>
        <row r="680">
          <cell r="A680" t="str">
            <v>A43-3</v>
          </cell>
          <cell r="B680" t="str">
            <v>RICHARDSONII</v>
          </cell>
        </row>
        <row r="681">
          <cell r="A681" t="str">
            <v>A4-3</v>
          </cell>
          <cell r="B681" t="str">
            <v>CALYCOSA</v>
          </cell>
        </row>
        <row r="682">
          <cell r="A682" t="str">
            <v>A44-10</v>
          </cell>
          <cell r="B682" t="str">
            <v>RICHARDSONII</v>
          </cell>
        </row>
        <row r="683">
          <cell r="A683" t="str">
            <v>A44-1</v>
          </cell>
          <cell r="B683" t="str">
            <v>RICHARDSONII</v>
          </cell>
        </row>
        <row r="684">
          <cell r="A684" t="str">
            <v>A44-2</v>
          </cell>
          <cell r="B684" t="str">
            <v>RICHARDSONII</v>
          </cell>
        </row>
        <row r="685">
          <cell r="A685" t="str">
            <v>A44-3</v>
          </cell>
          <cell r="B685" t="str">
            <v>RICHARDSONII</v>
          </cell>
        </row>
        <row r="686">
          <cell r="A686" t="str">
            <v>A44-4</v>
          </cell>
          <cell r="B686" t="str">
            <v>RICHARDSONII</v>
          </cell>
        </row>
        <row r="687">
          <cell r="A687" t="str">
            <v>A44-5</v>
          </cell>
          <cell r="B687" t="str">
            <v>RICHARDSONII</v>
          </cell>
        </row>
        <row r="688">
          <cell r="A688" t="str">
            <v>A44-6</v>
          </cell>
          <cell r="B688" t="str">
            <v>RICHARDSONII</v>
          </cell>
        </row>
        <row r="689">
          <cell r="A689" t="str">
            <v>A44-7</v>
          </cell>
          <cell r="B689" t="str">
            <v>RICHARDSONII</v>
          </cell>
        </row>
        <row r="690">
          <cell r="A690" t="str">
            <v>A44-8</v>
          </cell>
          <cell r="B690" t="str">
            <v>RICHARDSONII</v>
          </cell>
        </row>
        <row r="691">
          <cell r="A691" t="str">
            <v>A44-9</v>
          </cell>
          <cell r="B691" t="str">
            <v>RICHARDSONII</v>
          </cell>
        </row>
        <row r="692">
          <cell r="A692" t="str">
            <v>A4-4</v>
          </cell>
          <cell r="B692" t="str">
            <v>CALYCOSA</v>
          </cell>
        </row>
        <row r="693">
          <cell r="A693" t="str">
            <v>A45-10</v>
          </cell>
          <cell r="B693" t="str">
            <v>HIRSUTICAULIS</v>
          </cell>
        </row>
        <row r="694">
          <cell r="A694" t="str">
            <v>A45-1</v>
          </cell>
          <cell r="B694" t="str">
            <v>HIRSUTICAULIS</v>
          </cell>
        </row>
        <row r="695">
          <cell r="A695" t="str">
            <v>A45-4</v>
          </cell>
          <cell r="B695" t="str">
            <v>HIRSUTICAULIS</v>
          </cell>
        </row>
        <row r="696">
          <cell r="A696" t="str">
            <v>A45-5</v>
          </cell>
          <cell r="B696" t="str">
            <v>HIRSUTICAULIS</v>
          </cell>
        </row>
        <row r="697">
          <cell r="A697" t="str">
            <v>A45-6</v>
          </cell>
          <cell r="B697" t="str">
            <v>HIRSUTICAULIS</v>
          </cell>
        </row>
        <row r="698">
          <cell r="A698" t="str">
            <v>A45-7</v>
          </cell>
          <cell r="B698" t="str">
            <v>HIRSUTICAULIS</v>
          </cell>
        </row>
        <row r="699">
          <cell r="A699" t="str">
            <v>A4-5</v>
          </cell>
          <cell r="B699" t="str">
            <v>CALYCOSA</v>
          </cell>
        </row>
        <row r="700">
          <cell r="A700" t="str">
            <v>A46-1</v>
          </cell>
          <cell r="B700" t="str">
            <v>HIRSUTICAULIS</v>
          </cell>
        </row>
        <row r="701">
          <cell r="A701" t="str">
            <v>A46-2</v>
          </cell>
          <cell r="B701" t="str">
            <v>HIRSUTICAULIS</v>
          </cell>
        </row>
        <row r="702">
          <cell r="A702" t="str">
            <v>A46-3</v>
          </cell>
          <cell r="B702" t="str">
            <v>HIRSUTICAULIS</v>
          </cell>
        </row>
        <row r="703">
          <cell r="A703" t="str">
            <v>A46-4</v>
          </cell>
          <cell r="B703" t="str">
            <v>HIRSUTICAULIS</v>
          </cell>
        </row>
        <row r="704">
          <cell r="A704" t="str">
            <v>A46-5</v>
          </cell>
          <cell r="B704" t="str">
            <v>HIRSUTICAULIS</v>
          </cell>
        </row>
        <row r="705">
          <cell r="A705" t="str">
            <v>A46-6</v>
          </cell>
          <cell r="B705" t="str">
            <v>HIRSUTICAULIS</v>
          </cell>
        </row>
        <row r="706">
          <cell r="A706" t="str">
            <v>A46-7</v>
          </cell>
          <cell r="B706" t="str">
            <v>HIRSUTICAULIS</v>
          </cell>
        </row>
        <row r="707">
          <cell r="A707" t="str">
            <v>A46-8</v>
          </cell>
          <cell r="B707" t="str">
            <v>HIRSUTICAULIS</v>
          </cell>
        </row>
        <row r="708">
          <cell r="A708" t="str">
            <v>A47-3</v>
          </cell>
          <cell r="B708" t="str">
            <v>HIRSUTICAULIS</v>
          </cell>
        </row>
        <row r="709">
          <cell r="A709" t="str">
            <v>A47-4</v>
          </cell>
          <cell r="B709" t="str">
            <v>HIRSUTICAULIS</v>
          </cell>
        </row>
        <row r="710">
          <cell r="A710" t="str">
            <v>A48</v>
          </cell>
          <cell r="B710" t="str">
            <v>HIRSUTICAULIS</v>
          </cell>
        </row>
        <row r="711">
          <cell r="A711" t="str">
            <v>A49-10</v>
          </cell>
          <cell r="B711" t="str">
            <v>HIRSUTICAULIS</v>
          </cell>
        </row>
        <row r="712">
          <cell r="A712" t="str">
            <v>A49-11</v>
          </cell>
          <cell r="B712" t="str">
            <v>HIRSUTICAULIS</v>
          </cell>
        </row>
        <row r="713">
          <cell r="A713" t="str">
            <v>A49-12</v>
          </cell>
          <cell r="B713" t="str">
            <v>HIRSUTICAULIS</v>
          </cell>
        </row>
        <row r="714">
          <cell r="A714" t="str">
            <v>A49-1</v>
          </cell>
          <cell r="B714" t="str">
            <v>HIRSUTICAULIS</v>
          </cell>
        </row>
        <row r="715">
          <cell r="A715" t="str">
            <v>A49-2</v>
          </cell>
          <cell r="B715" t="str">
            <v>HIRSUTICAULIS</v>
          </cell>
        </row>
        <row r="716">
          <cell r="A716" t="str">
            <v>A49-3</v>
          </cell>
          <cell r="B716" t="str">
            <v>HIRSUTICAULIS</v>
          </cell>
        </row>
        <row r="717">
          <cell r="A717" t="str">
            <v>A49-5</v>
          </cell>
          <cell r="B717" t="str">
            <v>HIRSUTICAULIS</v>
          </cell>
        </row>
        <row r="718">
          <cell r="A718" t="str">
            <v>A49-7</v>
          </cell>
          <cell r="B718" t="str">
            <v>HIRSUTICAULIS</v>
          </cell>
        </row>
        <row r="719">
          <cell r="A719" t="str">
            <v>A49-8</v>
          </cell>
          <cell r="B719" t="str">
            <v>HIRSUTICAULIS</v>
          </cell>
        </row>
        <row r="720">
          <cell r="A720" t="str">
            <v>A49-9</v>
          </cell>
          <cell r="B720" t="str">
            <v>HIRSUTICAULIS</v>
          </cell>
        </row>
        <row r="721">
          <cell r="A721" t="str">
            <v>A5-3</v>
          </cell>
          <cell r="B721" t="str">
            <v>Heuchera villosa var. villosa A5-3 GA</v>
          </cell>
        </row>
        <row r="722">
          <cell r="A722" t="str">
            <v>A5-4</v>
          </cell>
          <cell r="B722" t="str">
            <v>Heuchera villosa var. villosa A5-4 GA</v>
          </cell>
        </row>
        <row r="723">
          <cell r="A723" t="str">
            <v>A5-5</v>
          </cell>
          <cell r="B723" t="str">
            <v>Heuchera villosa var. villosa A5-5 GA</v>
          </cell>
        </row>
        <row r="724">
          <cell r="A724" t="str">
            <v>A6-1</v>
          </cell>
          <cell r="B724" t="str">
            <v>CALYCOSA</v>
          </cell>
        </row>
        <row r="725">
          <cell r="A725" t="str">
            <v>A9-2</v>
          </cell>
          <cell r="B725" t="str">
            <v>HIRSUTICAULIS</v>
          </cell>
        </row>
        <row r="726">
          <cell r="A726" t="str">
            <v>A9-5</v>
          </cell>
          <cell r="B726" t="str">
            <v>HIRSUTICAULIS</v>
          </cell>
        </row>
        <row r="727">
          <cell r="A727" t="str">
            <v>A9-6</v>
          </cell>
          <cell r="B727" t="str">
            <v>HIRSUTICAULIS</v>
          </cell>
        </row>
        <row r="728">
          <cell r="A728" t="str">
            <v>A9-7</v>
          </cell>
          <cell r="B728" t="str">
            <v>HIRSUTICAULIS</v>
          </cell>
        </row>
        <row r="729">
          <cell r="A729" t="str">
            <v>E10</v>
          </cell>
          <cell r="B729" t="str">
            <v>CALYCOSA</v>
          </cell>
        </row>
        <row r="730">
          <cell r="A730" t="str">
            <v>E11</v>
          </cell>
          <cell r="B730" t="str">
            <v>CALYCOSA</v>
          </cell>
        </row>
        <row r="731">
          <cell r="A731" t="str">
            <v>E12</v>
          </cell>
          <cell r="B731" t="str">
            <v>CALYCOSA</v>
          </cell>
        </row>
        <row r="732">
          <cell r="A732" t="str">
            <v>E13</v>
          </cell>
          <cell r="B732" t="str">
            <v>CALYCOSA</v>
          </cell>
        </row>
        <row r="733">
          <cell r="A733" t="str">
            <v>E14</v>
          </cell>
          <cell r="B733" t="str">
            <v>CALYCOSA</v>
          </cell>
        </row>
        <row r="734">
          <cell r="A734" t="str">
            <v>E15</v>
          </cell>
          <cell r="B734" t="str">
            <v>CALYCOSA</v>
          </cell>
        </row>
        <row r="735">
          <cell r="A735" t="str">
            <v>E16</v>
          </cell>
          <cell r="B735" t="str">
            <v>CALYCOSA</v>
          </cell>
        </row>
        <row r="736">
          <cell r="A736" t="str">
            <v>E17</v>
          </cell>
          <cell r="B736" t="str">
            <v>CALYCOSA</v>
          </cell>
        </row>
        <row r="737">
          <cell r="A737" t="str">
            <v>E18</v>
          </cell>
          <cell r="B737" t="str">
            <v>CALYCOSA</v>
          </cell>
        </row>
        <row r="738">
          <cell r="A738" t="str">
            <v>E19</v>
          </cell>
          <cell r="B738" t="str">
            <v>CALYCOSA</v>
          </cell>
        </row>
        <row r="739">
          <cell r="A739" t="str">
            <v>E1</v>
          </cell>
          <cell r="B739" t="str">
            <v>CALYCOSA</v>
          </cell>
        </row>
        <row r="740">
          <cell r="A740" t="str">
            <v>E20</v>
          </cell>
          <cell r="B740" t="str">
            <v>Heuchera missouriensis E20 AL Blount</v>
          </cell>
        </row>
        <row r="741">
          <cell r="A741" t="str">
            <v>E21</v>
          </cell>
          <cell r="B741" t="str">
            <v>Heuchera missouriensis E21 AL Blount</v>
          </cell>
        </row>
        <row r="742">
          <cell r="A742" t="str">
            <v>E22</v>
          </cell>
          <cell r="B742" t="str">
            <v>Heuchera missouriensis E22 AL Lawrence</v>
          </cell>
        </row>
        <row r="743">
          <cell r="A743" t="str">
            <v>E23</v>
          </cell>
          <cell r="B743" t="str">
            <v>Heuchera missouriensis E23 AL Jackson</v>
          </cell>
        </row>
        <row r="744">
          <cell r="A744" t="str">
            <v>E24</v>
          </cell>
          <cell r="B744" t="str">
            <v>Heuchera missouriensis E24 AL Cherokee</v>
          </cell>
        </row>
        <row r="745">
          <cell r="A745" t="str">
            <v>E25</v>
          </cell>
          <cell r="B745" t="str">
            <v>Heuchera missouriensis E25 AL Lawrence</v>
          </cell>
        </row>
        <row r="746">
          <cell r="A746" t="str">
            <v>E26</v>
          </cell>
          <cell r="B746" t="str">
            <v>Heuchera villosa E26 AL Lawrence</v>
          </cell>
        </row>
        <row r="747">
          <cell r="A747" t="str">
            <v>E27</v>
          </cell>
          <cell r="B747" t="str">
            <v>Heuchera villosa E27 AL Franklin</v>
          </cell>
        </row>
        <row r="748">
          <cell r="A748" t="str">
            <v>E28</v>
          </cell>
          <cell r="B748" t="str">
            <v>Heuchera longiflora E28 AL Talladega</v>
          </cell>
        </row>
        <row r="749">
          <cell r="A749" t="str">
            <v>E29</v>
          </cell>
          <cell r="B749" t="str">
            <v>Heuchera parviflora var. parviflora E29 OH Gallia</v>
          </cell>
        </row>
        <row r="750">
          <cell r="A750" t="str">
            <v>E2</v>
          </cell>
          <cell r="B750" t="str">
            <v>CALYCOSA</v>
          </cell>
        </row>
        <row r="751">
          <cell r="A751" t="str">
            <v>E30</v>
          </cell>
          <cell r="B751" t="str">
            <v>Heuchera villosa E30 SC Greenville</v>
          </cell>
        </row>
        <row r="752">
          <cell r="A752" t="str">
            <v>E31</v>
          </cell>
          <cell r="B752" t="str">
            <v>Heuchera villosa E31 GA Rabun</v>
          </cell>
        </row>
        <row r="753">
          <cell r="A753" t="str">
            <v>E32</v>
          </cell>
          <cell r="B753" t="str">
            <v>Heuchera villosa E32 GA Union</v>
          </cell>
        </row>
        <row r="754">
          <cell r="A754" t="str">
            <v>E33</v>
          </cell>
          <cell r="B754" t="str">
            <v>Heuchera villosa E33 TN Putman</v>
          </cell>
        </row>
        <row r="755">
          <cell r="A755" t="str">
            <v>E34</v>
          </cell>
          <cell r="B755" t="str">
            <v>Heuchera villosa E34 OH Gallia</v>
          </cell>
        </row>
        <row r="756">
          <cell r="A756" t="str">
            <v>E35</v>
          </cell>
          <cell r="B756" t="str">
            <v>Heuchera caroliniana E35 NC Stanly</v>
          </cell>
        </row>
        <row r="757">
          <cell r="A757" t="str">
            <v>E36</v>
          </cell>
          <cell r="B757" t="str">
            <v>AMERICANA</v>
          </cell>
        </row>
        <row r="758">
          <cell r="A758" t="str">
            <v>E37</v>
          </cell>
          <cell r="B758" t="str">
            <v>Heuchera bracteata E37 CO Larimer</v>
          </cell>
        </row>
        <row r="759">
          <cell r="A759" t="str">
            <v>E38</v>
          </cell>
          <cell r="B759" t="str">
            <v>Heuchera bracteata E38 CO Clear Creek</v>
          </cell>
        </row>
        <row r="760">
          <cell r="A760" t="str">
            <v>E39</v>
          </cell>
          <cell r="B760" t="str">
            <v>Heuchera micrantha E39 OR Lane</v>
          </cell>
        </row>
        <row r="761">
          <cell r="A761" t="str">
            <v>E3</v>
          </cell>
          <cell r="B761" t="str">
            <v>CALYCOSA</v>
          </cell>
        </row>
        <row r="762">
          <cell r="A762" t="str">
            <v>E40</v>
          </cell>
          <cell r="B762" t="str">
            <v>Heuchera micrantha E40 WA Skamania</v>
          </cell>
        </row>
        <row r="763">
          <cell r="A763" t="str">
            <v>E4</v>
          </cell>
          <cell r="B763" t="str">
            <v>CALYCOSA</v>
          </cell>
        </row>
        <row r="764">
          <cell r="A764" t="str">
            <v>E5</v>
          </cell>
          <cell r="B764" t="str">
            <v>CALYCOSA</v>
          </cell>
        </row>
        <row r="765">
          <cell r="A765" t="str">
            <v>E6</v>
          </cell>
          <cell r="B765" t="str">
            <v>CALYCOSA</v>
          </cell>
        </row>
        <row r="766">
          <cell r="A766" t="str">
            <v>E7</v>
          </cell>
          <cell r="B766" t="str">
            <v>CALYCOSA</v>
          </cell>
        </row>
        <row r="767">
          <cell r="A767" t="str">
            <v>E8</v>
          </cell>
          <cell r="B767" t="str">
            <v>CALYCOSA</v>
          </cell>
        </row>
        <row r="768">
          <cell r="A768" t="str">
            <v>E9</v>
          </cell>
          <cell r="B768" t="str">
            <v>CALYCOSA</v>
          </cell>
        </row>
        <row r="769">
          <cell r="A769" t="str">
            <v>FL23</v>
          </cell>
          <cell r="B769" t="str">
            <v>Heuchera longiflora var. aceroides FL23</v>
          </cell>
        </row>
        <row r="770">
          <cell r="A770" t="str">
            <v>FL27</v>
          </cell>
          <cell r="B770" t="str">
            <v>Heuchera longiflora var. longiflora FL27</v>
          </cell>
        </row>
        <row r="771">
          <cell r="A771" t="str">
            <v>H102-3</v>
          </cell>
          <cell r="B771" t="str">
            <v>HISPIDA</v>
          </cell>
        </row>
        <row r="772">
          <cell r="A772" t="str">
            <v>H106-1</v>
          </cell>
          <cell r="B772" t="str">
            <v>RICHARDSONII</v>
          </cell>
        </row>
        <row r="773">
          <cell r="A773" t="str">
            <v>H106-2</v>
          </cell>
          <cell r="B773" t="str">
            <v>RICHARDSONII</v>
          </cell>
        </row>
        <row r="774">
          <cell r="A774" t="str">
            <v>H107-1</v>
          </cell>
          <cell r="B774" t="str">
            <v>Heuchera parvifolia H107-1 WY</v>
          </cell>
        </row>
        <row r="775">
          <cell r="A775" t="str">
            <v>H107-2</v>
          </cell>
          <cell r="B775" t="str">
            <v>Heuchera parvifolia H107-2 WY</v>
          </cell>
        </row>
        <row r="776">
          <cell r="A776" t="str">
            <v>H108-2</v>
          </cell>
          <cell r="B776" t="str">
            <v>Heuchera saxicola H108-2 MT</v>
          </cell>
        </row>
        <row r="777">
          <cell r="A777" t="str">
            <v>H110-1</v>
          </cell>
          <cell r="B777" t="str">
            <v>Heuchera saxicola H110-1 MT</v>
          </cell>
        </row>
        <row r="778">
          <cell r="A778" t="str">
            <v>H110-2</v>
          </cell>
          <cell r="B778" t="str">
            <v>Heuchera saxicola H110-2 MT</v>
          </cell>
        </row>
        <row r="779">
          <cell r="A779" t="str">
            <v>H111-1</v>
          </cell>
          <cell r="B779" t="str">
            <v>Heuchera saxicola H111-1 MT</v>
          </cell>
        </row>
        <row r="780">
          <cell r="A780" t="str">
            <v>H111-2</v>
          </cell>
          <cell r="B780" t="str">
            <v>Heuchera saxicola H111-2 MT</v>
          </cell>
        </row>
        <row r="781">
          <cell r="A781" t="str">
            <v>H112-1</v>
          </cell>
          <cell r="B781" t="str">
            <v>Heuchera saxicola H112-1 MT</v>
          </cell>
        </row>
        <row r="782">
          <cell r="A782" t="str">
            <v>H112-2</v>
          </cell>
          <cell r="B782" t="str">
            <v>Heuchera saxicola H112-2 MT</v>
          </cell>
        </row>
        <row r="783">
          <cell r="A783" t="str">
            <v>H113-1</v>
          </cell>
          <cell r="B783" t="str">
            <v>Heuchera cylindrica var. glabella H113-1 MT</v>
          </cell>
        </row>
        <row r="784">
          <cell r="A784" t="str">
            <v>H113-2</v>
          </cell>
          <cell r="B784" t="str">
            <v>Heuchera cylindrica var. glabella H113-2 MT</v>
          </cell>
        </row>
        <row r="785">
          <cell r="A785" t="str">
            <v>H114-1</v>
          </cell>
          <cell r="B785" t="str">
            <v>Heuchera cylindrica var. glabella H114-1 MT Lewis and Clark</v>
          </cell>
        </row>
        <row r="786">
          <cell r="A786" t="str">
            <v>H115-2</v>
          </cell>
          <cell r="B786" t="str">
            <v>Heuchera cylindrica var. glabella H115-2 MT</v>
          </cell>
        </row>
        <row r="787">
          <cell r="A787" t="str">
            <v>H116-2</v>
          </cell>
          <cell r="B787" t="str">
            <v>Heuchera cylindrica var. glabella H116-2 MT</v>
          </cell>
        </row>
        <row r="788">
          <cell r="A788" t="str">
            <v>H118-1</v>
          </cell>
          <cell r="B788" t="str">
            <v>Heuchera cylindrica var. glabella H118-1 MT</v>
          </cell>
        </row>
        <row r="789">
          <cell r="A789" t="str">
            <v>H118-2</v>
          </cell>
          <cell r="B789" t="str">
            <v>Heuchera cylindrica var. glabella H118-2 MT</v>
          </cell>
        </row>
        <row r="790">
          <cell r="A790" t="str">
            <v>H121-2</v>
          </cell>
          <cell r="B790" t="str">
            <v>Heuchera cylindrica var. glabella H121-2 MT</v>
          </cell>
        </row>
        <row r="791">
          <cell r="A791" t="str">
            <v>H122-2</v>
          </cell>
          <cell r="B791" t="str">
            <v>Heuchera cylindrica var. cylindrica H122-2 WA</v>
          </cell>
        </row>
        <row r="792">
          <cell r="A792" t="str">
            <v>H123-2</v>
          </cell>
          <cell r="B792" t="str">
            <v>Heuchera cylindrica var. cylindrica H123-2 WA</v>
          </cell>
        </row>
        <row r="793">
          <cell r="A793" t="str">
            <v>H124-1</v>
          </cell>
          <cell r="B793" t="str">
            <v>Heuchera cylindrica var. glabella H124-1 WA</v>
          </cell>
        </row>
        <row r="794">
          <cell r="A794" t="str">
            <v>H124-2</v>
          </cell>
          <cell r="B794" t="str">
            <v>Heuchera cylindrica var. glabella H124-2 WA</v>
          </cell>
        </row>
        <row r="795">
          <cell r="A795" t="str">
            <v>H125-1</v>
          </cell>
          <cell r="B795" t="str">
            <v>Heuchera cylindrica var. glabella H125-1 WA</v>
          </cell>
        </row>
        <row r="796">
          <cell r="A796" t="str">
            <v>H125-2</v>
          </cell>
          <cell r="B796" t="str">
            <v>Heuchera cylindrica var. glabella H125-2 WA</v>
          </cell>
        </row>
        <row r="797">
          <cell r="A797" t="str">
            <v>H126</v>
          </cell>
          <cell r="B797" t="str">
            <v>Mitella cf. trifida H126 WA</v>
          </cell>
        </row>
        <row r="798">
          <cell r="A798" t="str">
            <v>H129-1</v>
          </cell>
          <cell r="B798" t="str">
            <v>Heuchera micrantha var. diversifolia f. acuta H129-1 WA</v>
          </cell>
        </row>
        <row r="799">
          <cell r="A799" t="str">
            <v>H129-2</v>
          </cell>
          <cell r="B799" t="str">
            <v>Heuchera micrantha var. diversifolia f. acuta H129-2 WA</v>
          </cell>
        </row>
        <row r="800">
          <cell r="A800" t="str">
            <v>H130-2</v>
          </cell>
          <cell r="B800" t="str">
            <v>Tellima grandiflora H130-2 WA</v>
          </cell>
        </row>
        <row r="801">
          <cell r="A801" t="str">
            <v>H131-1</v>
          </cell>
          <cell r="B801" t="str">
            <v>Tolmiea menziesii H131-1 WA</v>
          </cell>
        </row>
        <row r="802">
          <cell r="A802" t="str">
            <v>H134-2</v>
          </cell>
          <cell r="B802" t="str">
            <v>Heuchera micrantha var. diversifolia H134-2 WA</v>
          </cell>
        </row>
        <row r="803">
          <cell r="A803" t="str">
            <v>H136-2</v>
          </cell>
          <cell r="B803" t="str">
            <v>Heuchera micrantha var. micrantha H136-2 OR</v>
          </cell>
        </row>
        <row r="804">
          <cell r="A804" t="str">
            <v>H137-2</v>
          </cell>
          <cell r="B804" t="str">
            <v>Heuchera glabra H137-2 OR</v>
          </cell>
        </row>
        <row r="805">
          <cell r="A805" t="str">
            <v>H141-2</v>
          </cell>
          <cell r="B805" t="str">
            <v>Heuchera micrantha var. micrantha H141-2 OR</v>
          </cell>
        </row>
        <row r="806">
          <cell r="A806" t="str">
            <v>H143-1</v>
          </cell>
          <cell r="B806" t="str">
            <v>Heuchera micrantha var. pacifica H143-1 OR</v>
          </cell>
        </row>
        <row r="807">
          <cell r="A807" t="str">
            <v>H143-2</v>
          </cell>
          <cell r="B807" t="str">
            <v>Heuchera micrantha var. pacifica H143-2 OR</v>
          </cell>
        </row>
        <row r="808">
          <cell r="A808" t="str">
            <v>H144-1</v>
          </cell>
          <cell r="B808" t="str">
            <v>Heuchera micrantha var. hartwegii H144-1 OR</v>
          </cell>
        </row>
        <row r="809">
          <cell r="A809" t="str">
            <v>H145-2</v>
          </cell>
          <cell r="B809" t="str">
            <v>Heuchera micrantha var. hartwegii H145-2 OR</v>
          </cell>
        </row>
        <row r="810">
          <cell r="A810" t="str">
            <v>H146-1</v>
          </cell>
          <cell r="B810" t="str">
            <v>Heuchera micrantha var. macropetala H146-1 OR</v>
          </cell>
        </row>
        <row r="811">
          <cell r="A811" t="str">
            <v>H146-2</v>
          </cell>
          <cell r="B811" t="str">
            <v>Heuchera micrantha var. macropetala H146-2 OR</v>
          </cell>
        </row>
        <row r="812">
          <cell r="A812" t="str">
            <v>H149-1</v>
          </cell>
          <cell r="B812" t="str">
            <v>Heuchera micrantha var. erubescens H149-1 OR</v>
          </cell>
        </row>
        <row r="813">
          <cell r="A813" t="str">
            <v>H149-2</v>
          </cell>
          <cell r="B813" t="str">
            <v>Heuchera micrantha var. erubescens H149-2 OR</v>
          </cell>
        </row>
        <row r="814">
          <cell r="A814" t="str">
            <v>H151-1</v>
          </cell>
          <cell r="B814" t="str">
            <v>Heuchera cylindrica var. alpina H151-1 CA</v>
          </cell>
        </row>
        <row r="815">
          <cell r="A815" t="str">
            <v>H154-2</v>
          </cell>
          <cell r="B815" t="str">
            <v>Heuchera grossulariifolia var. grossulariifolia H154-2 ID</v>
          </cell>
        </row>
        <row r="816">
          <cell r="A816" t="str">
            <v>H155-2</v>
          </cell>
          <cell r="B816" t="str">
            <v>Heuchera grossulariifolia var. grossulariifolia H155-2 ID</v>
          </cell>
        </row>
        <row r="817">
          <cell r="A817" t="str">
            <v>H157-2</v>
          </cell>
          <cell r="B817" t="str">
            <v>Heuchera grossulariifolia var. grossulariifolia H157-2 ID</v>
          </cell>
        </row>
        <row r="818">
          <cell r="A818" t="str">
            <v>H162-2</v>
          </cell>
          <cell r="B818" t="str">
            <v>Heuchera rubescens var. rubescens H162-2 ID</v>
          </cell>
        </row>
        <row r="819">
          <cell r="A819" t="str">
            <v>H164-2</v>
          </cell>
          <cell r="B819" t="str">
            <v>Heuchera bracteata H164-2 WY</v>
          </cell>
        </row>
        <row r="820">
          <cell r="A820" t="str">
            <v>H174-4</v>
          </cell>
          <cell r="B820" t="str">
            <v>Heuchera missouriensis H174-4 IL</v>
          </cell>
        </row>
        <row r="821">
          <cell r="A821" t="str">
            <v>H175-4</v>
          </cell>
          <cell r="B821" t="str">
            <v>Heuchera missouriensis H175-4 IL</v>
          </cell>
        </row>
        <row r="822">
          <cell r="A822" t="str">
            <v>H177-2</v>
          </cell>
          <cell r="B822" t="str">
            <v>HIRSUTICAULIS</v>
          </cell>
        </row>
        <row r="823">
          <cell r="A823" t="str">
            <v>H181-2</v>
          </cell>
          <cell r="B823" t="str">
            <v>Heuchera puberula H181-2 MO</v>
          </cell>
        </row>
        <row r="824">
          <cell r="A824" t="str">
            <v>H182-4</v>
          </cell>
          <cell r="B824" t="str">
            <v>Heuchera puberula f. glabrata H182-4 MO</v>
          </cell>
        </row>
        <row r="825">
          <cell r="A825" t="str">
            <v>H184-4</v>
          </cell>
          <cell r="B825" t="str">
            <v>Heuchera puberula H184-4 MO</v>
          </cell>
        </row>
        <row r="826">
          <cell r="A826" t="str">
            <v>H186-4</v>
          </cell>
          <cell r="B826" t="str">
            <v>Heuchera puberula f. glabrata H186-4 MO</v>
          </cell>
        </row>
        <row r="827">
          <cell r="A827" t="str">
            <v>H190-4</v>
          </cell>
          <cell r="B827" t="str">
            <v>Heuchera puberula H190-4 AR</v>
          </cell>
        </row>
        <row r="828">
          <cell r="A828" t="str">
            <v>H191-4</v>
          </cell>
          <cell r="B828" t="str">
            <v>Heuchera puberula H191-4 AR</v>
          </cell>
        </row>
        <row r="829">
          <cell r="A829" t="str">
            <v>H192-2</v>
          </cell>
          <cell r="B829" t="str">
            <v>Heuchera villosa var. arkansana H192-2 AR</v>
          </cell>
        </row>
        <row r="830">
          <cell r="A830" t="str">
            <v>H192-3</v>
          </cell>
          <cell r="B830" t="str">
            <v>Heuchera villosa var. arkansana H192-3 AR</v>
          </cell>
        </row>
        <row r="831">
          <cell r="A831" t="str">
            <v>H192-4</v>
          </cell>
          <cell r="B831" t="str">
            <v>Heuchera villosa var. arkansana H192-4 AR</v>
          </cell>
        </row>
        <row r="832">
          <cell r="A832" t="str">
            <v>H194-1</v>
          </cell>
          <cell r="B832" t="str">
            <v>Heuchera villosa var. macrorhiza H194-1 KY</v>
          </cell>
        </row>
        <row r="833">
          <cell r="A833" t="str">
            <v>H194-2</v>
          </cell>
          <cell r="B833" t="str">
            <v>Heuchera villosa var. macrorhiza H194-2 KY</v>
          </cell>
        </row>
        <row r="834">
          <cell r="A834" t="str">
            <v>H197-4</v>
          </cell>
          <cell r="B834" t="str">
            <v>Heuchera parviflora var. parviflora H197-4 KY</v>
          </cell>
        </row>
        <row r="835">
          <cell r="A835" t="str">
            <v>H198-1</v>
          </cell>
          <cell r="B835" t="str">
            <v>Heuchera parviflora var. parviflora H198-1 KY</v>
          </cell>
        </row>
        <row r="836">
          <cell r="A836" t="str">
            <v>H201-1</v>
          </cell>
          <cell r="B836" t="str">
            <v>Heuchera parviflora var. parviflora H201-1 KY</v>
          </cell>
        </row>
        <row r="837">
          <cell r="A837" t="str">
            <v>H204-4</v>
          </cell>
          <cell r="B837" t="str">
            <v>Heuchera parviflora var. parviflora H204-4 KY</v>
          </cell>
        </row>
        <row r="838">
          <cell r="A838" t="str">
            <v>H205-4</v>
          </cell>
          <cell r="B838" t="str">
            <v>Heuchera parviflora var. parviflora H205-4 TN</v>
          </cell>
        </row>
        <row r="839">
          <cell r="A839" t="str">
            <v>H210-4</v>
          </cell>
          <cell r="B839" t="str">
            <v>Heuchera missouriensis H210-4 TN</v>
          </cell>
        </row>
        <row r="840">
          <cell r="A840" t="str">
            <v>H215-4</v>
          </cell>
          <cell r="B840" t="str">
            <v>Heuchera parviflora var. parviflora H215-4 KY</v>
          </cell>
        </row>
        <row r="841">
          <cell r="A841" t="str">
            <v>H216-2</v>
          </cell>
          <cell r="B841" t="str">
            <v>Heuchera caroliniana H216-2 SC</v>
          </cell>
        </row>
        <row r="842">
          <cell r="A842" t="str">
            <v>H217-4</v>
          </cell>
          <cell r="B842" t="str">
            <v>Heuchera missouriensis H217-4 AL</v>
          </cell>
        </row>
        <row r="843">
          <cell r="A843" t="str">
            <v>H218-2</v>
          </cell>
          <cell r="B843" t="str">
            <v>Heuchera missouriensis H218-2 AL</v>
          </cell>
        </row>
        <row r="844">
          <cell r="A844" t="str">
            <v>H218-4</v>
          </cell>
          <cell r="B844" t="str">
            <v>Heuchera missouriensis H218-4 AL</v>
          </cell>
        </row>
        <row r="845">
          <cell r="A845" t="str">
            <v>H220-4</v>
          </cell>
          <cell r="B845" t="str">
            <v>Heuchera missouriensis H220-4 AL</v>
          </cell>
        </row>
        <row r="846">
          <cell r="A846" t="str">
            <v>H221-4</v>
          </cell>
          <cell r="B846" t="str">
            <v>Heuchera missouriensis H221-4 AL</v>
          </cell>
        </row>
        <row r="847">
          <cell r="A847" t="str">
            <v>H223-4</v>
          </cell>
          <cell r="B847" t="str">
            <v>Heuchera missouriensis H223-4 AR</v>
          </cell>
        </row>
        <row r="848">
          <cell r="A848" t="str">
            <v>H225-4</v>
          </cell>
          <cell r="B848" t="str">
            <v>Heuchera missouriensis H225-4 KY</v>
          </cell>
        </row>
        <row r="849">
          <cell r="A849" t="str">
            <v>H226-4</v>
          </cell>
          <cell r="B849" t="str">
            <v>Heuchera missouriensis H226-4 KY</v>
          </cell>
        </row>
        <row r="850">
          <cell r="A850" t="str">
            <v>H227-4</v>
          </cell>
          <cell r="B850" t="str">
            <v>Heuchera missouriensis H227-4 KY</v>
          </cell>
        </row>
        <row r="851">
          <cell r="A851" t="str">
            <v>H228-4</v>
          </cell>
          <cell r="B851" t="str">
            <v>Heuchera missouriensis H228-4 KY</v>
          </cell>
        </row>
        <row r="852">
          <cell r="A852" t="str">
            <v>H229-6</v>
          </cell>
          <cell r="B852" t="str">
            <v>Heuchera parviflora var. saurensis H229-6 NC</v>
          </cell>
        </row>
        <row r="853">
          <cell r="A853" t="str">
            <v>H230-6</v>
          </cell>
          <cell r="B853" t="str">
            <v>Heuchera parviflora var. parviflora H230-6 NC</v>
          </cell>
        </row>
        <row r="854">
          <cell r="A854" t="str">
            <v>H231-4</v>
          </cell>
          <cell r="B854" t="str">
            <v>Heuchera parviflora var. parviflora H231-4 NC</v>
          </cell>
        </row>
        <row r="855">
          <cell r="A855" t="str">
            <v>H232-4</v>
          </cell>
          <cell r="B855" t="str">
            <v>Heuchera parviflora var. saurensis H232-4 NC</v>
          </cell>
        </row>
        <row r="856">
          <cell r="A856" t="str">
            <v>H27-1</v>
          </cell>
          <cell r="B856" t="str">
            <v>Heuchera rubescens var. versicolor H27-1 NM</v>
          </cell>
        </row>
        <row r="857">
          <cell r="A857" t="str">
            <v>H30-5</v>
          </cell>
          <cell r="B857" t="str">
            <v>Heuchera rubescens var. versicolor H30.5 AZ</v>
          </cell>
        </row>
        <row r="858">
          <cell r="A858" t="str">
            <v>H30</v>
          </cell>
          <cell r="B858" t="str">
            <v>Heuchera rubescens var. versicolor H30 AZ</v>
          </cell>
        </row>
        <row r="859">
          <cell r="A859" t="str">
            <v>H31</v>
          </cell>
          <cell r="B859" t="str">
            <v>Heuchera rubescens var. versicolor H31 AZ</v>
          </cell>
        </row>
        <row r="860">
          <cell r="A860" t="str">
            <v>H42-2</v>
          </cell>
          <cell r="B860" t="str">
            <v>Heuchera parishii H42-2 CA</v>
          </cell>
        </row>
        <row r="861">
          <cell r="A861" t="str">
            <v>H45-1</v>
          </cell>
          <cell r="B861" t="str">
            <v>Heuchera abramsii H45-1 CA</v>
          </cell>
        </row>
        <row r="862">
          <cell r="A862" t="str">
            <v>H54-2</v>
          </cell>
          <cell r="B862" t="str">
            <v>Heuchera bracteata H54-2 CO</v>
          </cell>
        </row>
        <row r="863">
          <cell r="A863" t="str">
            <v>H72-3</v>
          </cell>
          <cell r="B863" t="str">
            <v>Heuchera parviflora var. parviflora H72-3 KY</v>
          </cell>
        </row>
        <row r="864">
          <cell r="A864" t="str">
            <v>H78-2</v>
          </cell>
          <cell r="B864" t="str">
            <v>Heuchera villosa var. macrorhiza H78-2 OH</v>
          </cell>
        </row>
        <row r="865">
          <cell r="A865" t="str">
            <v>H78-3</v>
          </cell>
          <cell r="B865" t="str">
            <v>Heuchera villosa var. macrorhiza H78-3 OH</v>
          </cell>
        </row>
        <row r="866">
          <cell r="A866" t="str">
            <v>H79-4</v>
          </cell>
          <cell r="B866" t="str">
            <v>Heuchera parviflora var. parviflora H79-4 OH</v>
          </cell>
        </row>
        <row r="867">
          <cell r="A867" t="str">
            <v>H79-5</v>
          </cell>
          <cell r="B867" t="str">
            <v>Heuchera parviflora var. parviflora H79-5 OH</v>
          </cell>
        </row>
        <row r="868">
          <cell r="A868" t="str">
            <v>H83-C</v>
          </cell>
          <cell r="B868" t="str">
            <v>BREVIPETALA</v>
          </cell>
        </row>
        <row r="869">
          <cell r="A869" t="str">
            <v>H86-C</v>
          </cell>
          <cell r="B869" t="str">
            <v>BREVIPETALA</v>
          </cell>
        </row>
        <row r="870">
          <cell r="A870" t="str">
            <v>H90-2</v>
          </cell>
          <cell r="B870" t="str">
            <v>Heuchera villosa var. villosa H90-2 NC</v>
          </cell>
        </row>
        <row r="871">
          <cell r="A871" t="str">
            <v>H91-1</v>
          </cell>
          <cell r="B871" t="str">
            <v>Heuchera villosa var. villosa H91-1 NC</v>
          </cell>
        </row>
        <row r="872">
          <cell r="A872" t="str">
            <v>H91-2</v>
          </cell>
          <cell r="B872" t="str">
            <v>Heuchera villosa var. villosa H91-2 NC</v>
          </cell>
        </row>
        <row r="873">
          <cell r="A873" t="str">
            <v>H92-2</v>
          </cell>
          <cell r="B873" t="str">
            <v>AMERICANA</v>
          </cell>
        </row>
        <row r="874">
          <cell r="A874" t="str">
            <v>H92-3</v>
          </cell>
          <cell r="B874" t="str">
            <v>AMERICANA</v>
          </cell>
        </row>
        <row r="875">
          <cell r="A875" t="str">
            <v>H93-1</v>
          </cell>
          <cell r="B875" t="str">
            <v>Heuchera villosa var. villosa H93-1 NC</v>
          </cell>
        </row>
        <row r="876">
          <cell r="A876" t="str">
            <v>H93-2</v>
          </cell>
          <cell r="B876" t="str">
            <v>Heuchera villosa var. villosa H93-2 NC</v>
          </cell>
        </row>
        <row r="877">
          <cell r="A877" t="str">
            <v>H94-2</v>
          </cell>
          <cell r="B877" t="str">
            <v>Heuchera villosa var. villosa H94-2 NC</v>
          </cell>
        </row>
        <row r="878">
          <cell r="A878" t="str">
            <v>H95</v>
          </cell>
          <cell r="B878" t="str">
            <v>AMERICANA</v>
          </cell>
        </row>
        <row r="879">
          <cell r="A879" t="str">
            <v>H96-2</v>
          </cell>
          <cell r="B879" t="str">
            <v>Heuchera pubescens H96-2 NC</v>
          </cell>
        </row>
        <row r="880">
          <cell r="A880" t="str">
            <v>H96-3</v>
          </cell>
          <cell r="B880" t="str">
            <v>Heuchera pubescens H96-3 NC</v>
          </cell>
        </row>
        <row r="881">
          <cell r="A881" t="str">
            <v>H97-10</v>
          </cell>
          <cell r="B881" t="str">
            <v>Heuchera parviflora var. saurensis H97-10 NC Surry</v>
          </cell>
        </row>
        <row r="882">
          <cell r="A882" t="str">
            <v>H97-6</v>
          </cell>
          <cell r="B882" t="str">
            <v>Heuchera parviflora var. saurensis H97-6 NC Surry</v>
          </cell>
        </row>
        <row r="883">
          <cell r="A883" t="str">
            <v>H97-7</v>
          </cell>
          <cell r="B883" t="str">
            <v>Heuchera parviflora var. saurensis H97-7 NC Surry</v>
          </cell>
        </row>
        <row r="884">
          <cell r="A884" t="str">
            <v>H97-8</v>
          </cell>
          <cell r="B884" t="str">
            <v>Heuchera parviflora var. saurensis H97-8 NC Surry</v>
          </cell>
        </row>
        <row r="885">
          <cell r="A885" t="str">
            <v>H97-9</v>
          </cell>
          <cell r="B885" t="str">
            <v>Heuchera parviflora var. saurensis H97-9 NC Surry</v>
          </cell>
        </row>
        <row r="886">
          <cell r="A886" t="str">
            <v>H99-1</v>
          </cell>
          <cell r="B886" t="str">
            <v>Heuchera longiflora var. aceroides H99-1 NC</v>
          </cell>
        </row>
        <row r="887">
          <cell r="A887" t="str">
            <v>I102</v>
          </cell>
          <cell r="B887" t="str">
            <v>Heuchera novomexicana I102</v>
          </cell>
        </row>
        <row r="888">
          <cell r="A888" t="str">
            <v>I103</v>
          </cell>
          <cell r="B888" t="str">
            <v>Heuchera soltisii I103</v>
          </cell>
        </row>
        <row r="889">
          <cell r="A889" t="str">
            <v>I104</v>
          </cell>
          <cell r="B889" t="str">
            <v>Heuchera novomexicana I104</v>
          </cell>
        </row>
        <row r="890">
          <cell r="A890" t="str">
            <v>I131</v>
          </cell>
          <cell r="B890" t="str">
            <v>Heuchera parvifolia I131</v>
          </cell>
        </row>
        <row r="891">
          <cell r="A891" t="str">
            <v>I132</v>
          </cell>
          <cell r="B891" t="str">
            <v>Heuchera novomexicana I132</v>
          </cell>
        </row>
        <row r="892">
          <cell r="A892" t="str">
            <v>I133</v>
          </cell>
          <cell r="B892" t="str">
            <v>Heuchera parvifolia I133</v>
          </cell>
        </row>
        <row r="893">
          <cell r="A893" t="str">
            <v>I134</v>
          </cell>
          <cell r="B893" t="str">
            <v>Heuchera villosa I134</v>
          </cell>
        </row>
        <row r="894">
          <cell r="A894" t="str">
            <v>I136</v>
          </cell>
          <cell r="B894" t="str">
            <v>GRAYANA</v>
          </cell>
        </row>
        <row r="895">
          <cell r="A895" t="str">
            <v>I137</v>
          </cell>
          <cell r="B895" t="str">
            <v>HIRSUTICAULIS</v>
          </cell>
        </row>
        <row r="896">
          <cell r="A896" t="str">
            <v>I138</v>
          </cell>
          <cell r="B896" t="str">
            <v>GRAYANA</v>
          </cell>
        </row>
        <row r="897">
          <cell r="A897" t="str">
            <v>I139</v>
          </cell>
          <cell r="B897" t="str">
            <v>CALYCOSA</v>
          </cell>
        </row>
        <row r="898">
          <cell r="A898" t="str">
            <v>I140</v>
          </cell>
          <cell r="B898" t="str">
            <v>RICHARDSONII</v>
          </cell>
        </row>
        <row r="899">
          <cell r="A899" t="str">
            <v>I141</v>
          </cell>
          <cell r="B899" t="str">
            <v>BREVIPETALA</v>
          </cell>
        </row>
        <row r="900">
          <cell r="A900" t="str">
            <v>I142</v>
          </cell>
          <cell r="B900" t="str">
            <v>Heuchera longipetala var. nudicaulis I142</v>
          </cell>
        </row>
        <row r="901">
          <cell r="A901" t="str">
            <v>I143</v>
          </cell>
          <cell r="B901" t="str">
            <v>RICHARDSONII</v>
          </cell>
        </row>
        <row r="902">
          <cell r="A902" t="str">
            <v>I144</v>
          </cell>
          <cell r="B902" t="str">
            <v>RICHARDSONII</v>
          </cell>
        </row>
        <row r="903">
          <cell r="A903" t="str">
            <v>I145</v>
          </cell>
          <cell r="B903" t="str">
            <v>RICHARDSONII</v>
          </cell>
        </row>
        <row r="904">
          <cell r="A904" t="str">
            <v>I146</v>
          </cell>
          <cell r="B904" t="str">
            <v>RICHARDSONII</v>
          </cell>
        </row>
        <row r="905">
          <cell r="A905" t="str">
            <v>I147</v>
          </cell>
          <cell r="B905" t="str">
            <v>AMERICANA</v>
          </cell>
        </row>
        <row r="906">
          <cell r="A906" t="str">
            <v>I148</v>
          </cell>
          <cell r="B906" t="str">
            <v>Heuchera lakelae I148</v>
          </cell>
        </row>
        <row r="907">
          <cell r="A907" t="str">
            <v>I149</v>
          </cell>
          <cell r="B907" t="str">
            <v>Heuchera longipetala var. longipetala I149</v>
          </cell>
        </row>
        <row r="908">
          <cell r="A908" t="str">
            <v>I150</v>
          </cell>
          <cell r="B908" t="str">
            <v>Heuchera rosendahlii I150</v>
          </cell>
        </row>
        <row r="909">
          <cell r="A909" t="str">
            <v>I151</v>
          </cell>
          <cell r="B909" t="str">
            <v>Heuchera rosendahlii I151</v>
          </cell>
        </row>
        <row r="910">
          <cell r="A910" t="str">
            <v>I153</v>
          </cell>
          <cell r="B910" t="str">
            <v>Heuchera rubescens var. versicolor I153</v>
          </cell>
        </row>
        <row r="911">
          <cell r="A911" t="str">
            <v>I154</v>
          </cell>
          <cell r="B911" t="str">
            <v>Heuchera rubescens var. versicolor I154</v>
          </cell>
        </row>
        <row r="912">
          <cell r="A912" t="str">
            <v>I155</v>
          </cell>
          <cell r="B912" t="str">
            <v>Heuchera rubescens var. versicolor I155</v>
          </cell>
        </row>
        <row r="913">
          <cell r="A913" t="str">
            <v>I157</v>
          </cell>
          <cell r="B913" t="str">
            <v>Heuchera alba I157</v>
          </cell>
        </row>
        <row r="914">
          <cell r="A914" t="str">
            <v>I158</v>
          </cell>
          <cell r="B914" t="str">
            <v>BREVIPETALA</v>
          </cell>
        </row>
        <row r="915">
          <cell r="A915" t="str">
            <v>I159</v>
          </cell>
          <cell r="B915" t="str">
            <v>BREVIPETALA</v>
          </cell>
        </row>
        <row r="916">
          <cell r="A916" t="str">
            <v>I15</v>
          </cell>
          <cell r="B916" t="str">
            <v>Heuchera rubescens var. versicolor I15 NM Lincoln</v>
          </cell>
        </row>
        <row r="917">
          <cell r="A917" t="str">
            <v>I160</v>
          </cell>
          <cell r="B917" t="str">
            <v>BREVIPETALA</v>
          </cell>
        </row>
        <row r="918">
          <cell r="A918" t="str">
            <v>I161</v>
          </cell>
          <cell r="B918" t="str">
            <v>BREVIPETALA</v>
          </cell>
        </row>
        <row r="919">
          <cell r="A919" t="str">
            <v>I162</v>
          </cell>
          <cell r="B919" t="str">
            <v>BREVIPETALA</v>
          </cell>
        </row>
        <row r="920">
          <cell r="A920" t="str">
            <v>I163</v>
          </cell>
          <cell r="B920" t="str">
            <v>BREVIPETALA</v>
          </cell>
        </row>
        <row r="921">
          <cell r="A921" t="str">
            <v>I164</v>
          </cell>
          <cell r="B921" t="str">
            <v>HIRSUTICAULIS</v>
          </cell>
        </row>
        <row r="922">
          <cell r="A922" t="str">
            <v>I165</v>
          </cell>
          <cell r="B922" t="str">
            <v>GRAYANA</v>
          </cell>
        </row>
        <row r="923">
          <cell r="A923" t="str">
            <v>I166</v>
          </cell>
          <cell r="B923" t="str">
            <v>GRAYANA</v>
          </cell>
        </row>
        <row r="924">
          <cell r="A924" t="str">
            <v>I167</v>
          </cell>
          <cell r="B924" t="str">
            <v>GRAYANA</v>
          </cell>
        </row>
        <row r="925">
          <cell r="A925" t="str">
            <v>I168</v>
          </cell>
          <cell r="B925" t="str">
            <v>Heuchera longiflora var. longiflora I168</v>
          </cell>
        </row>
        <row r="926">
          <cell r="A926" t="str">
            <v>I169</v>
          </cell>
          <cell r="B926" t="str">
            <v>Heuchera villosa var. villosa I169</v>
          </cell>
        </row>
        <row r="927">
          <cell r="A927" t="str">
            <v>I16</v>
          </cell>
          <cell r="B927" t="str">
            <v>Heuchera sanguinea I16 AZ</v>
          </cell>
        </row>
        <row r="928">
          <cell r="A928" t="str">
            <v>I170</v>
          </cell>
          <cell r="B928" t="str">
            <v>Heuchera villosa var. villosa I170</v>
          </cell>
        </row>
        <row r="929">
          <cell r="A929" t="str">
            <v>I171</v>
          </cell>
          <cell r="B929" t="str">
            <v>Heuchera villosa var. villosa I171</v>
          </cell>
        </row>
        <row r="930">
          <cell r="A930" t="str">
            <v>I172</v>
          </cell>
          <cell r="B930" t="str">
            <v>Heuchera villosa var. villosa I172</v>
          </cell>
        </row>
        <row r="931">
          <cell r="A931" t="str">
            <v>I173</v>
          </cell>
          <cell r="B931" t="str">
            <v>Heuchera alba I173</v>
          </cell>
        </row>
        <row r="932">
          <cell r="A932" t="str">
            <v>I174</v>
          </cell>
          <cell r="B932" t="str">
            <v>Heuchera alba I174</v>
          </cell>
        </row>
        <row r="933">
          <cell r="A933" t="str">
            <v>I175</v>
          </cell>
          <cell r="B933" t="str">
            <v>Heuchera alba I175</v>
          </cell>
        </row>
        <row r="934">
          <cell r="A934" t="str">
            <v>I176</v>
          </cell>
          <cell r="B934" t="str">
            <v>Heuchera alba I176</v>
          </cell>
        </row>
        <row r="935">
          <cell r="A935" t="str">
            <v>I177</v>
          </cell>
          <cell r="B935" t="str">
            <v>Heuchera alba I177</v>
          </cell>
        </row>
        <row r="936">
          <cell r="A936" t="str">
            <v>I178</v>
          </cell>
          <cell r="B936" t="str">
            <v>Heuchera alba I178</v>
          </cell>
        </row>
        <row r="937">
          <cell r="A937" t="str">
            <v>I179</v>
          </cell>
          <cell r="B937" t="str">
            <v>Heuchera alba I179</v>
          </cell>
        </row>
        <row r="938">
          <cell r="A938" t="str">
            <v>I17</v>
          </cell>
          <cell r="B938" t="str">
            <v>Heuchera hallii I17 CO Chaffee</v>
          </cell>
        </row>
        <row r="939">
          <cell r="A939" t="str">
            <v>I180</v>
          </cell>
          <cell r="B939" t="str">
            <v>Heuchera alba I180</v>
          </cell>
        </row>
        <row r="940">
          <cell r="A940" t="str">
            <v>I181</v>
          </cell>
          <cell r="B940" t="str">
            <v>Heuchera longiflora var. longiflora I181</v>
          </cell>
        </row>
        <row r="941">
          <cell r="A941" t="str">
            <v>I182</v>
          </cell>
          <cell r="B941" t="str">
            <v>Heuchera longiflora var. longiflora I182</v>
          </cell>
        </row>
        <row r="942">
          <cell r="A942" t="str">
            <v>I183</v>
          </cell>
          <cell r="B942" t="str">
            <v>Heuchera longiflora var. longiflora I183</v>
          </cell>
        </row>
        <row r="943">
          <cell r="A943" t="str">
            <v>I184</v>
          </cell>
          <cell r="B943" t="str">
            <v>Heuchera villosa I184</v>
          </cell>
        </row>
        <row r="944">
          <cell r="A944" t="str">
            <v>I185</v>
          </cell>
          <cell r="B944" t="str">
            <v>HIRSUTICAULIS</v>
          </cell>
        </row>
        <row r="945">
          <cell r="A945" t="str">
            <v>I186</v>
          </cell>
          <cell r="B945" t="str">
            <v>CALYCOSA</v>
          </cell>
        </row>
        <row r="946">
          <cell r="A946" t="str">
            <v>I187</v>
          </cell>
          <cell r="B946" t="str">
            <v>CALYCOSA</v>
          </cell>
        </row>
        <row r="947">
          <cell r="A947" t="str">
            <v>I188</v>
          </cell>
          <cell r="B947" t="str">
            <v>HIRSUTICAULIS</v>
          </cell>
        </row>
        <row r="948">
          <cell r="A948" t="str">
            <v>I189</v>
          </cell>
          <cell r="B948" t="str">
            <v>Heuchera bracteata I189</v>
          </cell>
        </row>
        <row r="949">
          <cell r="A949" t="str">
            <v>I190</v>
          </cell>
          <cell r="B949" t="str">
            <v>Heuchera parviflora var. parviflora I190</v>
          </cell>
        </row>
        <row r="950">
          <cell r="A950" t="str">
            <v>I191</v>
          </cell>
          <cell r="B950" t="str">
            <v>Heuchera grossulariifolia var. grossulariifolia I191</v>
          </cell>
        </row>
        <row r="951">
          <cell r="A951" t="str">
            <v>I192</v>
          </cell>
          <cell r="B951" t="str">
            <v>Heuchera micrantha var. micrantha I192</v>
          </cell>
        </row>
        <row r="952">
          <cell r="A952" t="str">
            <v>I193</v>
          </cell>
          <cell r="B952" t="str">
            <v>Heuchera micrantha var. diverifolia I193</v>
          </cell>
        </row>
        <row r="953">
          <cell r="A953" t="str">
            <v>I194</v>
          </cell>
          <cell r="B953" t="str">
            <v>Heuchera rubescens var. truncata I194</v>
          </cell>
        </row>
        <row r="954">
          <cell r="A954" t="str">
            <v>I195</v>
          </cell>
          <cell r="B954" t="str">
            <v>Heuchera cylindrica var. alpina I195</v>
          </cell>
        </row>
        <row r="955">
          <cell r="A955" t="str">
            <v>I196</v>
          </cell>
          <cell r="B955" t="str">
            <v>Heuchera cylindrica var. alpina I196</v>
          </cell>
        </row>
        <row r="956">
          <cell r="A956" t="str">
            <v>I20</v>
          </cell>
          <cell r="B956" t="str">
            <v>AMERICANA</v>
          </cell>
        </row>
        <row r="957">
          <cell r="A957" t="str">
            <v>I2</v>
          </cell>
          <cell r="B957" t="str">
            <v>BREVIPETALA</v>
          </cell>
        </row>
        <row r="958">
          <cell r="A958" t="str">
            <v>I42</v>
          </cell>
          <cell r="B958" t="str">
            <v>Heuchera elegans I42 CA</v>
          </cell>
        </row>
        <row r="959">
          <cell r="A959" t="str">
            <v>I47</v>
          </cell>
          <cell r="B959" t="str">
            <v>Heuchera cylindrica var. glabella I47 WA</v>
          </cell>
        </row>
        <row r="960">
          <cell r="A960" t="str">
            <v>I54</v>
          </cell>
          <cell r="B960" t="str">
            <v>Heuchera pilosissima I54 CA Mendocino</v>
          </cell>
        </row>
        <row r="961">
          <cell r="A961" t="str">
            <v>I61</v>
          </cell>
          <cell r="B961" t="str">
            <v>Heuchera villosa var. macrorhiza I61 VA Dickenson</v>
          </cell>
        </row>
        <row r="962">
          <cell r="A962" t="str">
            <v>I62</v>
          </cell>
          <cell r="B962" t="str">
            <v>Heuchera pilosissima I62 CA Marin</v>
          </cell>
        </row>
        <row r="963">
          <cell r="A963" t="str">
            <v>I63</v>
          </cell>
          <cell r="B963" t="str">
            <v>Heuchera merriamii I63 CA</v>
          </cell>
        </row>
        <row r="964">
          <cell r="A964" t="str">
            <v>I65</v>
          </cell>
          <cell r="B964" t="str">
            <v>GRAYANA</v>
          </cell>
        </row>
        <row r="965">
          <cell r="A965" t="str">
            <v>I67</v>
          </cell>
          <cell r="B965" t="str">
            <v>Heuchera alba I67 WV Highland</v>
          </cell>
        </row>
        <row r="966">
          <cell r="A966" t="str">
            <v>I76</v>
          </cell>
          <cell r="B966" t="str">
            <v>Heuchera rosendahlii I76</v>
          </cell>
        </row>
        <row r="967">
          <cell r="A967" t="str">
            <v>I77</v>
          </cell>
          <cell r="B967" t="str">
            <v>Heuchera wellsiae I77</v>
          </cell>
        </row>
        <row r="968">
          <cell r="A968" t="str">
            <v>I78</v>
          </cell>
          <cell r="B968" t="str">
            <v>Heuchera wellsiae I78</v>
          </cell>
        </row>
        <row r="969">
          <cell r="A969" t="str">
            <v>I79</v>
          </cell>
          <cell r="B969" t="str">
            <v>Heuchera rosendahlii I79</v>
          </cell>
        </row>
        <row r="970">
          <cell r="A970" t="str">
            <v>I81</v>
          </cell>
          <cell r="B970" t="str">
            <v>Heuchera sanguinea I81</v>
          </cell>
        </row>
        <row r="971">
          <cell r="A971" t="str">
            <v>I82</v>
          </cell>
          <cell r="B971" t="str">
            <v>RICHARDSONII</v>
          </cell>
        </row>
        <row r="972">
          <cell r="A972" t="str">
            <v>I83</v>
          </cell>
          <cell r="B972" t="str">
            <v>Heuchera rubescens var. versicolor I83 AZ Cochise</v>
          </cell>
        </row>
        <row r="973">
          <cell r="A973" t="str">
            <v>I84</v>
          </cell>
          <cell r="B973" t="str">
            <v>Heuchera sanguinea I84 AZ Santa Cruz</v>
          </cell>
        </row>
        <row r="974">
          <cell r="A974" t="str">
            <v>L11-3</v>
          </cell>
          <cell r="B974" t="str">
            <v>Heuchera longiflora var. longiflora L11-3 KY</v>
          </cell>
        </row>
        <row r="975">
          <cell r="A975" t="str">
            <v>L11-4</v>
          </cell>
          <cell r="B975" t="str">
            <v>Heuchera longiflora var. longiflora L11-4 KY</v>
          </cell>
        </row>
        <row r="976">
          <cell r="A976" t="str">
            <v>L12-3</v>
          </cell>
          <cell r="B976" t="str">
            <v>Heuchera longiflora var. longiflora L12-3 KY</v>
          </cell>
        </row>
        <row r="977">
          <cell r="A977" t="str">
            <v>L12-4</v>
          </cell>
          <cell r="B977" t="str">
            <v>Heuchera longiflora var. longiflora L12-4 KY</v>
          </cell>
        </row>
        <row r="978">
          <cell r="A978" t="str">
            <v>L13-3</v>
          </cell>
          <cell r="B978" t="str">
            <v>Heuchera longiflora var. longiflora L13-3 KY</v>
          </cell>
        </row>
        <row r="979">
          <cell r="A979" t="str">
            <v>L13-4</v>
          </cell>
          <cell r="B979" t="str">
            <v>Heuchera longiflora var. longiflora L13-4 KY</v>
          </cell>
        </row>
        <row r="980">
          <cell r="A980" t="str">
            <v>L1-3</v>
          </cell>
          <cell r="B980" t="str">
            <v>Heuchera longiflora var. aceroides L1-3 NC</v>
          </cell>
        </row>
        <row r="981">
          <cell r="A981" t="str">
            <v>L1-4</v>
          </cell>
          <cell r="B981" t="str">
            <v>Heuchera longiflora var. aceroides L1-4 NC</v>
          </cell>
        </row>
        <row r="982">
          <cell r="A982" t="str">
            <v>L15-3</v>
          </cell>
          <cell r="B982" t="str">
            <v>Heuchera longiflora var. longiflora L15-3 KY</v>
          </cell>
        </row>
        <row r="983">
          <cell r="A983" t="str">
            <v>L16-3</v>
          </cell>
          <cell r="B983" t="str">
            <v>Heuchera longiflora var. longiflora L16-3 KY</v>
          </cell>
        </row>
        <row r="984">
          <cell r="A984" t="str">
            <v>L17-3</v>
          </cell>
          <cell r="B984" t="str">
            <v>Heuchera longiflora var. longiflora L17-3 KY</v>
          </cell>
        </row>
        <row r="985">
          <cell r="A985" t="str">
            <v>L17-4</v>
          </cell>
          <cell r="B985" t="str">
            <v>Heuchera longiflora var. longiflora L17-4 KY</v>
          </cell>
        </row>
        <row r="986">
          <cell r="A986" t="str">
            <v>L18-3</v>
          </cell>
          <cell r="B986" t="str">
            <v>Heuchera longiflora var. longiflora L18-3 KY</v>
          </cell>
        </row>
        <row r="987">
          <cell r="A987" t="str">
            <v>L19-3</v>
          </cell>
          <cell r="B987" t="str">
            <v>Heuchera longiflora var. longiflora L19-3 KY</v>
          </cell>
        </row>
        <row r="988">
          <cell r="A988" t="str">
            <v>A10-1</v>
          </cell>
          <cell r="B988" t="str">
            <v>BREVIPETALA</v>
          </cell>
        </row>
        <row r="989">
          <cell r="A989" t="str">
            <v>A11-7</v>
          </cell>
          <cell r="B989" t="str">
            <v>BREVIPETALA</v>
          </cell>
        </row>
        <row r="990">
          <cell r="A990" t="str">
            <v>A12-1</v>
          </cell>
          <cell r="B990" t="str">
            <v>Heuchera villosa var. macrorhiza A12-1 IN</v>
          </cell>
        </row>
        <row r="991">
          <cell r="A991" t="str">
            <v>A12-4</v>
          </cell>
          <cell r="B991" t="str">
            <v>Heuchera villosa var. macrorhiza A12-4 IN</v>
          </cell>
        </row>
        <row r="992">
          <cell r="A992" t="str">
            <v>A13-4</v>
          </cell>
          <cell r="B992" t="str">
            <v>HIRSUTICAULIS</v>
          </cell>
        </row>
        <row r="993">
          <cell r="A993" t="str">
            <v>A1-3</v>
          </cell>
          <cell r="B993" t="str">
            <v>CALYCOSA</v>
          </cell>
        </row>
        <row r="994">
          <cell r="A994" t="str">
            <v>A1-4</v>
          </cell>
          <cell r="B994" t="str">
            <v>CALYCOSA</v>
          </cell>
        </row>
        <row r="995">
          <cell r="A995" t="str">
            <v>A15-12</v>
          </cell>
          <cell r="B995" t="str">
            <v>RICHARDSONII</v>
          </cell>
        </row>
        <row r="996">
          <cell r="A996" t="str">
            <v>A15-13</v>
          </cell>
          <cell r="B996" t="str">
            <v>RICHARDSONII</v>
          </cell>
        </row>
        <row r="997">
          <cell r="A997" t="str">
            <v>A16-4</v>
          </cell>
          <cell r="B997" t="str">
            <v>GRAYANA</v>
          </cell>
        </row>
        <row r="998">
          <cell r="A998" t="str">
            <v>A26-5</v>
          </cell>
          <cell r="B998" t="str">
            <v>Heuchera sanguinea A26-5 AZ</v>
          </cell>
        </row>
        <row r="999">
          <cell r="A999" t="str">
            <v>A26-7</v>
          </cell>
          <cell r="B999" t="str">
            <v>Heuchera sanguinea A26-7 AZ</v>
          </cell>
        </row>
        <row r="1000">
          <cell r="A1000" t="str">
            <v>A30-8</v>
          </cell>
          <cell r="B1000" t="str">
            <v>Heuchera villosa var. macrorhiza A30-8 MS</v>
          </cell>
        </row>
        <row r="1001">
          <cell r="A1001" t="str">
            <v>A3-1</v>
          </cell>
          <cell r="B1001" t="str">
            <v>CALYCOSA</v>
          </cell>
        </row>
        <row r="1002">
          <cell r="A1002" t="str">
            <v>A32-6</v>
          </cell>
          <cell r="B1002" t="str">
            <v>HIRSUTICAULIS</v>
          </cell>
        </row>
        <row r="1003">
          <cell r="A1003" t="str">
            <v>A33-2</v>
          </cell>
          <cell r="B1003" t="str">
            <v>BREVIPETALA</v>
          </cell>
        </row>
        <row r="1004">
          <cell r="A1004" t="str">
            <v>A3-4</v>
          </cell>
          <cell r="B1004" t="str">
            <v>CALYCOSA</v>
          </cell>
        </row>
        <row r="1005">
          <cell r="A1005" t="str">
            <v>A35-2</v>
          </cell>
          <cell r="B1005" t="str">
            <v>BREVIPETALA</v>
          </cell>
        </row>
        <row r="1006">
          <cell r="A1006" t="str">
            <v>A37-6</v>
          </cell>
          <cell r="B1006" t="str">
            <v>Heuchera missouriensis A37-6 KY</v>
          </cell>
        </row>
        <row r="1007">
          <cell r="A1007" t="str">
            <v>A45-2</v>
          </cell>
          <cell r="B1007" t="str">
            <v>HIRSUTICAULIS</v>
          </cell>
        </row>
        <row r="1008">
          <cell r="A1008" t="str">
            <v>A45-3</v>
          </cell>
          <cell r="B1008" t="str">
            <v>HIRSUTICAULIS</v>
          </cell>
        </row>
        <row r="1009">
          <cell r="A1009" t="str">
            <v>A45-8</v>
          </cell>
          <cell r="B1009" t="str">
            <v>HIRSUTICAULIS</v>
          </cell>
        </row>
        <row r="1010">
          <cell r="A1010" t="str">
            <v>A45-9</v>
          </cell>
          <cell r="B1010" t="str">
            <v>HIRSUTICAULIS</v>
          </cell>
        </row>
        <row r="1011">
          <cell r="A1011" t="str">
            <v>A47-2</v>
          </cell>
          <cell r="B1011" t="str">
            <v>HIRSUTICAULIS</v>
          </cell>
        </row>
        <row r="1012">
          <cell r="A1012" t="str">
            <v>A47-5</v>
          </cell>
          <cell r="B1012" t="str">
            <v>HIRSUTICAULIS</v>
          </cell>
        </row>
        <row r="1013">
          <cell r="A1013" t="str">
            <v>A49-4</v>
          </cell>
          <cell r="B1013" t="str">
            <v>HIRSUTICAULIS</v>
          </cell>
        </row>
        <row r="1014">
          <cell r="A1014" t="str">
            <v>A49-6</v>
          </cell>
          <cell r="B1014" t="str">
            <v>HIRSUTICAULIS</v>
          </cell>
        </row>
        <row r="1015">
          <cell r="A1015" t="str">
            <v>A5-1</v>
          </cell>
          <cell r="B1015" t="str">
            <v>Heuchera villosa var. villosa A5-1 GA</v>
          </cell>
        </row>
        <row r="1016">
          <cell r="A1016" t="str">
            <v>A6-2</v>
          </cell>
          <cell r="B1016" t="str">
            <v>CALYCOSA</v>
          </cell>
        </row>
        <row r="1017">
          <cell r="A1017" t="str">
            <v>E232</v>
          </cell>
          <cell r="B1017" t="str">
            <v>Heuchera parvifolia E232 NM Taos</v>
          </cell>
        </row>
        <row r="1018">
          <cell r="A1018" t="str">
            <v>E233</v>
          </cell>
          <cell r="B1018" t="str">
            <v>Heuchera wootonii E233 NM Lincoln</v>
          </cell>
        </row>
        <row r="1019">
          <cell r="A1019" t="str">
            <v>E234</v>
          </cell>
          <cell r="B1019" t="str">
            <v>Heuchera parvifolia E234 NM Taos</v>
          </cell>
        </row>
        <row r="1020">
          <cell r="A1020" t="str">
            <v>E235</v>
          </cell>
          <cell r="B1020" t="str">
            <v>Heuchera parvifolia E235 NM Colfax</v>
          </cell>
        </row>
        <row r="1021">
          <cell r="A1021" t="str">
            <v>E236</v>
          </cell>
          <cell r="B1021" t="str">
            <v>Heuchera parvifolia E236 NM Santa Fe</v>
          </cell>
        </row>
        <row r="1022">
          <cell r="A1022" t="str">
            <v>E237-3</v>
          </cell>
          <cell r="B1022" t="str">
            <v>Heuchera micrantha var. diversifolia E237-3 WA Lewis</v>
          </cell>
        </row>
        <row r="1023">
          <cell r="A1023" t="str">
            <v>E238-2</v>
          </cell>
          <cell r="B1023" t="str">
            <v>Ozomelis stauropetala E238-2 ID Latah</v>
          </cell>
        </row>
        <row r="1024">
          <cell r="A1024" t="str">
            <v>E239</v>
          </cell>
          <cell r="B1024" t="str">
            <v>Heuchera micrantha var. micrantha E239 ID Latah</v>
          </cell>
        </row>
        <row r="1025">
          <cell r="A1025" t="str">
            <v>E240</v>
          </cell>
          <cell r="B1025" t="str">
            <v>Tellima grandiflora E240 WA Pacific</v>
          </cell>
        </row>
        <row r="1026">
          <cell r="A1026" t="str">
            <v>E241</v>
          </cell>
          <cell r="B1026" t="str">
            <v>Heuchera micrantha var. hartwegii E241 CA Humboldt</v>
          </cell>
        </row>
        <row r="1027">
          <cell r="A1027" t="str">
            <v>E242-3</v>
          </cell>
          <cell r="B1027" t="str">
            <v>Heuchera micrantha var. micrantha E242-3 WA Lewis</v>
          </cell>
        </row>
        <row r="1028">
          <cell r="A1028" t="str">
            <v>E243</v>
          </cell>
          <cell r="B1028" t="str">
            <v>Ozomelis stauropetala E243 ID Nez Perce</v>
          </cell>
        </row>
        <row r="1029">
          <cell r="A1029" t="str">
            <v>E244-3</v>
          </cell>
          <cell r="B1029" t="str">
            <v>Tellima grandiflora E244-3 OR Clatsop</v>
          </cell>
        </row>
        <row r="1030">
          <cell r="A1030" t="str">
            <v>E245-2</v>
          </cell>
          <cell r="B1030" t="str">
            <v>Brewerimitella ovalis E245-2 WA Pacific</v>
          </cell>
        </row>
        <row r="1031">
          <cell r="A1031" t="str">
            <v>E246-3</v>
          </cell>
          <cell r="B1031" t="str">
            <v>Boykinia intermedia E246-3 WA Pacific</v>
          </cell>
        </row>
        <row r="1032">
          <cell r="A1032" t="str">
            <v>E247-2</v>
          </cell>
          <cell r="B1032" t="str">
            <v>Brewerimitella breweri E247-2 WA Kittitas</v>
          </cell>
        </row>
        <row r="1033">
          <cell r="A1033" t="str">
            <v>E248-3</v>
          </cell>
          <cell r="B1033" t="str">
            <v>Pectiantia pentandra E248-3 ID Clearwater</v>
          </cell>
        </row>
        <row r="1034">
          <cell r="A1034" t="str">
            <v>E249</v>
          </cell>
          <cell r="B1034" t="str">
            <v>Ozomelis trifida E249 WA Chelon</v>
          </cell>
        </row>
        <row r="1035">
          <cell r="A1035" t="str">
            <v>E250-1</v>
          </cell>
          <cell r="B1035" t="str">
            <v>Boykinia intermedia E250-1</v>
          </cell>
        </row>
        <row r="1036">
          <cell r="A1036" t="str">
            <v>E251</v>
          </cell>
          <cell r="B1036" t="str">
            <v>Ozomelis stauropetala E251 ID Clearwater</v>
          </cell>
        </row>
        <row r="1037">
          <cell r="A1037" t="str">
            <v>E252</v>
          </cell>
          <cell r="B1037" t="str">
            <v>Tellima grandiflora E252 WA Jefferson</v>
          </cell>
        </row>
        <row r="1038">
          <cell r="A1038" t="str">
            <v>H108-1</v>
          </cell>
          <cell r="B1038" t="str">
            <v>Heuchera saxicola H108-1 MT</v>
          </cell>
        </row>
        <row r="1039">
          <cell r="A1039" t="str">
            <v>H114-2</v>
          </cell>
          <cell r="B1039" t="str">
            <v>Heuchera cylindrica var. glabella H114-2 MT</v>
          </cell>
        </row>
        <row r="1040">
          <cell r="A1040" t="str">
            <v>H116-1</v>
          </cell>
          <cell r="B1040" t="str">
            <v>Heuchera cylindrica var. glabella H116-1 MT</v>
          </cell>
        </row>
        <row r="1041">
          <cell r="A1041" t="str">
            <v>H121-1</v>
          </cell>
          <cell r="B1041" t="str">
            <v>Heuchera cylindrica var. glabella H121-1 MT</v>
          </cell>
        </row>
        <row r="1042">
          <cell r="A1042" t="str">
            <v>H131-2</v>
          </cell>
          <cell r="B1042" t="str">
            <v>Tolmiea menziesii H131-2 WA</v>
          </cell>
        </row>
        <row r="1043">
          <cell r="A1043" t="str">
            <v>H140-2</v>
          </cell>
          <cell r="B1043" t="str">
            <v>Heuchera cylindrica var. alpina H140-2 OR</v>
          </cell>
        </row>
        <row r="1044">
          <cell r="A1044" t="str">
            <v>H142</v>
          </cell>
          <cell r="B1044" t="str">
            <v>Heuchera cylindrica var. alpina H142 OR</v>
          </cell>
        </row>
        <row r="1045">
          <cell r="A1045" t="str">
            <v>H150-2</v>
          </cell>
          <cell r="B1045" t="str">
            <v>Heuchera merriamii H150-2 CA</v>
          </cell>
        </row>
        <row r="1046">
          <cell r="A1046" t="str">
            <v>H152-W</v>
          </cell>
          <cell r="B1046" t="str">
            <v>Heuchera cylindrica var. alpina H152-W OR</v>
          </cell>
        </row>
        <row r="1047">
          <cell r="A1047" t="str">
            <v>H158-2</v>
          </cell>
          <cell r="B1047" t="str">
            <v>Heuchera grossulariifolia var. grossulariifolia H158-2 ID</v>
          </cell>
        </row>
        <row r="1048">
          <cell r="A1048" t="str">
            <v>H160-2</v>
          </cell>
          <cell r="B1048" t="str">
            <v>Heuchera grossulariifolia var. grossulariifolia H160-2 ID</v>
          </cell>
        </row>
        <row r="1049">
          <cell r="A1049" t="str">
            <v>H229-4</v>
          </cell>
          <cell r="B1049" t="str">
            <v>Heuchera parviflora var. saurensis H229-4 NC</v>
          </cell>
        </row>
        <row r="1050">
          <cell r="A1050" t="str">
            <v>H27-2</v>
          </cell>
          <cell r="B1050" t="str">
            <v>Heuchera rubescens var. versicolor H27-2 NM</v>
          </cell>
        </row>
        <row r="1051">
          <cell r="A1051" t="str">
            <v>H46-1</v>
          </cell>
          <cell r="B1051" t="str">
            <v>Heuchera abramsii H46-1 CA</v>
          </cell>
        </row>
        <row r="1052">
          <cell r="A1052" t="str">
            <v>I-152</v>
          </cell>
          <cell r="B1052" t="str">
            <v>Heuchera leptomeria var. peninsularis I-152 Baja California</v>
          </cell>
        </row>
        <row r="1053">
          <cell r="A1053" t="str">
            <v>I156</v>
          </cell>
          <cell r="B1053" t="str">
            <v>Heuchera sanguinea I156</v>
          </cell>
        </row>
        <row r="1054">
          <cell r="A1054" t="str">
            <v>L21-1</v>
          </cell>
          <cell r="B1054" t="str">
            <v>Heuchera longiflora var. longiflora L21-1 KY</v>
          </cell>
        </row>
        <row r="1055">
          <cell r="A1055" t="str">
            <v>L9-1</v>
          </cell>
          <cell r="B1055" t="str">
            <v>Heuchera longiflora var. longiflora L9-1 VA</v>
          </cell>
        </row>
        <row r="1056">
          <cell r="A1056" t="str">
            <v>rf220</v>
          </cell>
          <cell r="B1056" t="str">
            <v>Micranthes nivalis rf220</v>
          </cell>
        </row>
        <row r="1057">
          <cell r="A1057" t="str">
            <v>rf273</v>
          </cell>
          <cell r="B1057" t="str">
            <v>Saxifraga microgyna rf273</v>
          </cell>
        </row>
        <row r="1058">
          <cell r="A1058" t="str">
            <v>rf294</v>
          </cell>
          <cell r="B1058" t="str">
            <v>Choristylis rhamnoides rf294</v>
          </cell>
        </row>
        <row r="1059">
          <cell r="A1059" t="str">
            <v>rf358</v>
          </cell>
          <cell r="B1059" t="str">
            <v>Ribes laciniatum rf358</v>
          </cell>
        </row>
        <row r="1060">
          <cell r="A1060" t="str">
            <v>rf359</v>
          </cell>
          <cell r="B1060" t="str">
            <v>Ribes humile rf359</v>
          </cell>
        </row>
        <row r="1061">
          <cell r="A1061" t="str">
            <v>rf364</v>
          </cell>
          <cell r="B1061" t="str">
            <v>Ribes longeracemosum rf364</v>
          </cell>
        </row>
        <row r="1062">
          <cell r="A1062" t="str">
            <v>rf468</v>
          </cell>
          <cell r="B1062" t="str">
            <v>Micranthes divaricata rf468</v>
          </cell>
        </row>
        <row r="1063">
          <cell r="A1063" t="str">
            <v>rf504</v>
          </cell>
          <cell r="B1063" t="str">
            <v>Hieronymusia alchemilloides rf504</v>
          </cell>
        </row>
        <row r="1064">
          <cell r="A1064" t="str">
            <v>rf50</v>
          </cell>
          <cell r="B1064" t="str">
            <v>Saxifraga forrestii rf50</v>
          </cell>
        </row>
        <row r="1065">
          <cell r="A1065" t="str">
            <v>rf58</v>
          </cell>
          <cell r="B1065" t="str">
            <v>Chrysosplenium henryi rf58</v>
          </cell>
        </row>
        <row r="1066">
          <cell r="A1066" t="str">
            <v>rf65</v>
          </cell>
          <cell r="B1066" t="str">
            <v>Itea parviflora rf65</v>
          </cell>
        </row>
        <row r="1067">
          <cell r="A1067" t="str">
            <v>rf70</v>
          </cell>
          <cell r="B1067" t="str">
            <v>Ribes takare rf70</v>
          </cell>
        </row>
        <row r="1068">
          <cell r="A1068" t="str">
            <v>rf81</v>
          </cell>
          <cell r="B1068" t="str">
            <v>Chrysosplenium griffithii rf81</v>
          </cell>
        </row>
        <row r="1069">
          <cell r="A1069" t="str">
            <v>rf84</v>
          </cell>
          <cell r="B1069" t="str">
            <v>Saxifraga parnassifolia rf84</v>
          </cell>
        </row>
        <row r="1070">
          <cell r="A1070" t="str">
            <v>rf87</v>
          </cell>
          <cell r="B1070" t="str">
            <v>Saxifraga stella-aurea rf87</v>
          </cell>
        </row>
        <row r="1071">
          <cell r="A1071" t="str">
            <v>A47-1</v>
          </cell>
          <cell r="B1071" t="str">
            <v>HIRSUTICAULIS</v>
          </cell>
        </row>
        <row r="1072">
          <cell r="A1072" t="str">
            <v>E1415</v>
          </cell>
          <cell r="B1072" t="str">
            <v>AMERICANA</v>
          </cell>
        </row>
        <row r="1073">
          <cell r="A1073" t="str">
            <v>E1416</v>
          </cell>
          <cell r="B1073" t="str">
            <v>AMERICANA</v>
          </cell>
        </row>
        <row r="1074">
          <cell r="A1074" t="str">
            <v>E1417</v>
          </cell>
          <cell r="B1074" t="str">
            <v>AMERICANA</v>
          </cell>
        </row>
        <row r="1075">
          <cell r="A1075" t="str">
            <v>E1418</v>
          </cell>
          <cell r="B1075" t="str">
            <v>AMERICANA</v>
          </cell>
        </row>
        <row r="1076">
          <cell r="A1076" t="str">
            <v>E1419</v>
          </cell>
          <cell r="B1076" t="str">
            <v>AMERICANA</v>
          </cell>
        </row>
        <row r="1077">
          <cell r="A1077" t="str">
            <v>E1420</v>
          </cell>
          <cell r="B1077" t="str">
            <v>AMERICANA</v>
          </cell>
        </row>
        <row r="1078">
          <cell r="A1078" t="str">
            <v>E1421</v>
          </cell>
          <cell r="B1078" t="str">
            <v>AMERICANA</v>
          </cell>
        </row>
        <row r="1079">
          <cell r="A1079" t="str">
            <v>E1422</v>
          </cell>
          <cell r="B1079" t="str">
            <v>AMERICANA</v>
          </cell>
        </row>
        <row r="1080">
          <cell r="A1080" t="str">
            <v>E1423</v>
          </cell>
          <cell r="B1080" t="str">
            <v>AMERICANA</v>
          </cell>
        </row>
        <row r="1081">
          <cell r="A1081" t="str">
            <v>E1424</v>
          </cell>
          <cell r="B1081" t="str">
            <v>AMERICANA</v>
          </cell>
        </row>
        <row r="1082">
          <cell r="A1082" t="str">
            <v>E1425</v>
          </cell>
          <cell r="B1082" t="str">
            <v>AMERICANA</v>
          </cell>
        </row>
        <row r="1083">
          <cell r="A1083" t="str">
            <v>E1426</v>
          </cell>
          <cell r="B1083" t="str">
            <v>AMERICANA</v>
          </cell>
        </row>
        <row r="1084">
          <cell r="A1084" t="str">
            <v>E1427</v>
          </cell>
          <cell r="B1084" t="str">
            <v>AMERICANA</v>
          </cell>
        </row>
        <row r="1085">
          <cell r="A1085" t="str">
            <v>E1428</v>
          </cell>
          <cell r="B1085" t="str">
            <v>AMERICANA</v>
          </cell>
        </row>
        <row r="1086">
          <cell r="A1086" t="str">
            <v>E1429</v>
          </cell>
          <cell r="B1086" t="str">
            <v>AMERICANA</v>
          </cell>
        </row>
        <row r="1087">
          <cell r="A1087" t="str">
            <v>E1430</v>
          </cell>
          <cell r="B1087" t="str">
            <v>AMERICANA</v>
          </cell>
        </row>
        <row r="1088">
          <cell r="A1088" t="str">
            <v>E1431</v>
          </cell>
          <cell r="B1088" t="str">
            <v>AMERICANA</v>
          </cell>
        </row>
        <row r="1089">
          <cell r="A1089" t="str">
            <v>E1432</v>
          </cell>
          <cell r="B1089" t="str">
            <v>AMERICANA</v>
          </cell>
        </row>
        <row r="1090">
          <cell r="A1090" t="str">
            <v>E1433</v>
          </cell>
          <cell r="B1090" t="str">
            <v>AMERICANA</v>
          </cell>
        </row>
        <row r="1091">
          <cell r="A1091" t="str">
            <v>E1434</v>
          </cell>
          <cell r="B1091" t="str">
            <v>Heuchera caroliniana E1434 SC Chester</v>
          </cell>
        </row>
        <row r="1092">
          <cell r="A1092" t="str">
            <v>E1435</v>
          </cell>
          <cell r="B1092" t="str">
            <v>Heuchera caroliniana E1435 SC Lancaster</v>
          </cell>
        </row>
        <row r="1093">
          <cell r="A1093" t="str">
            <v>E1436</v>
          </cell>
          <cell r="B1093" t="str">
            <v>Heuchera caroliniana E1436 SC Lancaster</v>
          </cell>
        </row>
        <row r="1094">
          <cell r="A1094" t="str">
            <v>E1437</v>
          </cell>
          <cell r="B1094" t="str">
            <v>Heuchera parviflora var. parviflora E1437 SC Oconee</v>
          </cell>
        </row>
        <row r="1095">
          <cell r="A1095" t="str">
            <v>E1438</v>
          </cell>
          <cell r="B1095" t="str">
            <v>Heuchera caroliniana E1438 SC Darlington</v>
          </cell>
        </row>
        <row r="1096">
          <cell r="A1096" t="str">
            <v>E1439</v>
          </cell>
          <cell r="B1096" t="str">
            <v>Heuchera parviflora var. parviflora E1439 SC Oconee</v>
          </cell>
        </row>
        <row r="1097">
          <cell r="A1097" t="str">
            <v>E1440</v>
          </cell>
          <cell r="B1097" t="str">
            <v>Heuchera parviflora var. parviflora E1440 SC Pickens</v>
          </cell>
        </row>
        <row r="1098">
          <cell r="A1098" t="str">
            <v>E1441</v>
          </cell>
          <cell r="B1098" t="str">
            <v>Heuchera villosa var. villosa E1441 SC Greenville</v>
          </cell>
        </row>
        <row r="1099">
          <cell r="A1099" t="str">
            <v>E1442</v>
          </cell>
          <cell r="B1099" t="str">
            <v>Heuchera villosa var. villosa E1442 SC Oconee</v>
          </cell>
        </row>
        <row r="1100">
          <cell r="A1100" t="str">
            <v>E1443</v>
          </cell>
          <cell r="B1100" t="str">
            <v>Heuchera villosa var. villosa E1443 SC Oconee</v>
          </cell>
        </row>
        <row r="1101">
          <cell r="A1101" t="str">
            <v>E1444</v>
          </cell>
          <cell r="B1101" t="str">
            <v>Heuchera villosa var. villosa E1444 SC Oconee</v>
          </cell>
        </row>
        <row r="1102">
          <cell r="A1102" t="str">
            <v>E1445</v>
          </cell>
          <cell r="B1102" t="str">
            <v>Heuchera villosa var. villosa E1445 SC Oconee</v>
          </cell>
        </row>
        <row r="1103">
          <cell r="A1103" t="str">
            <v>E1446</v>
          </cell>
          <cell r="B1103" t="str">
            <v>Heuchera villosa var. villosa E1446 SC Pickens</v>
          </cell>
        </row>
        <row r="1104">
          <cell r="A1104" t="str">
            <v>E1447</v>
          </cell>
          <cell r="B1104" t="str">
            <v>Heuchera villosa var. villosa E1447 SC Pickens</v>
          </cell>
        </row>
        <row r="1105">
          <cell r="A1105" t="str">
            <v>E1448</v>
          </cell>
          <cell r="B1105" t="str">
            <v>Heuchera villosa var. villosa E1448 SC Pickens</v>
          </cell>
        </row>
        <row r="1106">
          <cell r="A1106" t="str">
            <v>E1449</v>
          </cell>
          <cell r="B1106" t="str">
            <v>CALYCOSA</v>
          </cell>
        </row>
        <row r="1107">
          <cell r="A1107" t="str">
            <v>E1450</v>
          </cell>
          <cell r="B1107" t="str">
            <v>CALYCOSA</v>
          </cell>
        </row>
        <row r="1108">
          <cell r="A1108" t="str">
            <v>E1451</v>
          </cell>
          <cell r="B1108" t="str">
            <v>CALYCOSA</v>
          </cell>
        </row>
        <row r="1109">
          <cell r="A1109" t="str">
            <v>E1452</v>
          </cell>
          <cell r="B1109" t="str">
            <v>CALYCOSA</v>
          </cell>
        </row>
        <row r="1110">
          <cell r="A1110" t="str">
            <v>E1453</v>
          </cell>
          <cell r="B1110" t="str">
            <v>CALYCOSA</v>
          </cell>
        </row>
        <row r="1111">
          <cell r="A1111" t="str">
            <v>E1454</v>
          </cell>
          <cell r="B1111" t="str">
            <v>CALYCOSA</v>
          </cell>
        </row>
        <row r="1112">
          <cell r="A1112" t="str">
            <v>E1455</v>
          </cell>
          <cell r="B1112" t="str">
            <v>CALYCOSA</v>
          </cell>
        </row>
        <row r="1113">
          <cell r="A1113" t="str">
            <v>E1456</v>
          </cell>
          <cell r="B1113" t="str">
            <v>CALYCOSA</v>
          </cell>
        </row>
        <row r="1114">
          <cell r="A1114" t="str">
            <v>E1457</v>
          </cell>
          <cell r="B1114" t="str">
            <v>CALYCOSA</v>
          </cell>
        </row>
        <row r="1115">
          <cell r="A1115" t="str">
            <v>E1458</v>
          </cell>
          <cell r="B1115" t="str">
            <v>BREVIPETALA</v>
          </cell>
        </row>
        <row r="1116">
          <cell r="A1116" t="str">
            <v>E1459</v>
          </cell>
          <cell r="B1116" t="str">
            <v>HIRSUTICAULIS</v>
          </cell>
        </row>
        <row r="1117">
          <cell r="A1117" t="str">
            <v>E1460</v>
          </cell>
          <cell r="B1117" t="str">
            <v>HIRSUTICAULIS</v>
          </cell>
        </row>
        <row r="1118">
          <cell r="A1118" t="str">
            <v>E1461</v>
          </cell>
          <cell r="B1118" t="str">
            <v>HIRSUTICAULIS</v>
          </cell>
        </row>
        <row r="1119">
          <cell r="A1119" t="str">
            <v>E1462</v>
          </cell>
          <cell r="B1119" t="str">
            <v>HIRSUTICAULIS</v>
          </cell>
        </row>
        <row r="1120">
          <cell r="A1120" t="str">
            <v>E1463</v>
          </cell>
          <cell r="B1120" t="str">
            <v>HIRSUTICAULIS</v>
          </cell>
        </row>
        <row r="1121">
          <cell r="A1121" t="str">
            <v>E1464</v>
          </cell>
          <cell r="B1121" t="str">
            <v>BREVIPETALA</v>
          </cell>
        </row>
        <row r="1122">
          <cell r="A1122" t="str">
            <v>E1465</v>
          </cell>
          <cell r="B1122" t="str">
            <v>BREVIPETALA</v>
          </cell>
        </row>
        <row r="1123">
          <cell r="A1123" t="str">
            <v>E1466</v>
          </cell>
          <cell r="B1123" t="str">
            <v>Heuchera longiflora var. longiflora E1466 KY Letcher</v>
          </cell>
        </row>
        <row r="1124">
          <cell r="A1124" t="str">
            <v>E1467</v>
          </cell>
          <cell r="B1124" t="str">
            <v>BREVIPETALA</v>
          </cell>
        </row>
        <row r="1125">
          <cell r="A1125" t="str">
            <v>E1468</v>
          </cell>
          <cell r="B1125" t="str">
            <v>BREVIPETALA</v>
          </cell>
        </row>
        <row r="1126">
          <cell r="A1126" t="str">
            <v>E1469</v>
          </cell>
          <cell r="B1126" t="str">
            <v>BREVIPETALA</v>
          </cell>
        </row>
        <row r="1127">
          <cell r="A1127" t="str">
            <v>E1470</v>
          </cell>
          <cell r="B1127" t="str">
            <v>BREVIPETALA</v>
          </cell>
        </row>
        <row r="1128">
          <cell r="A1128" t="str">
            <v>E1471</v>
          </cell>
          <cell r="B1128" t="str">
            <v>BREVIPETALA</v>
          </cell>
        </row>
        <row r="1129">
          <cell r="A1129" t="str">
            <v>E1472</v>
          </cell>
          <cell r="B1129" t="str">
            <v>BREVIPETALA</v>
          </cell>
        </row>
        <row r="1130">
          <cell r="A1130" t="str">
            <v>E1473</v>
          </cell>
          <cell r="B1130" t="str">
            <v>BREVIPETALA</v>
          </cell>
        </row>
        <row r="1131">
          <cell r="A1131" t="str">
            <v>E1474</v>
          </cell>
          <cell r="B1131" t="str">
            <v>BREVIPETALA</v>
          </cell>
        </row>
        <row r="1132">
          <cell r="A1132" t="str">
            <v>E1475</v>
          </cell>
          <cell r="B1132" t="str">
            <v>BREVIPETALA</v>
          </cell>
        </row>
        <row r="1133">
          <cell r="A1133" t="str">
            <v>E1476</v>
          </cell>
          <cell r="B1133" t="str">
            <v>BREVIPETALA</v>
          </cell>
        </row>
        <row r="1134">
          <cell r="A1134" t="str">
            <v>E1477</v>
          </cell>
          <cell r="B1134" t="str">
            <v>AMERICANA</v>
          </cell>
        </row>
        <row r="1135">
          <cell r="A1135" t="str">
            <v>E1478</v>
          </cell>
          <cell r="B1135" t="str">
            <v>AMERICANA</v>
          </cell>
        </row>
        <row r="1136">
          <cell r="A1136" t="str">
            <v>E1479</v>
          </cell>
          <cell r="B1136" t="str">
            <v>BREVIPETALA</v>
          </cell>
        </row>
        <row r="1137">
          <cell r="A1137" t="str">
            <v>E1480</v>
          </cell>
          <cell r="B1137" t="str">
            <v>BREVIPETALA</v>
          </cell>
        </row>
        <row r="1138">
          <cell r="A1138" t="str">
            <v>E1481</v>
          </cell>
          <cell r="B1138" t="str">
            <v>BREVIPETALA</v>
          </cell>
        </row>
        <row r="1139">
          <cell r="A1139" t="str">
            <v>E1482</v>
          </cell>
          <cell r="B1139" t="str">
            <v>BREVIPETALA</v>
          </cell>
        </row>
        <row r="1140">
          <cell r="A1140" t="str">
            <v>E1483</v>
          </cell>
          <cell r="B1140" t="str">
            <v>BREVIPETALA</v>
          </cell>
        </row>
        <row r="1141">
          <cell r="A1141" t="str">
            <v>E1484</v>
          </cell>
          <cell r="B1141" t="str">
            <v>BREVIPETALA</v>
          </cell>
        </row>
        <row r="1142">
          <cell r="A1142" t="str">
            <v>E1485</v>
          </cell>
          <cell r="B1142" t="str">
            <v>BREVIPETALA</v>
          </cell>
        </row>
        <row r="1143">
          <cell r="A1143" t="str">
            <v>E1486</v>
          </cell>
          <cell r="B1143" t="str">
            <v>BREVIPETALA</v>
          </cell>
        </row>
        <row r="1144">
          <cell r="A1144" t="str">
            <v>E1487</v>
          </cell>
          <cell r="B1144" t="str">
            <v>BREVIPETALA</v>
          </cell>
        </row>
        <row r="1145">
          <cell r="A1145" t="str">
            <v>E1488</v>
          </cell>
          <cell r="B1145" t="str">
            <v>AMERICANA</v>
          </cell>
        </row>
        <row r="1146">
          <cell r="A1146" t="str">
            <v>E1489</v>
          </cell>
          <cell r="B1146" t="str">
            <v>BREVIPETALA</v>
          </cell>
        </row>
        <row r="1147">
          <cell r="A1147" t="str">
            <v>E1490</v>
          </cell>
          <cell r="B1147" t="str">
            <v>AMERICANA</v>
          </cell>
        </row>
        <row r="1148">
          <cell r="A1148" t="str">
            <v>E1491</v>
          </cell>
          <cell r="B1148" t="str">
            <v>AMERICANA</v>
          </cell>
        </row>
        <row r="1149">
          <cell r="A1149" t="str">
            <v>E1492</v>
          </cell>
          <cell r="B1149" t="str">
            <v>AMERICANA</v>
          </cell>
        </row>
        <row r="1150">
          <cell r="A1150" t="str">
            <v>E1493</v>
          </cell>
          <cell r="B1150" t="str">
            <v>AMERICANA</v>
          </cell>
        </row>
        <row r="1151">
          <cell r="A1151" t="str">
            <v>E1494</v>
          </cell>
          <cell r="B1151" t="str">
            <v>AMERICANA</v>
          </cell>
        </row>
        <row r="1152">
          <cell r="A1152" t="str">
            <v>E1495</v>
          </cell>
          <cell r="B1152" t="str">
            <v>AMERICANA</v>
          </cell>
        </row>
        <row r="1153">
          <cell r="A1153" t="str">
            <v>E1496</v>
          </cell>
          <cell r="B1153" t="str">
            <v>AMERICANA</v>
          </cell>
        </row>
        <row r="1154">
          <cell r="A1154" t="str">
            <v>E1497</v>
          </cell>
          <cell r="B1154" t="str">
            <v>Heuchera pubescens E1497 VA Franklin</v>
          </cell>
        </row>
        <row r="1155">
          <cell r="A1155" t="str">
            <v>E1498</v>
          </cell>
          <cell r="B1155" t="str">
            <v>AMERICANA</v>
          </cell>
        </row>
        <row r="1156">
          <cell r="A1156" t="str">
            <v>E1499</v>
          </cell>
          <cell r="B1156" t="str">
            <v>AMERICANA</v>
          </cell>
        </row>
        <row r="1157">
          <cell r="A1157" t="str">
            <v>E1500</v>
          </cell>
          <cell r="B1157" t="str">
            <v>AMERICANA</v>
          </cell>
        </row>
        <row r="1158">
          <cell r="A1158" t="str">
            <v>E1501</v>
          </cell>
          <cell r="B1158" t="str">
            <v>AMERICANA</v>
          </cell>
        </row>
        <row r="1159">
          <cell r="A1159" t="str">
            <v>E1502</v>
          </cell>
          <cell r="B1159" t="str">
            <v>AMERICANA</v>
          </cell>
        </row>
        <row r="1160">
          <cell r="A1160" t="str">
            <v>E1503</v>
          </cell>
          <cell r="B1160" t="str">
            <v>AMERICANA</v>
          </cell>
        </row>
        <row r="1161">
          <cell r="A1161" t="str">
            <v>E1504</v>
          </cell>
          <cell r="B1161" t="str">
            <v>AMERICANA</v>
          </cell>
        </row>
        <row r="1162">
          <cell r="A1162" t="str">
            <v>E1505</v>
          </cell>
          <cell r="B1162" t="str">
            <v>AMERICANA</v>
          </cell>
        </row>
        <row r="1163">
          <cell r="A1163" t="str">
            <v>E1506</v>
          </cell>
          <cell r="B1163" t="str">
            <v>AMERICANA</v>
          </cell>
        </row>
        <row r="1164">
          <cell r="A1164" t="str">
            <v>E1507</v>
          </cell>
          <cell r="B1164" t="str">
            <v>AMERICANA</v>
          </cell>
        </row>
        <row r="1165">
          <cell r="A1165" t="str">
            <v>E1508</v>
          </cell>
          <cell r="B1165" t="str">
            <v>AMERICANA</v>
          </cell>
        </row>
        <row r="1166">
          <cell r="A1166" t="str">
            <v>E1509</v>
          </cell>
          <cell r="B1166" t="str">
            <v>HISPIDA</v>
          </cell>
        </row>
        <row r="1167">
          <cell r="A1167" t="str">
            <v>E1510</v>
          </cell>
          <cell r="B1167" t="str">
            <v>AMERICANA</v>
          </cell>
        </row>
        <row r="1168">
          <cell r="A1168" t="str">
            <v>E1511</v>
          </cell>
          <cell r="B1168" t="str">
            <v>AMERICANA</v>
          </cell>
        </row>
        <row r="1169">
          <cell r="A1169" t="str">
            <v>E1512</v>
          </cell>
          <cell r="B1169" t="str">
            <v>AMERICANA</v>
          </cell>
        </row>
        <row r="1170">
          <cell r="A1170" t="str">
            <v>E1513</v>
          </cell>
          <cell r="B1170" t="str">
            <v>AMERICANA</v>
          </cell>
        </row>
        <row r="1171">
          <cell r="A1171" t="str">
            <v>E1514</v>
          </cell>
          <cell r="B1171" t="str">
            <v>AMERICANA</v>
          </cell>
        </row>
        <row r="1172">
          <cell r="A1172" t="str">
            <v>E1515</v>
          </cell>
          <cell r="B1172" t="str">
            <v>CALYCOSA</v>
          </cell>
        </row>
        <row r="1173">
          <cell r="A1173" t="str">
            <v>E1516</v>
          </cell>
          <cell r="B1173" t="str">
            <v>CALYCOSA</v>
          </cell>
        </row>
        <row r="1174">
          <cell r="A1174" t="str">
            <v>E1517</v>
          </cell>
          <cell r="B1174" t="str">
            <v>BREVIPETALA</v>
          </cell>
        </row>
        <row r="1175">
          <cell r="A1175" t="str">
            <v>E1518</v>
          </cell>
          <cell r="B1175" t="str">
            <v>BREVIPETALA</v>
          </cell>
        </row>
        <row r="1176">
          <cell r="A1176" t="str">
            <v>E1519</v>
          </cell>
          <cell r="B1176" t="str">
            <v>CALYCOSA</v>
          </cell>
        </row>
        <row r="1177">
          <cell r="A1177" t="str">
            <v>E1520</v>
          </cell>
          <cell r="B1177" t="str">
            <v>BREVIPETALA</v>
          </cell>
        </row>
        <row r="1178">
          <cell r="A1178" t="str">
            <v>E1521</v>
          </cell>
          <cell r="B1178" t="str">
            <v>AMERICANA</v>
          </cell>
        </row>
        <row r="1179">
          <cell r="A1179" t="str">
            <v>E1522</v>
          </cell>
          <cell r="B1179" t="str">
            <v>AMERICANA</v>
          </cell>
        </row>
        <row r="1180">
          <cell r="A1180" t="str">
            <v>E1523</v>
          </cell>
          <cell r="B1180" t="str">
            <v>HIRSUTICAULIS</v>
          </cell>
        </row>
        <row r="1181">
          <cell r="A1181" t="str">
            <v>E1524</v>
          </cell>
          <cell r="B1181" t="str">
            <v>HIRSUTICAULIS</v>
          </cell>
        </row>
        <row r="1182">
          <cell r="A1182" t="str">
            <v>E1525</v>
          </cell>
          <cell r="B1182" t="str">
            <v>HIRSUTICAULIS</v>
          </cell>
        </row>
        <row r="1183">
          <cell r="A1183" t="str">
            <v>E1526</v>
          </cell>
          <cell r="B1183" t="str">
            <v>HIRSUTICAULIS</v>
          </cell>
        </row>
        <row r="1184">
          <cell r="A1184" t="str">
            <v>E1527</v>
          </cell>
          <cell r="B1184" t="str">
            <v>HIRSUTICAULIS</v>
          </cell>
        </row>
        <row r="1185">
          <cell r="A1185" t="str">
            <v>E1528</v>
          </cell>
          <cell r="B1185" t="str">
            <v>HIRSUTICAULIS</v>
          </cell>
        </row>
        <row r="1186">
          <cell r="A1186" t="str">
            <v>E1529</v>
          </cell>
          <cell r="B1186" t="str">
            <v>HIRSUTICAULIS</v>
          </cell>
        </row>
        <row r="1187">
          <cell r="A1187" t="str">
            <v>E1530</v>
          </cell>
          <cell r="B1187" t="str">
            <v>HIRSUTICAULIS</v>
          </cell>
        </row>
        <row r="1188">
          <cell r="A1188" t="str">
            <v>E1531</v>
          </cell>
          <cell r="B1188" t="str">
            <v>HIRSUTICAULIS</v>
          </cell>
        </row>
        <row r="1189">
          <cell r="A1189" t="str">
            <v>E1532</v>
          </cell>
          <cell r="B1189" t="str">
            <v>HIRSUTICAULIS</v>
          </cell>
        </row>
        <row r="1190">
          <cell r="A1190" t="str">
            <v>E1533</v>
          </cell>
          <cell r="B1190" t="str">
            <v>HIRSUTICAULIS</v>
          </cell>
        </row>
        <row r="1191">
          <cell r="A1191" t="str">
            <v>E1534</v>
          </cell>
          <cell r="B1191" t="str">
            <v>HIRSUTICAULIS</v>
          </cell>
        </row>
        <row r="1192">
          <cell r="A1192" t="str">
            <v>E1535</v>
          </cell>
          <cell r="B1192" t="str">
            <v>HIRSUTICAULIS</v>
          </cell>
        </row>
        <row r="1193">
          <cell r="A1193" t="str">
            <v>E1536</v>
          </cell>
          <cell r="B1193" t="str">
            <v>HIRSUTICAULIS</v>
          </cell>
        </row>
        <row r="1194">
          <cell r="A1194" t="str">
            <v>E1537</v>
          </cell>
          <cell r="B1194" t="str">
            <v>HIRSUTICAULIS</v>
          </cell>
        </row>
        <row r="1195">
          <cell r="A1195" t="str">
            <v>E1538</v>
          </cell>
          <cell r="B1195" t="str">
            <v>HIRSUTICAULIS</v>
          </cell>
        </row>
        <row r="1196">
          <cell r="A1196" t="str">
            <v>E1539</v>
          </cell>
          <cell r="B1196" t="str">
            <v>HIRSUTICAULIS</v>
          </cell>
        </row>
        <row r="1197">
          <cell r="A1197" t="str">
            <v>E1540</v>
          </cell>
          <cell r="B1197" t="str">
            <v>HIRSUTICAULIS</v>
          </cell>
        </row>
        <row r="1198">
          <cell r="A1198" t="str">
            <v>E1541</v>
          </cell>
          <cell r="B1198" t="str">
            <v>HETERADENIA</v>
          </cell>
        </row>
        <row r="1199">
          <cell r="A1199" t="str">
            <v>E1542</v>
          </cell>
          <cell r="B1199" t="str">
            <v>CALYCOSA</v>
          </cell>
        </row>
        <row r="1200">
          <cell r="A1200" t="str">
            <v>E1543</v>
          </cell>
          <cell r="B1200" t="str">
            <v>HIRSUTICAULIS</v>
          </cell>
        </row>
        <row r="1201">
          <cell r="A1201" t="str">
            <v>E1544</v>
          </cell>
          <cell r="B1201" t="str">
            <v>BREVIPETALA</v>
          </cell>
        </row>
        <row r="1202">
          <cell r="A1202" t="str">
            <v>E1545</v>
          </cell>
          <cell r="B1202" t="str">
            <v>BREVIPETALA</v>
          </cell>
        </row>
        <row r="1203">
          <cell r="A1203" t="str">
            <v>E1546</v>
          </cell>
          <cell r="B1203" t="str">
            <v>HISPIDA</v>
          </cell>
        </row>
        <row r="1204">
          <cell r="A1204" t="str">
            <v>E1547</v>
          </cell>
          <cell r="B1204" t="str">
            <v>HISPIDA</v>
          </cell>
        </row>
        <row r="1205">
          <cell r="A1205" t="str">
            <v>E1548</v>
          </cell>
          <cell r="B1205" t="str">
            <v>HISPIDA</v>
          </cell>
        </row>
        <row r="1206">
          <cell r="A1206" t="str">
            <v>E1549</v>
          </cell>
          <cell r="B1206" t="str">
            <v>HISPIDA</v>
          </cell>
        </row>
        <row r="1207">
          <cell r="A1207" t="str">
            <v>E1550</v>
          </cell>
          <cell r="B1207" t="str">
            <v>HISPIDA</v>
          </cell>
        </row>
        <row r="1208">
          <cell r="A1208" t="str">
            <v>E306-10</v>
          </cell>
          <cell r="B1208" t="str">
            <v>Heuchera alba E306-10 WV Grant</v>
          </cell>
        </row>
        <row r="1209">
          <cell r="A1209" t="str">
            <v>E306-11</v>
          </cell>
          <cell r="B1209" t="str">
            <v>Heuchera alba E306-11 WV Grant</v>
          </cell>
        </row>
        <row r="1210">
          <cell r="A1210" t="str">
            <v>E306-12</v>
          </cell>
          <cell r="B1210" t="str">
            <v>Heuchera alba E306-12 WV Grant</v>
          </cell>
        </row>
        <row r="1211">
          <cell r="A1211" t="str">
            <v>E306-13</v>
          </cell>
          <cell r="B1211" t="str">
            <v>Heuchera alba E306-13 WV Grant</v>
          </cell>
        </row>
        <row r="1212">
          <cell r="A1212" t="str">
            <v>E306-14</v>
          </cell>
          <cell r="B1212" t="str">
            <v>Heuchera alba E306-14 WV Grant</v>
          </cell>
        </row>
        <row r="1213">
          <cell r="A1213" t="str">
            <v>E306-15</v>
          </cell>
          <cell r="B1213" t="str">
            <v>Heuchera alba E306-15 WV Grant</v>
          </cell>
        </row>
        <row r="1214">
          <cell r="A1214" t="str">
            <v>E306-1</v>
          </cell>
          <cell r="B1214" t="str">
            <v>Heuchera alba E306-1 WV Grant</v>
          </cell>
        </row>
        <row r="1215">
          <cell r="A1215" t="str">
            <v>E306-2</v>
          </cell>
          <cell r="B1215" t="str">
            <v>Heuchera alba E306-2 WV Grant</v>
          </cell>
        </row>
        <row r="1216">
          <cell r="A1216" t="str">
            <v>E306-3</v>
          </cell>
          <cell r="B1216" t="str">
            <v>Heuchera alba E306-3 WV Grant</v>
          </cell>
        </row>
        <row r="1217">
          <cell r="A1217" t="str">
            <v>E306-5</v>
          </cell>
          <cell r="B1217" t="str">
            <v>Heuchera alba E306-5 WV Grant</v>
          </cell>
        </row>
        <row r="1218">
          <cell r="A1218" t="str">
            <v>E306-6</v>
          </cell>
          <cell r="B1218" t="str">
            <v>Heuchera alba E306-6 WV Grant</v>
          </cell>
        </row>
        <row r="1219">
          <cell r="A1219" t="str">
            <v>E306-7</v>
          </cell>
          <cell r="B1219" t="str">
            <v>Heuchera alba E306-7 WV Grant</v>
          </cell>
        </row>
        <row r="1220">
          <cell r="A1220" t="str">
            <v>E306-8</v>
          </cell>
          <cell r="B1220" t="str">
            <v>Heuchera alba E306-8 WV Grant</v>
          </cell>
        </row>
        <row r="1221">
          <cell r="A1221" t="str">
            <v>E437</v>
          </cell>
          <cell r="B1221" t="str">
            <v>Heuchera villosa E437 KY Edmonson</v>
          </cell>
        </row>
        <row r="1222">
          <cell r="A1222" t="str">
            <v>E438</v>
          </cell>
          <cell r="B1222" t="str">
            <v>BREVIPETALA</v>
          </cell>
        </row>
        <row r="1223">
          <cell r="A1223" t="str">
            <v>E439</v>
          </cell>
          <cell r="B1223" t="str">
            <v>BREVIPETALA</v>
          </cell>
        </row>
        <row r="1224">
          <cell r="A1224" t="str">
            <v>E440</v>
          </cell>
          <cell r="B1224" t="str">
            <v>HIRSUTICAULIS</v>
          </cell>
        </row>
        <row r="1225">
          <cell r="A1225" t="str">
            <v>E441</v>
          </cell>
          <cell r="B1225" t="str">
            <v>HIRSUTICAULIS</v>
          </cell>
        </row>
        <row r="1226">
          <cell r="A1226" t="str">
            <v>E442</v>
          </cell>
          <cell r="B1226" t="str">
            <v>HIRSUTICAULIS</v>
          </cell>
        </row>
        <row r="1227">
          <cell r="A1227" t="str">
            <v>E443</v>
          </cell>
          <cell r="B1227" t="str">
            <v>BREVIPETALA</v>
          </cell>
        </row>
        <row r="1228">
          <cell r="A1228" t="str">
            <v>E444</v>
          </cell>
          <cell r="B1228" t="str">
            <v>Heuchera villosa E444 KY Lyon</v>
          </cell>
        </row>
        <row r="1229">
          <cell r="A1229" t="str">
            <v>E445</v>
          </cell>
          <cell r="B1229" t="str">
            <v>Heuchera villosa E445 SC Greenville</v>
          </cell>
        </row>
        <row r="1230">
          <cell r="A1230" t="str">
            <v>E483</v>
          </cell>
          <cell r="B1230" t="str">
            <v>Heuchera alba E483 PA Huntingdon</v>
          </cell>
        </row>
        <row r="1231">
          <cell r="A1231" t="str">
            <v>E484</v>
          </cell>
          <cell r="B1231" t="str">
            <v>Heuchera alba E484 PA Huntingdon</v>
          </cell>
        </row>
        <row r="1232">
          <cell r="A1232" t="str">
            <v>E485</v>
          </cell>
          <cell r="B1232" t="str">
            <v>Heuchera alba E485 PA Bedford</v>
          </cell>
        </row>
        <row r="1233">
          <cell r="A1233" t="str">
            <v>E486</v>
          </cell>
          <cell r="B1233" t="str">
            <v>Heuchera alba E486 PA Huntingdon</v>
          </cell>
        </row>
        <row r="1234">
          <cell r="A1234" t="str">
            <v>E488-1</v>
          </cell>
          <cell r="B1234" t="str">
            <v>Heuchera alba E488-1 PA Somerset</v>
          </cell>
        </row>
        <row r="1235">
          <cell r="A1235" t="str">
            <v>E488-2</v>
          </cell>
          <cell r="B1235" t="str">
            <v>Heuchera alba E488-2 PA Somerset</v>
          </cell>
        </row>
        <row r="1236">
          <cell r="A1236" t="str">
            <v>E488-3</v>
          </cell>
          <cell r="B1236" t="str">
            <v>Heuchera alba E488-3 PA Somerset</v>
          </cell>
        </row>
        <row r="1237">
          <cell r="A1237" t="str">
            <v>E488-4</v>
          </cell>
          <cell r="B1237" t="str">
            <v>Heuchera alba E488-4 PA Somerset</v>
          </cell>
        </row>
        <row r="1238">
          <cell r="A1238" t="str">
            <v>E488-5</v>
          </cell>
          <cell r="B1238" t="str">
            <v>Heuchera alba E488-5 PA Somerset</v>
          </cell>
        </row>
        <row r="1239">
          <cell r="A1239" t="str">
            <v>E488-6</v>
          </cell>
          <cell r="B1239" t="str">
            <v>Heuchera alba E488-6 PA Somerset</v>
          </cell>
        </row>
        <row r="1240">
          <cell r="A1240" t="str">
            <v>E489-1</v>
          </cell>
          <cell r="B1240" t="str">
            <v>Heuchera alba E489-1 PA Somerset</v>
          </cell>
        </row>
        <row r="1241">
          <cell r="A1241" t="str">
            <v>E489-2</v>
          </cell>
          <cell r="B1241" t="str">
            <v>Heuchera alba E489-2 PA Somerset</v>
          </cell>
        </row>
        <row r="1242">
          <cell r="A1242" t="str">
            <v>E489-3</v>
          </cell>
          <cell r="B1242" t="str">
            <v>Heuchera alba E489-3 PA Somerset</v>
          </cell>
        </row>
        <row r="1243">
          <cell r="A1243" t="str">
            <v>E489-4</v>
          </cell>
          <cell r="B1243" t="str">
            <v>Heuchera alba E489-4 PA Somerset</v>
          </cell>
        </row>
        <row r="1244">
          <cell r="A1244" t="str">
            <v>E489-5</v>
          </cell>
          <cell r="B1244" t="str">
            <v>Heuchera alba E489-5 PA Somerset</v>
          </cell>
        </row>
        <row r="1245">
          <cell r="A1245" t="str">
            <v>E490</v>
          </cell>
          <cell r="B1245" t="str">
            <v>BREVIPETALA</v>
          </cell>
        </row>
        <row r="1246">
          <cell r="A1246" t="str">
            <v>E491</v>
          </cell>
          <cell r="B1246" t="str">
            <v>BREVIPETALA</v>
          </cell>
        </row>
        <row r="1247">
          <cell r="A1247" t="str">
            <v>E492</v>
          </cell>
          <cell r="B1247" t="str">
            <v>BREVIPETALA</v>
          </cell>
        </row>
        <row r="1248">
          <cell r="A1248" t="str">
            <v>E493</v>
          </cell>
          <cell r="B1248" t="str">
            <v>BREVIPETALA</v>
          </cell>
        </row>
        <row r="1249">
          <cell r="A1249" t="str">
            <v>E494</v>
          </cell>
          <cell r="B1249" t="str">
            <v>BREVIPETALA</v>
          </cell>
        </row>
        <row r="1250">
          <cell r="A1250" t="str">
            <v>E495</v>
          </cell>
          <cell r="B1250" t="str">
            <v>Heuchera versicolor E495 TX Presidio</v>
          </cell>
        </row>
        <row r="1251">
          <cell r="A1251" t="str">
            <v>E496</v>
          </cell>
          <cell r="B1251" t="str">
            <v>Heuchera versicolor E496 TX Jeff Davis</v>
          </cell>
        </row>
        <row r="1252">
          <cell r="A1252" t="str">
            <v>E497</v>
          </cell>
          <cell r="B1252" t="str">
            <v>Heuchera versicolor E497 TX Brewster</v>
          </cell>
        </row>
        <row r="1253">
          <cell r="A1253" t="str">
            <v>E498</v>
          </cell>
          <cell r="B1253" t="str">
            <v>HIRSUTICAULIS</v>
          </cell>
        </row>
        <row r="1254">
          <cell r="A1254" t="str">
            <v>E499</v>
          </cell>
          <cell r="B1254" t="str">
            <v>HIRSUTICAULIS</v>
          </cell>
        </row>
        <row r="1255">
          <cell r="A1255" t="str">
            <v>E500</v>
          </cell>
          <cell r="B1255" t="str">
            <v>HIRSUTICAULIS</v>
          </cell>
        </row>
        <row r="1256">
          <cell r="A1256" t="str">
            <v>E501</v>
          </cell>
          <cell r="B1256" t="str">
            <v>HIRSUTICAULIS</v>
          </cell>
        </row>
        <row r="1257">
          <cell r="A1257" t="str">
            <v>E502</v>
          </cell>
          <cell r="B1257" t="str">
            <v>CALYCOSA</v>
          </cell>
        </row>
        <row r="1258">
          <cell r="A1258" t="str">
            <v>E503</v>
          </cell>
          <cell r="B1258" t="str">
            <v>HIRSUTICAULIS</v>
          </cell>
        </row>
        <row r="1259">
          <cell r="A1259" t="str">
            <v>E504</v>
          </cell>
          <cell r="B1259" t="str">
            <v>Heuchera villosa var. villosa E504 GA Union</v>
          </cell>
        </row>
        <row r="1260">
          <cell r="A1260" t="str">
            <v>E505</v>
          </cell>
          <cell r="B1260" t="str">
            <v>CALYCOSA</v>
          </cell>
        </row>
        <row r="1261">
          <cell r="A1261" t="str">
            <v>E506</v>
          </cell>
          <cell r="B1261" t="str">
            <v>AMERICANA</v>
          </cell>
        </row>
        <row r="1262">
          <cell r="A1262" t="str">
            <v>E507</v>
          </cell>
          <cell r="B1262" t="str">
            <v>AMERICANA</v>
          </cell>
        </row>
        <row r="1263">
          <cell r="A1263" t="str">
            <v>E508</v>
          </cell>
          <cell r="B1263" t="str">
            <v>AMERICANA</v>
          </cell>
        </row>
        <row r="1264">
          <cell r="A1264" t="str">
            <v>E509</v>
          </cell>
          <cell r="B1264" t="str">
            <v>BREVIPETALA</v>
          </cell>
        </row>
        <row r="1265">
          <cell r="A1265" t="str">
            <v>E510</v>
          </cell>
          <cell r="B1265" t="str">
            <v>AMERICANA</v>
          </cell>
        </row>
        <row r="1266">
          <cell r="A1266" t="str">
            <v>E511</v>
          </cell>
          <cell r="B1266" t="str">
            <v>CALYCOSA</v>
          </cell>
        </row>
        <row r="1267">
          <cell r="A1267" t="str">
            <v>E512</v>
          </cell>
          <cell r="B1267" t="str">
            <v>BREVIPETALA</v>
          </cell>
        </row>
        <row r="1268">
          <cell r="A1268" t="str">
            <v>E513</v>
          </cell>
          <cell r="B1268" t="str">
            <v>HIRSUTICAULIS</v>
          </cell>
        </row>
        <row r="1269">
          <cell r="A1269" t="str">
            <v>E514</v>
          </cell>
          <cell r="B1269" t="str">
            <v>CALYCOSA</v>
          </cell>
        </row>
        <row r="1270">
          <cell r="A1270" t="str">
            <v>E515</v>
          </cell>
          <cell r="B1270" t="str">
            <v>BREVIPETALA</v>
          </cell>
        </row>
        <row r="1271">
          <cell r="A1271" t="str">
            <v>E516</v>
          </cell>
          <cell r="B1271" t="str">
            <v>AMERICANA</v>
          </cell>
        </row>
        <row r="1272">
          <cell r="A1272" t="str">
            <v>E517</v>
          </cell>
          <cell r="B1272" t="str">
            <v>BREVIPETALA</v>
          </cell>
        </row>
        <row r="1273">
          <cell r="A1273" t="str">
            <v>E518</v>
          </cell>
          <cell r="B1273" t="str">
            <v>BREVIPETALA</v>
          </cell>
        </row>
        <row r="1274">
          <cell r="A1274" t="str">
            <v>E519</v>
          </cell>
          <cell r="B1274" t="str">
            <v>AMERICANA</v>
          </cell>
        </row>
        <row r="1275">
          <cell r="A1275" t="str">
            <v>E520</v>
          </cell>
          <cell r="B1275" t="str">
            <v>BREVIPETALA</v>
          </cell>
        </row>
        <row r="1276">
          <cell r="A1276" t="str">
            <v>E521</v>
          </cell>
          <cell r="B1276" t="str">
            <v>HIRSUTICAULIS</v>
          </cell>
        </row>
        <row r="1277">
          <cell r="A1277" t="str">
            <v>E522</v>
          </cell>
          <cell r="B1277" t="str">
            <v>CALYCOSA</v>
          </cell>
        </row>
        <row r="1278">
          <cell r="A1278" t="str">
            <v>E523</v>
          </cell>
          <cell r="B1278" t="str">
            <v>BREVIPETALA</v>
          </cell>
        </row>
        <row r="1279">
          <cell r="A1279" t="str">
            <v>E524</v>
          </cell>
          <cell r="B1279" t="str">
            <v>BREVIPETALA</v>
          </cell>
        </row>
        <row r="1280">
          <cell r="A1280" t="str">
            <v>E525</v>
          </cell>
          <cell r="B1280" t="str">
            <v>Heuchera alba E525 PA Perry</v>
          </cell>
        </row>
        <row r="1281">
          <cell r="A1281" t="str">
            <v>E526</v>
          </cell>
          <cell r="B1281" t="str">
            <v>Heuchera bracteata E526 CO Boulder</v>
          </cell>
        </row>
        <row r="1282">
          <cell r="A1282" t="str">
            <v>E527</v>
          </cell>
          <cell r="B1282" t="str">
            <v>Heuchera bracteata E527 CO Larimer</v>
          </cell>
        </row>
        <row r="1283">
          <cell r="A1283" t="str">
            <v>E528</v>
          </cell>
          <cell r="B1283" t="str">
            <v>Heuchera cylindrica var. cylindrica E528 British Columbia</v>
          </cell>
        </row>
        <row r="1284">
          <cell r="A1284" t="str">
            <v>E529</v>
          </cell>
          <cell r="B1284" t="str">
            <v>Heuchea cylindrica var. alpina E529 CA Modoc</v>
          </cell>
        </row>
        <row r="1285">
          <cell r="A1285" t="str">
            <v>E530</v>
          </cell>
          <cell r="B1285" t="str">
            <v>Heuchea cylindrica var. alpina E530 CA Modoc</v>
          </cell>
        </row>
        <row r="1286">
          <cell r="A1286" t="str">
            <v>E531</v>
          </cell>
          <cell r="B1286" t="str">
            <v>Heuchea cylindrica var. alpina E531 NV Elko</v>
          </cell>
        </row>
        <row r="1287">
          <cell r="A1287" t="str">
            <v>E532</v>
          </cell>
          <cell r="B1287" t="str">
            <v>Heuchea cylindrica var. alpina E532 NV Humboldt</v>
          </cell>
        </row>
        <row r="1288">
          <cell r="A1288" t="str">
            <v>E533</v>
          </cell>
          <cell r="B1288" t="str">
            <v>Heuchera cylindrica var. glabella E533 WA Asotin</v>
          </cell>
        </row>
        <row r="1289">
          <cell r="A1289" t="str">
            <v>E534</v>
          </cell>
          <cell r="B1289" t="str">
            <v>Heuchera cylindrica var. cylindrica E534 WA Spokane</v>
          </cell>
        </row>
        <row r="1290">
          <cell r="A1290" t="str">
            <v>E535</v>
          </cell>
          <cell r="B1290" t="str">
            <v>Heuchera cylindrica var. cylindrica E535 WA Ferry</v>
          </cell>
        </row>
        <row r="1291">
          <cell r="A1291" t="str">
            <v>E536</v>
          </cell>
          <cell r="B1291" t="str">
            <v>Heuchea cylindrica var. alpina E536 NV Humboldt</v>
          </cell>
        </row>
        <row r="1292">
          <cell r="A1292" t="str">
            <v>E537</v>
          </cell>
          <cell r="B1292" t="str">
            <v>Heuchea cylindrica var. alpina E537 NV Humboldt</v>
          </cell>
        </row>
        <row r="1293">
          <cell r="A1293" t="str">
            <v>E538</v>
          </cell>
          <cell r="B1293" t="str">
            <v>Heuchera cylindrica var. cylindrica E538 WA Okanogan</v>
          </cell>
        </row>
        <row r="1294">
          <cell r="A1294" t="str">
            <v>E539</v>
          </cell>
          <cell r="B1294" t="str">
            <v>Heuchera cylindrica var. glabella E539 WA Stevens</v>
          </cell>
        </row>
        <row r="1295">
          <cell r="A1295" t="str">
            <v>E540</v>
          </cell>
          <cell r="B1295" t="str">
            <v>Heuchera glabra E540 WA Snohomish</v>
          </cell>
        </row>
        <row r="1296">
          <cell r="A1296" t="str">
            <v>E541</v>
          </cell>
          <cell r="B1296" t="str">
            <v>Heuchera glabra E541 AK Skagway</v>
          </cell>
        </row>
        <row r="1297">
          <cell r="A1297" t="str">
            <v>E542</v>
          </cell>
          <cell r="B1297" t="str">
            <v>GRAYANA</v>
          </cell>
        </row>
        <row r="1298">
          <cell r="A1298" t="str">
            <v>E543</v>
          </cell>
          <cell r="B1298" t="str">
            <v>GRAYANA</v>
          </cell>
        </row>
        <row r="1299">
          <cell r="A1299" t="str">
            <v>E544</v>
          </cell>
          <cell r="B1299" t="str">
            <v>GRAYANA</v>
          </cell>
        </row>
        <row r="1300">
          <cell r="A1300" t="str">
            <v>E545</v>
          </cell>
          <cell r="B1300" t="str">
            <v>Heuchera micrantha var. erubescens E545 OR Polk</v>
          </cell>
        </row>
        <row r="1301">
          <cell r="A1301" t="str">
            <v>E546</v>
          </cell>
          <cell r="B1301" t="str">
            <v>Heuchera micrantha var. hartwegii E546 OR Linn</v>
          </cell>
        </row>
        <row r="1302">
          <cell r="A1302" t="str">
            <v>E547</v>
          </cell>
          <cell r="B1302" t="str">
            <v>Heuchera micrantha var. diversifolia E547 British Columbia</v>
          </cell>
        </row>
        <row r="1303">
          <cell r="A1303" t="str">
            <v>E548</v>
          </cell>
          <cell r="B1303" t="str">
            <v>Heuchera micrantha var. micrantha E548 WA Lewis</v>
          </cell>
        </row>
        <row r="1304">
          <cell r="A1304" t="str">
            <v>E549</v>
          </cell>
          <cell r="B1304" t="str">
            <v>Heuchera micrantha var. hartwegii E549 CA San Mateo</v>
          </cell>
        </row>
        <row r="1305">
          <cell r="A1305" t="str">
            <v>E550</v>
          </cell>
          <cell r="B1305" t="str">
            <v>Heuchera micrantha var. pacifica E550 CA Mendocino</v>
          </cell>
        </row>
        <row r="1306">
          <cell r="A1306" t="str">
            <v>E551</v>
          </cell>
          <cell r="B1306" t="str">
            <v>Heuchera micrantha var. pacifica E551 CA San Mateo</v>
          </cell>
        </row>
        <row r="1307">
          <cell r="A1307" t="str">
            <v>E552</v>
          </cell>
          <cell r="B1307" t="str">
            <v>Heuchera micrantha var. pacifica E552 CA Del Norte</v>
          </cell>
        </row>
        <row r="1308">
          <cell r="A1308" t="str">
            <v>E553</v>
          </cell>
          <cell r="B1308" t="str">
            <v>Heuchera parvifolia E553 AZ Apache</v>
          </cell>
        </row>
        <row r="1309">
          <cell r="A1309" t="str">
            <v>E554</v>
          </cell>
          <cell r="B1309" t="str">
            <v>Heuchera parviflora var. parviflora E554 NC Macon</v>
          </cell>
        </row>
        <row r="1310">
          <cell r="A1310" t="str">
            <v>E555</v>
          </cell>
          <cell r="B1310" t="str">
            <v>Heuchera parvifolia E555 NC Surry</v>
          </cell>
        </row>
        <row r="1311">
          <cell r="A1311" t="str">
            <v>E556</v>
          </cell>
          <cell r="B1311" t="str">
            <v>Heuchera parviflora var. parviflora E556 AZ Apache</v>
          </cell>
        </row>
        <row r="1312">
          <cell r="A1312" t="str">
            <v>E557</v>
          </cell>
          <cell r="B1312" t="str">
            <v>Heuchera parvifolia E557 CO Boulder</v>
          </cell>
        </row>
        <row r="1313">
          <cell r="A1313" t="str">
            <v>E558</v>
          </cell>
          <cell r="B1313" t="str">
            <v>Heuchera parvifolia E558 CO Boulder</v>
          </cell>
        </row>
        <row r="1314">
          <cell r="A1314" t="str">
            <v>E559</v>
          </cell>
          <cell r="B1314" t="str">
            <v>Heuchera parvifolia E559 CO Chaffee</v>
          </cell>
        </row>
        <row r="1315">
          <cell r="A1315" t="str">
            <v>E560</v>
          </cell>
          <cell r="B1315" t="str">
            <v>Heuchera parvifolia E560 CO El Paso</v>
          </cell>
        </row>
        <row r="1316">
          <cell r="A1316" t="str">
            <v>E561</v>
          </cell>
          <cell r="B1316" t="str">
            <v>Heuchera parvifolia E561 CO Grand</v>
          </cell>
        </row>
        <row r="1317">
          <cell r="A1317" t="str">
            <v>E562</v>
          </cell>
          <cell r="B1317" t="str">
            <v>Heuchera parvifolia E562 CO Montezuma</v>
          </cell>
        </row>
        <row r="1318">
          <cell r="A1318" t="str">
            <v>E563</v>
          </cell>
          <cell r="B1318" t="str">
            <v>Heuchera parvifolia E563 CO Park</v>
          </cell>
        </row>
        <row r="1319">
          <cell r="A1319" t="str">
            <v>E564</v>
          </cell>
          <cell r="B1319" t="str">
            <v>Heuchera parvifolia E564 CO San Juan</v>
          </cell>
        </row>
        <row r="1320">
          <cell r="A1320" t="str">
            <v>E565</v>
          </cell>
          <cell r="B1320" t="str">
            <v>Heuchera parvifolia E565 UT Beaver</v>
          </cell>
        </row>
        <row r="1321">
          <cell r="A1321" t="str">
            <v>E566</v>
          </cell>
          <cell r="B1321" t="str">
            <v>Heuchera parvifolia E566 UT Boxelder</v>
          </cell>
        </row>
        <row r="1322">
          <cell r="A1322" t="str">
            <v>E567</v>
          </cell>
          <cell r="B1322" t="str">
            <v>Heuchera parvifolia E567 UT Carbon</v>
          </cell>
        </row>
        <row r="1323">
          <cell r="A1323" t="str">
            <v>E568</v>
          </cell>
          <cell r="B1323" t="str">
            <v>Heuchera parvifolia E568 UT Garfield</v>
          </cell>
        </row>
        <row r="1324">
          <cell r="A1324" t="str">
            <v>E569</v>
          </cell>
          <cell r="B1324" t="str">
            <v>Heuchera parvifolia E569 UT Garfield</v>
          </cell>
        </row>
        <row r="1325">
          <cell r="A1325" t="str">
            <v>E570</v>
          </cell>
          <cell r="B1325" t="str">
            <v>Heuchera parvifolia E570 UT Uintah</v>
          </cell>
        </row>
        <row r="1326">
          <cell r="A1326" t="str">
            <v>E571</v>
          </cell>
          <cell r="B1326" t="str">
            <v>Heuchera parvifolia E571 UT Utah</v>
          </cell>
        </row>
        <row r="1327">
          <cell r="A1327" t="str">
            <v>E572</v>
          </cell>
          <cell r="B1327" t="str">
            <v>Heuchera parvifolia E572 WY Albany</v>
          </cell>
        </row>
        <row r="1328">
          <cell r="A1328" t="str">
            <v>E573</v>
          </cell>
          <cell r="B1328" t="str">
            <v>Heuchera parvifolia E573 WY Albany</v>
          </cell>
        </row>
        <row r="1329">
          <cell r="A1329" t="str">
            <v>E574</v>
          </cell>
          <cell r="B1329" t="str">
            <v>Heuchera parvifolia E574 WY Carbon</v>
          </cell>
        </row>
        <row r="1330">
          <cell r="A1330" t="str">
            <v>E575</v>
          </cell>
          <cell r="B1330" t="str">
            <v>Heuchera parvifolia E575 WY Sublette</v>
          </cell>
        </row>
        <row r="1331">
          <cell r="A1331" t="str">
            <v>E576</v>
          </cell>
          <cell r="B1331" t="str">
            <v>Heuchera parvifolia E576 NV Elko</v>
          </cell>
        </row>
        <row r="1332">
          <cell r="A1332" t="str">
            <v>E577</v>
          </cell>
          <cell r="B1332" t="str">
            <v>Heuchera parvifolia E577 NV Elko</v>
          </cell>
        </row>
        <row r="1333">
          <cell r="A1333" t="str">
            <v>E578</v>
          </cell>
          <cell r="B1333" t="str">
            <v>Heuchera parvifolia E578 NV Elko</v>
          </cell>
        </row>
        <row r="1334">
          <cell r="A1334" t="str">
            <v>E579</v>
          </cell>
          <cell r="B1334" t="str">
            <v>Heuchera parvifolia E579 NV Elko</v>
          </cell>
        </row>
        <row r="1335">
          <cell r="A1335" t="str">
            <v>E580</v>
          </cell>
          <cell r="B1335" t="str">
            <v>Heuchera parvifolia E580 NV Lander</v>
          </cell>
        </row>
        <row r="1336">
          <cell r="A1336" t="str">
            <v>E581</v>
          </cell>
          <cell r="B1336" t="str">
            <v>Heuchera parvifolia E581 NV Mineral</v>
          </cell>
        </row>
        <row r="1337">
          <cell r="A1337" t="str">
            <v>E582</v>
          </cell>
          <cell r="B1337" t="str">
            <v>Heuchera parvifolia E582 NV White Pine</v>
          </cell>
        </row>
        <row r="1338">
          <cell r="A1338" t="str">
            <v>E583</v>
          </cell>
          <cell r="B1338" t="str">
            <v>Heuchera parvifolia E583 NV White Pine</v>
          </cell>
        </row>
        <row r="1339">
          <cell r="A1339" t="str">
            <v>E584</v>
          </cell>
          <cell r="B1339" t="str">
            <v>Heuchera parvifolia E584 NM Colfax</v>
          </cell>
        </row>
        <row r="1340">
          <cell r="A1340" t="str">
            <v>E585</v>
          </cell>
          <cell r="B1340" t="str">
            <v>Heuchera parvifolia E585 NM Colfax</v>
          </cell>
        </row>
        <row r="1341">
          <cell r="A1341" t="str">
            <v>E586</v>
          </cell>
          <cell r="B1341" t="str">
            <v>Heuchera parvifolia E586 NM Colfax</v>
          </cell>
        </row>
        <row r="1342">
          <cell r="A1342" t="str">
            <v>E587</v>
          </cell>
          <cell r="B1342" t="str">
            <v>Heuchera parvifolia E587 NM Colfax</v>
          </cell>
        </row>
        <row r="1343">
          <cell r="A1343" t="str">
            <v>E588</v>
          </cell>
          <cell r="B1343" t="str">
            <v>Heuchera parvifolia E588 NM Socorro</v>
          </cell>
        </row>
        <row r="1344">
          <cell r="A1344" t="str">
            <v>E589</v>
          </cell>
          <cell r="B1344" t="str">
            <v>Heuchera longiflora var. longiflora E589 KY Northwestern Pike</v>
          </cell>
        </row>
        <row r="1345">
          <cell r="A1345" t="str">
            <v>E590</v>
          </cell>
          <cell r="B1345" t="str">
            <v>Heuchera longiflora var. aceroides E590 NC Madison</v>
          </cell>
        </row>
        <row r="1346">
          <cell r="A1346" t="str">
            <v>E591</v>
          </cell>
          <cell r="B1346" t="str">
            <v>Heuchera alba E591 WV Pocahontas</v>
          </cell>
        </row>
        <row r="1347">
          <cell r="A1347" t="str">
            <v>E592</v>
          </cell>
          <cell r="B1347" t="str">
            <v>Heuchera alba E592 PA Huntingdon</v>
          </cell>
        </row>
        <row r="1348">
          <cell r="A1348" t="str">
            <v>E593</v>
          </cell>
          <cell r="B1348" t="str">
            <v>Heuchera rubescens var. alpicola E593 CA El Dorado</v>
          </cell>
        </row>
        <row r="1349">
          <cell r="A1349" t="str">
            <v>E594</v>
          </cell>
          <cell r="B1349" t="str">
            <v>Heuchera rubescens var. alpicola E594 CA Inyo</v>
          </cell>
        </row>
        <row r="1350">
          <cell r="A1350" t="str">
            <v>E595</v>
          </cell>
          <cell r="B1350" t="str">
            <v>Heuchera rubescens var. alpicola E595 CA Lassen</v>
          </cell>
        </row>
        <row r="1351">
          <cell r="A1351" t="str">
            <v>E596</v>
          </cell>
          <cell r="B1351" t="str">
            <v>Heuchera rubescens var. alpicola E596 CA Modoc</v>
          </cell>
        </row>
        <row r="1352">
          <cell r="A1352" t="str">
            <v>E597</v>
          </cell>
          <cell r="B1352" t="str">
            <v>Heuchera rubescens var. alpicola E597 CA San Bernardino</v>
          </cell>
        </row>
        <row r="1353">
          <cell r="A1353" t="str">
            <v>E598</v>
          </cell>
          <cell r="B1353" t="str">
            <v>Heuchera rubescens var. alpicola E598 CA San Bernardino</v>
          </cell>
        </row>
        <row r="1354">
          <cell r="A1354" t="str">
            <v>E599</v>
          </cell>
          <cell r="B1354" t="str">
            <v>Heuchera rubescens var. alpicola E599 CA San Bernardino</v>
          </cell>
        </row>
        <row r="1355">
          <cell r="A1355" t="str">
            <v>E600</v>
          </cell>
          <cell r="B1355" t="str">
            <v>Heuchera rubescens var. alpicola E600 CA San Bernardino</v>
          </cell>
        </row>
        <row r="1356">
          <cell r="A1356" t="str">
            <v>E601</v>
          </cell>
          <cell r="B1356" t="str">
            <v>Heuchera versicolor E601 NM Lincoln</v>
          </cell>
        </row>
        <row r="1357">
          <cell r="A1357" t="str">
            <v>E602</v>
          </cell>
          <cell r="B1357" t="str">
            <v>Heuchera rubescens var. rubescens E602 NV Clark</v>
          </cell>
        </row>
        <row r="1358">
          <cell r="A1358" t="str">
            <v>E603</v>
          </cell>
          <cell r="B1358" t="str">
            <v>Heuchera rubescens var. alpicola E603 NV Clark</v>
          </cell>
        </row>
        <row r="1359">
          <cell r="A1359" t="str">
            <v>E604</v>
          </cell>
          <cell r="B1359" t="str">
            <v>Heuchera rubescens var. alpicola E604 NV Douglas</v>
          </cell>
        </row>
        <row r="1360">
          <cell r="A1360" t="str">
            <v>E605</v>
          </cell>
          <cell r="B1360" t="str">
            <v>Heuchera rubescens var. rubescens E605 NV Humboldt</v>
          </cell>
        </row>
        <row r="1361">
          <cell r="A1361" t="str">
            <v>E606</v>
          </cell>
          <cell r="B1361" t="str">
            <v>Heuchera rubescens var. rubescens E606 NV Washoe</v>
          </cell>
        </row>
        <row r="1362">
          <cell r="A1362" t="str">
            <v>E607</v>
          </cell>
          <cell r="B1362" t="str">
            <v>Heuchera rubescens var. rubescens E607 NV White Pine</v>
          </cell>
        </row>
        <row r="1363">
          <cell r="A1363" t="str">
            <v>E608</v>
          </cell>
          <cell r="B1363" t="str">
            <v>Heuchera rubescens var. rubescens E608 OR Harney</v>
          </cell>
        </row>
        <row r="1364">
          <cell r="A1364" t="str">
            <v>E609</v>
          </cell>
          <cell r="B1364" t="str">
            <v>Heuchera rubescens var. rubescens E609 UT Box Elder</v>
          </cell>
        </row>
        <row r="1365">
          <cell r="A1365" t="str">
            <v>E610</v>
          </cell>
          <cell r="B1365" t="str">
            <v>Heuchera versicolor E610 UT Kane</v>
          </cell>
        </row>
        <row r="1366">
          <cell r="A1366" t="str">
            <v>E611</v>
          </cell>
          <cell r="B1366" t="str">
            <v>Heuchera rubescens var. rubescens E611 UT Salt Lake</v>
          </cell>
        </row>
        <row r="1367">
          <cell r="A1367" t="str">
            <v>E612</v>
          </cell>
          <cell r="B1367" t="str">
            <v>Heuchera versicolor E612 UT San Juan</v>
          </cell>
        </row>
        <row r="1368">
          <cell r="A1368" t="str">
            <v>E613</v>
          </cell>
          <cell r="B1368" t="str">
            <v>Heuchera sanguinea E613 UT Washington</v>
          </cell>
        </row>
        <row r="1369">
          <cell r="A1369" t="str">
            <v>E614</v>
          </cell>
          <cell r="B1369" t="str">
            <v>Heuchera sanguinea E614 AZ Cochise</v>
          </cell>
        </row>
        <row r="1370">
          <cell r="A1370" t="str">
            <v>E615</v>
          </cell>
          <cell r="B1370" t="str">
            <v>Heuchera sanguinea E615 AZ Pima</v>
          </cell>
        </row>
        <row r="1371">
          <cell r="A1371" t="str">
            <v>E616</v>
          </cell>
          <cell r="B1371" t="str">
            <v>Heuchera sanguinea E616 AZ Santa Cruz</v>
          </cell>
        </row>
        <row r="1372">
          <cell r="A1372" t="str">
            <v>E617</v>
          </cell>
          <cell r="B1372" t="str">
            <v>Heuchera sanguinea E617 AZ Santa Cruz</v>
          </cell>
        </row>
        <row r="1373">
          <cell r="A1373" t="str">
            <v>E618</v>
          </cell>
          <cell r="B1373" t="str">
            <v>Heuchera villosa var. arkansana E618 AR Washington</v>
          </cell>
        </row>
        <row r="1374">
          <cell r="A1374" t="str">
            <v>E619</v>
          </cell>
          <cell r="B1374" t="str">
            <v>Heuchera villosa var. macrorhiza E619 TN Knox</v>
          </cell>
        </row>
        <row r="1375">
          <cell r="A1375" t="str">
            <v>E620</v>
          </cell>
          <cell r="B1375" t="str">
            <v>Heuchera villosa var. villosa E620 NC Henderson</v>
          </cell>
        </row>
        <row r="1376">
          <cell r="A1376" t="str">
            <v>E621</v>
          </cell>
          <cell r="B1376" t="str">
            <v>Heuchera villosa var. villosa E621 GA Raburn</v>
          </cell>
        </row>
        <row r="1377">
          <cell r="A1377" t="str">
            <v>E622</v>
          </cell>
          <cell r="B1377" t="str">
            <v>Heuchera villosa var. macrorhiza E622 KY Madison</v>
          </cell>
        </row>
        <row r="1378">
          <cell r="A1378" t="str">
            <v>E623</v>
          </cell>
          <cell r="B1378" t="str">
            <v>Heuchera villosa var. villosa E623 NC Alleghany</v>
          </cell>
        </row>
        <row r="1379">
          <cell r="A1379" t="str">
            <v>E624</v>
          </cell>
          <cell r="B1379" t="str">
            <v>Heuchera villosa var. villosa E624 NC Macon</v>
          </cell>
        </row>
        <row r="1380">
          <cell r="A1380" t="str">
            <v>E625</v>
          </cell>
          <cell r="B1380" t="str">
            <v>Heuchera villosa var. villosa E625 SC Greenville</v>
          </cell>
        </row>
        <row r="1381">
          <cell r="A1381" t="str">
            <v>E626</v>
          </cell>
          <cell r="B1381" t="str">
            <v>Heuchera villosa var. villosa E626 TN Blount</v>
          </cell>
        </row>
        <row r="1382">
          <cell r="A1382" t="str">
            <v>E627</v>
          </cell>
          <cell r="B1382" t="str">
            <v>Heuchera villosa var. macrorhiza E627 TN Cheatham</v>
          </cell>
        </row>
        <row r="1383">
          <cell r="A1383" t="str">
            <v>E628</v>
          </cell>
          <cell r="B1383" t="str">
            <v>Heuchera villosa var. macrorhiza E628 TN Clay</v>
          </cell>
        </row>
        <row r="1384">
          <cell r="A1384" t="str">
            <v>E630</v>
          </cell>
          <cell r="B1384" t="str">
            <v>Heuchera wootonii E630 NM Otero</v>
          </cell>
        </row>
        <row r="1385">
          <cell r="A1385" t="str">
            <v>E631</v>
          </cell>
          <cell r="B1385" t="str">
            <v>Heuchera elegans E631 CA Los Angeles</v>
          </cell>
        </row>
        <row r="1386">
          <cell r="A1386" t="str">
            <v>E632</v>
          </cell>
          <cell r="B1386" t="str">
            <v>Heuchera chlorantha E632 OR Yamhill</v>
          </cell>
        </row>
        <row r="1387">
          <cell r="A1387" t="str">
            <v>E633</v>
          </cell>
          <cell r="B1387" t="str">
            <v>Heuchera grossulariifolia var. grossulariifolia E633 ID Valley</v>
          </cell>
        </row>
        <row r="1388">
          <cell r="A1388" t="str">
            <v>E634</v>
          </cell>
          <cell r="B1388" t="str">
            <v>Heuchera grossulariifolia var. grossulariifolia E634 ID Adams</v>
          </cell>
        </row>
        <row r="1389">
          <cell r="A1389" t="str">
            <v>E635</v>
          </cell>
          <cell r="B1389" t="str">
            <v>Heuchera parvifolia E635 CO Jefferson</v>
          </cell>
        </row>
        <row r="1390">
          <cell r="A1390" t="str">
            <v>E636</v>
          </cell>
          <cell r="B1390" t="str">
            <v>Heuchera pilosissima E636 CA Mendocino</v>
          </cell>
        </row>
        <row r="1391">
          <cell r="A1391" t="str">
            <v>E637</v>
          </cell>
          <cell r="B1391" t="str">
            <v>Heuchera pulchella E637 NM Bernalillo</v>
          </cell>
        </row>
        <row r="1392">
          <cell r="A1392" t="str">
            <v>E638</v>
          </cell>
          <cell r="B1392" t="str">
            <v>Elmera racemosa E638 CO Lewis</v>
          </cell>
        </row>
        <row r="1393">
          <cell r="A1393" t="str">
            <v>E639</v>
          </cell>
          <cell r="B1393" t="str">
            <v>RICHARDSONII</v>
          </cell>
        </row>
        <row r="1394">
          <cell r="A1394" t="str">
            <v>E640</v>
          </cell>
          <cell r="B1394" t="str">
            <v>GRAYANA</v>
          </cell>
        </row>
        <row r="1395">
          <cell r="A1395" t="str">
            <v>E641</v>
          </cell>
          <cell r="B1395" t="str">
            <v>RICHARDSONII</v>
          </cell>
        </row>
        <row r="1396">
          <cell r="A1396" t="str">
            <v>E642</v>
          </cell>
          <cell r="B1396" t="str">
            <v>Heuchera cylindrica var. saxicola E642 MT Silver Bow</v>
          </cell>
        </row>
        <row r="1397">
          <cell r="A1397" t="str">
            <v>E643</v>
          </cell>
          <cell r="B1397" t="str">
            <v>Heuchera lakelae E643 Coahuila Arteaga</v>
          </cell>
        </row>
        <row r="1398">
          <cell r="A1398" t="str">
            <v>E644</v>
          </cell>
          <cell r="B1398" t="str">
            <v>Heuchera folkii E644 Coahuila Arteaga</v>
          </cell>
        </row>
        <row r="1399">
          <cell r="A1399" t="str">
            <v>E645</v>
          </cell>
          <cell r="B1399" t="str">
            <v>Heuchera lakelae E645 Coahuila Arteaga</v>
          </cell>
        </row>
        <row r="1400">
          <cell r="A1400" t="str">
            <v>E646</v>
          </cell>
          <cell r="B1400" t="str">
            <v>Heuchera lakelae E646 Coahuila Arteaga</v>
          </cell>
        </row>
        <row r="1401">
          <cell r="A1401" t="str">
            <v>E647</v>
          </cell>
          <cell r="B1401" t="str">
            <v>Heuchera folkii E647 Coahuila</v>
          </cell>
        </row>
        <row r="1402">
          <cell r="A1402" t="str">
            <v>E648</v>
          </cell>
          <cell r="B1402" t="str">
            <v>Heuchera lakelae E648 Coahuila Arteaga</v>
          </cell>
        </row>
        <row r="1403">
          <cell r="A1403" t="str">
            <v>E649</v>
          </cell>
          <cell r="B1403" t="str">
            <v>Heuchera lakelae E649 Nuevo Leon</v>
          </cell>
        </row>
        <row r="1404">
          <cell r="A1404" t="str">
            <v>E650</v>
          </cell>
          <cell r="B1404" t="str">
            <v>Heuchera folkii E650 Coahuila Arteaga</v>
          </cell>
        </row>
        <row r="1405">
          <cell r="A1405" t="str">
            <v>E651</v>
          </cell>
          <cell r="B1405" t="str">
            <v>Heuchera acutifolia E651 Hidalgo Mineral del Chico</v>
          </cell>
        </row>
        <row r="1406">
          <cell r="A1406" t="str">
            <v>E652</v>
          </cell>
          <cell r="B1406" t="str">
            <v>Heuchera acutifolia E652 Puebla Zaragoza</v>
          </cell>
        </row>
        <row r="1407">
          <cell r="A1407" t="str">
            <v>E653</v>
          </cell>
          <cell r="B1407" t="str">
            <v>Heuchera longipetala var. longipetala E653 Estado de Mexico</v>
          </cell>
        </row>
        <row r="1408">
          <cell r="A1408" t="str">
            <v>E654</v>
          </cell>
          <cell r="B1408" t="str">
            <v>Heuchera longipetala var. longipetala E654 Michoacan Patzcuaro</v>
          </cell>
        </row>
        <row r="1409">
          <cell r="A1409" t="str">
            <v>E655</v>
          </cell>
          <cell r="B1409" t="str">
            <v>Heuchera longipetala var. longipetala E655 Cuernavaca Cuernavaca, Morelos.</v>
          </cell>
        </row>
        <row r="1410">
          <cell r="A1410" t="str">
            <v>E656</v>
          </cell>
          <cell r="B1410" t="str">
            <v>Heuchera longipetala var. longipetala E656 Estado de Mexico</v>
          </cell>
        </row>
        <row r="1411">
          <cell r="A1411" t="str">
            <v>E657</v>
          </cell>
          <cell r="B1411" t="str">
            <v>Heuchera longipetala var. longipetala E657 KY Monroe</v>
          </cell>
        </row>
        <row r="1412">
          <cell r="A1412" t="str">
            <v>E658</v>
          </cell>
          <cell r="B1412" t="str">
            <v>Heuchera longipetala var. longipetala E658</v>
          </cell>
        </row>
        <row r="1413">
          <cell r="A1413" t="str">
            <v>E659</v>
          </cell>
          <cell r="B1413" t="str">
            <v>Heuchera longipetala var. longipetala E659 Oaxaca</v>
          </cell>
        </row>
        <row r="1414">
          <cell r="A1414" t="str">
            <v>E660</v>
          </cell>
          <cell r="B1414" t="str">
            <v>Heuchera longipetala var. longipetala E660</v>
          </cell>
        </row>
        <row r="1415">
          <cell r="A1415" t="str">
            <v>E661</v>
          </cell>
          <cell r="B1415" t="str">
            <v>Heuchera longipetala var. longipetala E661 Oaxaca</v>
          </cell>
        </row>
        <row r="1416">
          <cell r="A1416" t="str">
            <v>E662</v>
          </cell>
          <cell r="B1416" t="str">
            <v>Heuchera longipetala var. nudicaulis E662 Hidalgo</v>
          </cell>
        </row>
        <row r="1417">
          <cell r="A1417" t="str">
            <v>E663</v>
          </cell>
          <cell r="B1417" t="str">
            <v>Heuchera longipetala var. nudicaulis E663</v>
          </cell>
        </row>
        <row r="1418">
          <cell r="A1418" t="str">
            <v>E664</v>
          </cell>
          <cell r="B1418" t="str">
            <v>Heuchera longipetala var. orizabensis E664 Oaxaca</v>
          </cell>
        </row>
        <row r="1419">
          <cell r="A1419" t="str">
            <v>E665</v>
          </cell>
          <cell r="B1419" t="str">
            <v>Heuchera longipetala var. orizabensis E665 Michoacan Uruapan</v>
          </cell>
        </row>
        <row r="1420">
          <cell r="A1420" t="str">
            <v>E666</v>
          </cell>
          <cell r="B1420" t="str">
            <v>Heuchera longipetala var. orizabensis E666 Estado de Mexico Amecameca</v>
          </cell>
        </row>
        <row r="1421">
          <cell r="A1421" t="str">
            <v>E667</v>
          </cell>
          <cell r="B1421" t="str">
            <v>Heuchera longipetala var. orizabensis E667 Hidalgo Mineral del Chico</v>
          </cell>
        </row>
        <row r="1422">
          <cell r="A1422" t="str">
            <v>E668</v>
          </cell>
          <cell r="B1422" t="str">
            <v>Heuchera mexicana var. mexicana E668 Chihuahua</v>
          </cell>
        </row>
        <row r="1423">
          <cell r="A1423" t="str">
            <v>E669</v>
          </cell>
          <cell r="B1423" t="str">
            <v>Heuchera mexicana var. mexicana E669 Chihuahua</v>
          </cell>
        </row>
        <row r="1424">
          <cell r="A1424" t="str">
            <v>E670</v>
          </cell>
          <cell r="B1424" t="str">
            <v>Heuchera mexicana var. mexicana E670 Chihuahua Guadalupe y Calvo</v>
          </cell>
        </row>
        <row r="1425">
          <cell r="A1425" t="str">
            <v>E671</v>
          </cell>
          <cell r="B1425" t="str">
            <v>Heuchera mexicana var. mexicana E671 Coahuila Rincón de María</v>
          </cell>
        </row>
        <row r="1426">
          <cell r="A1426" t="str">
            <v>E672</v>
          </cell>
          <cell r="B1426" t="str">
            <v>Heuchera mexicana var. mexicana E672 Coahuila General Cepeda</v>
          </cell>
        </row>
        <row r="1427">
          <cell r="A1427" t="str">
            <v>E673</v>
          </cell>
          <cell r="B1427" t="str">
            <v>Heuchera mexicana var. mexicana E673</v>
          </cell>
        </row>
        <row r="1428">
          <cell r="A1428" t="str">
            <v>E674</v>
          </cell>
          <cell r="B1428" t="str">
            <v>Heuchera mexicana var. mexicana E674 Coahuila</v>
          </cell>
        </row>
        <row r="1429">
          <cell r="A1429" t="str">
            <v>E675</v>
          </cell>
          <cell r="B1429" t="str">
            <v>Heuchera mexicana var. mexicana E675 Coahuila Canyon Hundido</v>
          </cell>
        </row>
        <row r="1430">
          <cell r="A1430" t="str">
            <v>E676</v>
          </cell>
          <cell r="B1430" t="str">
            <v>Heuchera mexicana var. mexicana E676 Coahuila Sa. de la Madera</v>
          </cell>
        </row>
        <row r="1431">
          <cell r="A1431" t="str">
            <v>E677</v>
          </cell>
          <cell r="B1431" t="str">
            <v>Heuchera mexicana var. mexicana E677 Coahuila Monclova</v>
          </cell>
        </row>
        <row r="1432">
          <cell r="A1432" t="str">
            <v>E678</v>
          </cell>
          <cell r="B1432" t="str">
            <v>Heuchera mexicana var. mexicana E678 Coahuila</v>
          </cell>
        </row>
        <row r="1433">
          <cell r="A1433" t="str">
            <v>E679</v>
          </cell>
          <cell r="B1433" t="str">
            <v>Heuchera mexicana var. mexicana E679 Nuevo Leon Galeana</v>
          </cell>
        </row>
        <row r="1434">
          <cell r="A1434" t="str">
            <v>E680</v>
          </cell>
          <cell r="B1434" t="str">
            <v>Heuchera mexicana var. mexicana E680 Nuevo Leon</v>
          </cell>
        </row>
        <row r="1435">
          <cell r="A1435" t="str">
            <v>E681</v>
          </cell>
          <cell r="B1435" t="str">
            <v>Heuchera mexicana var. mexicana E681 Nuevo Leon</v>
          </cell>
        </row>
        <row r="1436">
          <cell r="A1436" t="str">
            <v>E682</v>
          </cell>
          <cell r="B1436" t="str">
            <v>Heuchera mexicana var. mexicana E682</v>
          </cell>
        </row>
        <row r="1437">
          <cell r="A1437" t="str">
            <v>E683</v>
          </cell>
          <cell r="B1437" t="str">
            <v>Heuchera mexicana var. mexicana E683 Nuevo Leon General Zaragoza</v>
          </cell>
        </row>
        <row r="1438">
          <cell r="A1438" t="str">
            <v>E684</v>
          </cell>
          <cell r="B1438" t="str">
            <v>Heuchera mexicana var. mexicana E684 Nuevo Leon Aramberri</v>
          </cell>
        </row>
        <row r="1439">
          <cell r="A1439" t="str">
            <v>E685</v>
          </cell>
          <cell r="B1439" t="str">
            <v>Heuchera mexicana var. mexicana E685 Nuevo Leon Iturbide</v>
          </cell>
        </row>
        <row r="1440">
          <cell r="A1440" t="str">
            <v>E686</v>
          </cell>
          <cell r="B1440" t="str">
            <v>Heuchera mexicana var. mexicana E686 Nuevo Leon General Zaragoza</v>
          </cell>
        </row>
        <row r="1441">
          <cell r="A1441" t="str">
            <v>E687</v>
          </cell>
          <cell r="B1441" t="str">
            <v>Heuchera mexicana var. mexicana E687 Nuevo Leon General Zaragoza</v>
          </cell>
        </row>
        <row r="1442">
          <cell r="A1442" t="str">
            <v>E688</v>
          </cell>
          <cell r="B1442" t="str">
            <v>Heuchera mexicana var. mexicana E688 Nuevo Leon Rayones</v>
          </cell>
        </row>
        <row r="1443">
          <cell r="A1443" t="str">
            <v>E689</v>
          </cell>
          <cell r="B1443" t="str">
            <v>Heuchera mexicana var. mexicana E689 Sonora Yecora</v>
          </cell>
        </row>
        <row r="1444">
          <cell r="A1444" t="str">
            <v>E690</v>
          </cell>
          <cell r="B1444" t="str">
            <v>Heuchera mexicana var. mexicana E690 Chihuahua</v>
          </cell>
        </row>
        <row r="1445">
          <cell r="A1445" t="str">
            <v>E691</v>
          </cell>
          <cell r="B1445" t="str">
            <v>Heuchera mexicana var. mexicana E691 Chihuahua</v>
          </cell>
        </row>
        <row r="1446">
          <cell r="A1446" t="str">
            <v>E692</v>
          </cell>
          <cell r="B1446" t="str">
            <v>Heuchera mexicana var. mexicana E692 Nuevo Leon General Zaragoza</v>
          </cell>
        </row>
        <row r="1447">
          <cell r="A1447" t="str">
            <v>E693</v>
          </cell>
          <cell r="B1447" t="str">
            <v>Heuchera mexicana var. mexicana E693 Nuevo Leon General Zaragoza</v>
          </cell>
        </row>
        <row r="1448">
          <cell r="A1448" t="str">
            <v>E694</v>
          </cell>
          <cell r="B1448" t="str">
            <v>Heuchera mexicana var. mexicana E694 Nuevo Leon Villaldama</v>
          </cell>
        </row>
        <row r="1449">
          <cell r="A1449" t="str">
            <v>E695</v>
          </cell>
          <cell r="B1449" t="str">
            <v>Heuchera mexicana var. mexicana E695</v>
          </cell>
        </row>
        <row r="1450">
          <cell r="A1450" t="str">
            <v>E696</v>
          </cell>
          <cell r="B1450" t="str">
            <v>Heuchera mexicana var. mexicana E696 Tamaulipas Hidalgo</v>
          </cell>
        </row>
        <row r="1451">
          <cell r="A1451" t="str">
            <v>E697</v>
          </cell>
          <cell r="B1451" t="str">
            <v>Heuchera mexicana var. mexicana E697 Tamaulipas Hidalgo</v>
          </cell>
        </row>
        <row r="1452">
          <cell r="A1452" t="str">
            <v>E698</v>
          </cell>
          <cell r="B1452" t="str">
            <v>Heuchera mexicana var. mexicana E698 Tamaulipas San Carlos</v>
          </cell>
        </row>
        <row r="1453">
          <cell r="A1453" t="str">
            <v>E699</v>
          </cell>
          <cell r="B1453" t="str">
            <v>Heuchera mexicana var. mexicana E699 Tamaulipas</v>
          </cell>
        </row>
        <row r="1454">
          <cell r="A1454" t="str">
            <v>E700</v>
          </cell>
          <cell r="B1454" t="str">
            <v>Heuchera mexicana var. mexicana E700 Tamaulipas Hidalgo</v>
          </cell>
        </row>
        <row r="1455">
          <cell r="A1455" t="str">
            <v>E701</v>
          </cell>
          <cell r="B1455" t="str">
            <v>Heuchera mexicana var. mexicana E701 Tamaulipas Hidalgo</v>
          </cell>
        </row>
        <row r="1456">
          <cell r="A1456" t="str">
            <v>E702</v>
          </cell>
          <cell r="B1456" t="str">
            <v>Heuchera mexicana var. mexicana E702 Durango</v>
          </cell>
        </row>
        <row r="1457">
          <cell r="A1457" t="str">
            <v>E703</v>
          </cell>
          <cell r="B1457" t="str">
            <v>Heuchera mexicana var. mexicana E703 Durango</v>
          </cell>
        </row>
        <row r="1458">
          <cell r="A1458" t="str">
            <v>E704</v>
          </cell>
          <cell r="B1458" t="str">
            <v>Heuchera mexicana var. mexicana E704 Durango Suchil</v>
          </cell>
        </row>
        <row r="1459">
          <cell r="A1459" t="str">
            <v>E705</v>
          </cell>
          <cell r="B1459" t="str">
            <v>Heuchera mexicana var. mexicana E705</v>
          </cell>
        </row>
        <row r="1460">
          <cell r="A1460" t="str">
            <v>E706</v>
          </cell>
          <cell r="B1460" t="str">
            <v>Heuchera mexicana var. mexicana E706 Durango Santiago Papasquiaro</v>
          </cell>
        </row>
        <row r="1461">
          <cell r="A1461" t="str">
            <v>E707</v>
          </cell>
          <cell r="B1461" t="str">
            <v>Heuchera mexicana var. mexicana E707</v>
          </cell>
        </row>
        <row r="1462">
          <cell r="A1462" t="str">
            <v>E708</v>
          </cell>
          <cell r="B1462" t="str">
            <v>Heuchera mexicana var. mexicana E708 San Luis Potosi</v>
          </cell>
        </row>
        <row r="1463">
          <cell r="A1463" t="str">
            <v>E709</v>
          </cell>
          <cell r="B1463" t="str">
            <v>Heuchera mexicana var. mexicana E709 Zacatecas</v>
          </cell>
        </row>
        <row r="1464">
          <cell r="A1464" t="str">
            <v>E710</v>
          </cell>
          <cell r="B1464" t="str">
            <v>Heuchera mexicana var. mexicana E710 Jalisco Tequila</v>
          </cell>
        </row>
        <row r="1465">
          <cell r="A1465" t="str">
            <v>E711</v>
          </cell>
          <cell r="B1465" t="str">
            <v>Heuchera mexicana var. mexicana E711 Jalisco Tequila</v>
          </cell>
        </row>
        <row r="1466">
          <cell r="A1466" t="str">
            <v>E712</v>
          </cell>
          <cell r="B1466" t="str">
            <v>Heuchera mexicana var. mexicana E712 Jalisco Tequila</v>
          </cell>
        </row>
        <row r="1467">
          <cell r="A1467" t="str">
            <v>E713</v>
          </cell>
          <cell r="B1467" t="str">
            <v>Heuchera mexicana var. mexicana E713</v>
          </cell>
        </row>
        <row r="1468">
          <cell r="A1468" t="str">
            <v>E714</v>
          </cell>
          <cell r="B1468" t="str">
            <v>Heuchera mexicana var. mexicana E714 Michoacan Los Reyes</v>
          </cell>
        </row>
        <row r="1469">
          <cell r="A1469" t="str">
            <v>E715</v>
          </cell>
          <cell r="B1469" t="str">
            <v>Heuchera mexicana var. mexicana E715</v>
          </cell>
        </row>
        <row r="1470">
          <cell r="A1470" t="str">
            <v>E716</v>
          </cell>
          <cell r="B1470" t="str">
            <v>Heuchera mexicana var. mexicana E716 Tlaxcala</v>
          </cell>
        </row>
        <row r="1471">
          <cell r="A1471" t="str">
            <v>E717</v>
          </cell>
          <cell r="B1471" t="str">
            <v>Heuchera mexicana var. potosiensis E717 Nuevo Leon</v>
          </cell>
        </row>
        <row r="1472">
          <cell r="A1472" t="str">
            <v>E718</v>
          </cell>
          <cell r="B1472" t="str">
            <v>Heuchera mexicana var. potosiensis E718 Nuevo Leon</v>
          </cell>
        </row>
        <row r="1473">
          <cell r="A1473" t="str">
            <v>E719</v>
          </cell>
          <cell r="B1473" t="str">
            <v>Heuchera mexicana var. potosiensis E719 Nuevo Leon Galeana</v>
          </cell>
        </row>
        <row r="1474">
          <cell r="A1474" t="str">
            <v>E720</v>
          </cell>
          <cell r="B1474" t="str">
            <v>Heuchera mexicana var. potosiensis E720</v>
          </cell>
        </row>
        <row r="1475">
          <cell r="A1475" t="str">
            <v>E721</v>
          </cell>
          <cell r="B1475" t="str">
            <v>Heuchera mexicana var. potosiensis E721 Nuevo Leon Galeana</v>
          </cell>
        </row>
        <row r="1476">
          <cell r="A1476" t="str">
            <v>E722</v>
          </cell>
          <cell r="B1476" t="str">
            <v>Heuchera mexicana var. potosiensis E722 Nuevo Leon</v>
          </cell>
        </row>
        <row r="1477">
          <cell r="A1477" t="str">
            <v>E723</v>
          </cell>
          <cell r="B1477" t="str">
            <v>Heuchera mexicana var. potosiensis E723 Nuevo Leon Ca Galeana</v>
          </cell>
        </row>
        <row r="1478">
          <cell r="A1478" t="str">
            <v>E724</v>
          </cell>
          <cell r="B1478" t="str">
            <v>Heuchera mexicana var. potosiensis E724 Nuevo Leon Galeana</v>
          </cell>
        </row>
        <row r="1479">
          <cell r="A1479" t="str">
            <v>E725</v>
          </cell>
          <cell r="B1479" t="str">
            <v>Heuchera mexicana var. potosiensis E725 Nuevo Leon Galeana</v>
          </cell>
        </row>
        <row r="1480">
          <cell r="A1480" t="str">
            <v>E726</v>
          </cell>
          <cell r="B1480" t="str">
            <v>Heuchera mexicana var. potosiensis E726 Nuevo Leon Galeana</v>
          </cell>
        </row>
        <row r="1481">
          <cell r="A1481" t="str">
            <v>E727</v>
          </cell>
          <cell r="B1481" t="str">
            <v>Heuchera mexicana var. potosiensis E727 Nuevo Leon</v>
          </cell>
        </row>
        <row r="1482">
          <cell r="A1482" t="str">
            <v>E728</v>
          </cell>
          <cell r="B1482" t="str">
            <v>Heuchera mexicana var. potosiensis E728 Nuevo Leon Galeana</v>
          </cell>
        </row>
        <row r="1483">
          <cell r="A1483" t="str">
            <v>E729</v>
          </cell>
          <cell r="B1483" t="str">
            <v>Heuchera mexicana var. potosiensis E729 Nuevo Leon</v>
          </cell>
        </row>
        <row r="1484">
          <cell r="A1484" t="str">
            <v>E730</v>
          </cell>
          <cell r="B1484" t="str">
            <v>Heuchera mexicana var. potosiensis E730 Nuevo Leon</v>
          </cell>
        </row>
        <row r="1485">
          <cell r="A1485" t="str">
            <v>E731</v>
          </cell>
          <cell r="B1485" t="str">
            <v>Heuchera mexicana var. potosiensis E731 Nuevo Leon General Zaragoza</v>
          </cell>
        </row>
        <row r="1486">
          <cell r="A1486" t="str">
            <v>E732</v>
          </cell>
          <cell r="B1486" t="str">
            <v>Heuchera mexicana var. potosiensis E732 Nuevo Leon</v>
          </cell>
        </row>
        <row r="1487">
          <cell r="A1487" t="str">
            <v>E733</v>
          </cell>
          <cell r="B1487" t="str">
            <v>Heuchera mexicana var. potosiensis E733 Nuevo Leon</v>
          </cell>
        </row>
        <row r="1488">
          <cell r="A1488" t="str">
            <v>E734</v>
          </cell>
          <cell r="B1488" t="str">
            <v>Heuchera mexicana var. potosiensis E734 Nuevo Leon</v>
          </cell>
        </row>
        <row r="1489">
          <cell r="A1489" t="str">
            <v>E735</v>
          </cell>
          <cell r="B1489" t="str">
            <v>Heuchera versicolor E735 Coahuila</v>
          </cell>
        </row>
        <row r="1490">
          <cell r="A1490" t="str">
            <v>E736</v>
          </cell>
          <cell r="B1490" t="str">
            <v>Heuchera versicolor E736 Coahuila</v>
          </cell>
        </row>
        <row r="1491">
          <cell r="A1491" t="str">
            <v>E737</v>
          </cell>
          <cell r="B1491" t="str">
            <v>Heuchera versicolor E737 Chihuahua</v>
          </cell>
        </row>
        <row r="1492">
          <cell r="A1492" t="str">
            <v>E738</v>
          </cell>
          <cell r="B1492" t="str">
            <v>Heuchera versicolor E738 Chihuahua</v>
          </cell>
        </row>
        <row r="1493">
          <cell r="A1493" t="str">
            <v>E739</v>
          </cell>
          <cell r="B1493" t="str">
            <v>Heuchera versicolor E739 Chihuahua</v>
          </cell>
        </row>
        <row r="1494">
          <cell r="A1494" t="str">
            <v>E740</v>
          </cell>
          <cell r="B1494" t="str">
            <v>Heuchera versicolor E740 Coahuila</v>
          </cell>
        </row>
        <row r="1495">
          <cell r="A1495" t="str">
            <v>E741</v>
          </cell>
          <cell r="B1495" t="str">
            <v>Heuchera versicolor E741 Coahuila</v>
          </cell>
        </row>
        <row r="1496">
          <cell r="A1496" t="str">
            <v>E742</v>
          </cell>
          <cell r="B1496" t="str">
            <v>Heuchera versicolor E742 Coahuila Ocampo</v>
          </cell>
        </row>
        <row r="1497">
          <cell r="A1497" t="str">
            <v>E743</v>
          </cell>
          <cell r="B1497" t="str">
            <v>Heuchera folkii E743 Coahuila Sierra Coahuilon</v>
          </cell>
        </row>
        <row r="1498">
          <cell r="A1498" t="str">
            <v>E744</v>
          </cell>
          <cell r="B1498" t="str">
            <v>Heuchera sanguinea E744 Chihuahua Temosachic</v>
          </cell>
        </row>
        <row r="1499">
          <cell r="A1499" t="str">
            <v>E745</v>
          </cell>
          <cell r="B1499" t="str">
            <v>Heuchera sanguinea E745 Chihuahua</v>
          </cell>
        </row>
        <row r="1500">
          <cell r="A1500" t="str">
            <v>E746</v>
          </cell>
          <cell r="B1500" t="str">
            <v>Heuchera sanguinea E746 Chihuahua</v>
          </cell>
        </row>
        <row r="1501">
          <cell r="A1501" t="str">
            <v>E747</v>
          </cell>
          <cell r="B1501" t="str">
            <v>Heuchera sanguinea E747 Sonora</v>
          </cell>
        </row>
        <row r="1502">
          <cell r="A1502" t="str">
            <v>E748</v>
          </cell>
          <cell r="B1502" t="str">
            <v>Heuchera sanguinea E748 Sonora</v>
          </cell>
        </row>
        <row r="1503">
          <cell r="A1503" t="str">
            <v>E749</v>
          </cell>
          <cell r="B1503" t="str">
            <v>Heuchera sanguinea E749 Chihuahua</v>
          </cell>
        </row>
        <row r="1504">
          <cell r="A1504" t="str">
            <v>E750</v>
          </cell>
          <cell r="B1504" t="str">
            <v>Heuchera sanguinea E750 Chihuahua</v>
          </cell>
        </row>
        <row r="1505">
          <cell r="A1505" t="str">
            <v>E751</v>
          </cell>
          <cell r="B1505" t="str">
            <v>Heuchera folkii E751 Coahuila</v>
          </cell>
        </row>
        <row r="1506">
          <cell r="A1506" t="str">
            <v>E752</v>
          </cell>
          <cell r="B1506" t="str">
            <v>Heuchera folkii E752 Coahuila</v>
          </cell>
        </row>
        <row r="1507">
          <cell r="A1507" t="str">
            <v>E753</v>
          </cell>
          <cell r="B1507" t="str">
            <v>Heuchera folkii E753 Coahuila Arteaga</v>
          </cell>
        </row>
        <row r="1508">
          <cell r="A1508" t="str">
            <v>E754</v>
          </cell>
          <cell r="B1508" t="str">
            <v>Heuchera wellsiae E754 Durango Pueblo Nuevo</v>
          </cell>
        </row>
        <row r="1509">
          <cell r="A1509" t="str">
            <v>E755</v>
          </cell>
          <cell r="B1509" t="str">
            <v>Heuchera wellsiae E755 Durango</v>
          </cell>
        </row>
        <row r="1510">
          <cell r="A1510" t="str">
            <v>E756</v>
          </cell>
          <cell r="B1510" t="str">
            <v>Heuchera rosendahlii E756 Chihuahua Ocampo</v>
          </cell>
        </row>
        <row r="1511">
          <cell r="A1511" t="str">
            <v>I135</v>
          </cell>
          <cell r="B1511" t="str">
            <v>Heuchera villosa I135</v>
          </cell>
        </row>
        <row r="1512">
          <cell r="A1512" t="str">
            <v>rf202</v>
          </cell>
          <cell r="B1512" t="str">
            <v>Tanakaea radicans rf202</v>
          </cell>
        </row>
        <row r="1513">
          <cell r="A1513" t="str">
            <v>rf203</v>
          </cell>
          <cell r="B1513" t="str">
            <v>Saxifraga sendaica rf203</v>
          </cell>
        </row>
        <row r="1514">
          <cell r="A1514" t="str">
            <v>E1551</v>
          </cell>
          <cell r="B1514" t="str">
            <v>HISPIDA</v>
          </cell>
        </row>
        <row r="1515">
          <cell r="A1515" t="str">
            <v>E1552</v>
          </cell>
          <cell r="B1515" t="str">
            <v>HISPIDA</v>
          </cell>
        </row>
        <row r="1516">
          <cell r="A1516" t="str">
            <v>E1553</v>
          </cell>
          <cell r="B1516" t="str">
            <v>HISPIDA</v>
          </cell>
        </row>
        <row r="1517">
          <cell r="A1517" t="str">
            <v>E1554</v>
          </cell>
          <cell r="B1517" t="str">
            <v>HISPIDA</v>
          </cell>
        </row>
        <row r="1518">
          <cell r="A1518" t="str">
            <v>E1555</v>
          </cell>
          <cell r="B1518" t="str">
            <v>HISPIDA</v>
          </cell>
        </row>
        <row r="1519">
          <cell r="A1519" t="str">
            <v>E1556</v>
          </cell>
          <cell r="B1519" t="str">
            <v>HISPIDA</v>
          </cell>
        </row>
        <row r="1520">
          <cell r="A1520" t="str">
            <v>E1557</v>
          </cell>
          <cell r="B1520" t="str">
            <v>HISPIDA</v>
          </cell>
        </row>
        <row r="1521">
          <cell r="A1521" t="str">
            <v>E1558</v>
          </cell>
          <cell r="B1521" t="str">
            <v>HISPIDA</v>
          </cell>
        </row>
        <row r="1522">
          <cell r="A1522" t="str">
            <v>E1559</v>
          </cell>
          <cell r="B1522" t="str">
            <v>HISPIDA</v>
          </cell>
        </row>
        <row r="1523">
          <cell r="A1523" t="str">
            <v>E1560</v>
          </cell>
          <cell r="B1523" t="str">
            <v>HISPIDA</v>
          </cell>
        </row>
        <row r="1524">
          <cell r="A1524" t="str">
            <v>E1561</v>
          </cell>
          <cell r="B1524" t="str">
            <v>HISPIDA</v>
          </cell>
        </row>
        <row r="1525">
          <cell r="A1525" t="str">
            <v>E1562</v>
          </cell>
          <cell r="B1525" t="str">
            <v>HISPIDA</v>
          </cell>
        </row>
        <row r="1526">
          <cell r="A1526" t="str">
            <v>E1563</v>
          </cell>
          <cell r="B1526" t="str">
            <v>HISPIDA</v>
          </cell>
        </row>
        <row r="1527">
          <cell r="A1527" t="str">
            <v>E1564</v>
          </cell>
          <cell r="B1527" t="str">
            <v>HISPIDA</v>
          </cell>
        </row>
        <row r="1528">
          <cell r="A1528" t="str">
            <v>E1565</v>
          </cell>
          <cell r="B1528" t="str">
            <v>HISPIDA</v>
          </cell>
        </row>
        <row r="1529">
          <cell r="A1529" t="str">
            <v>E1566</v>
          </cell>
          <cell r="B1529" t="str">
            <v>HISPIDA</v>
          </cell>
        </row>
        <row r="1530">
          <cell r="A1530" t="str">
            <v>E1567</v>
          </cell>
          <cell r="B1530" t="str">
            <v>HISPIDA</v>
          </cell>
        </row>
        <row r="1531">
          <cell r="A1531" t="str">
            <v>E1568</v>
          </cell>
          <cell r="B1531" t="str">
            <v>HISPIDA</v>
          </cell>
        </row>
        <row r="1532">
          <cell r="A1532" t="str">
            <v>E1569</v>
          </cell>
          <cell r="B1532" t="str">
            <v>HISPIDA</v>
          </cell>
        </row>
        <row r="1533">
          <cell r="A1533" t="str">
            <v>E1570</v>
          </cell>
          <cell r="B1533" t="str">
            <v>HISPIDA</v>
          </cell>
        </row>
        <row r="1534">
          <cell r="A1534" t="str">
            <v>E1571</v>
          </cell>
          <cell r="B1534" t="str">
            <v>HISPIDA</v>
          </cell>
        </row>
        <row r="1535">
          <cell r="A1535" t="str">
            <v>E1572</v>
          </cell>
          <cell r="B1535" t="str">
            <v>HISPIDA</v>
          </cell>
        </row>
        <row r="1536">
          <cell r="A1536" t="str">
            <v>E1573</v>
          </cell>
          <cell r="B1536" t="str">
            <v>HISPIDA</v>
          </cell>
        </row>
        <row r="1537">
          <cell r="A1537" t="str">
            <v>E1574</v>
          </cell>
          <cell r="B1537" t="str">
            <v>HISPIDA</v>
          </cell>
        </row>
        <row r="1538">
          <cell r="A1538" t="str">
            <v>E1575</v>
          </cell>
          <cell r="B1538" t="str">
            <v>HISPIDA</v>
          </cell>
        </row>
        <row r="1539">
          <cell r="A1539" t="str">
            <v>E1576</v>
          </cell>
          <cell r="B1539" t="str">
            <v>HISPIDA</v>
          </cell>
        </row>
        <row r="1540">
          <cell r="A1540" t="str">
            <v>E1577</v>
          </cell>
          <cell r="B1540" t="str">
            <v>HISPIDA</v>
          </cell>
        </row>
        <row r="1541">
          <cell r="A1541" t="str">
            <v>E1578</v>
          </cell>
          <cell r="B1541" t="str">
            <v>CALYCOSA</v>
          </cell>
        </row>
        <row r="1542">
          <cell r="A1542" t="str">
            <v>E1579</v>
          </cell>
          <cell r="B1542" t="str">
            <v>CALYCOSA</v>
          </cell>
        </row>
        <row r="1543">
          <cell r="A1543" t="str">
            <v>E1580</v>
          </cell>
          <cell r="B1543" t="str">
            <v>HIRSUTICAULIS</v>
          </cell>
        </row>
        <row r="1544">
          <cell r="A1544" t="str">
            <v>E1581</v>
          </cell>
          <cell r="B1544" t="str">
            <v>CALYCOSA</v>
          </cell>
        </row>
        <row r="1545">
          <cell r="A1545" t="str">
            <v>E1582</v>
          </cell>
          <cell r="B1545" t="str">
            <v>Heuchera longiflora var. longiflora E1582 AL Clay</v>
          </cell>
        </row>
        <row r="1546">
          <cell r="A1546" t="str">
            <v>E1583</v>
          </cell>
          <cell r="B1546" t="str">
            <v>Heuchera longiflora var. longiflora E1583 AL Talladega</v>
          </cell>
        </row>
        <row r="1547">
          <cell r="A1547" t="str">
            <v>E1584</v>
          </cell>
          <cell r="B1547" t="str">
            <v>Heuchera longiflora var. longiflora E1584 KY Edmonson</v>
          </cell>
        </row>
        <row r="1548">
          <cell r="A1548" t="str">
            <v>E1585</v>
          </cell>
          <cell r="B1548" t="str">
            <v>Heuchera longiflora var. longiflora E1585 KY Harlan</v>
          </cell>
        </row>
        <row r="1549">
          <cell r="A1549" t="str">
            <v>E1586</v>
          </cell>
          <cell r="B1549" t="str">
            <v>Heuchera longiflora var. longiflora E1586 KY Letcher</v>
          </cell>
        </row>
        <row r="1550">
          <cell r="A1550" t="str">
            <v>E1587</v>
          </cell>
          <cell r="B1550" t="str">
            <v>Heuchera longiflora var. longiflora E1587 KY Pike</v>
          </cell>
        </row>
        <row r="1551">
          <cell r="A1551" t="str">
            <v>E1588</v>
          </cell>
          <cell r="B1551" t="str">
            <v>Heuchera longiflora var. aceroides E1588 TN Cocke</v>
          </cell>
        </row>
        <row r="1552">
          <cell r="A1552" t="str">
            <v>E1589</v>
          </cell>
          <cell r="B1552" t="str">
            <v>Heuchera longiflora var. longiflora E1589 WV McDowell</v>
          </cell>
        </row>
        <row r="1553">
          <cell r="A1553" t="str">
            <v>E1590</v>
          </cell>
          <cell r="B1553" t="str">
            <v>Heuchera longiflora var. longiflora E1590 WV Wyoming</v>
          </cell>
        </row>
        <row r="1554">
          <cell r="A1554" t="str">
            <v>E1591</v>
          </cell>
          <cell r="B1554" t="str">
            <v>Heuchera parviflora var. parviflora E1591 GA Bartow</v>
          </cell>
        </row>
        <row r="1555">
          <cell r="A1555" t="str">
            <v>E1592</v>
          </cell>
          <cell r="B1555" t="str">
            <v>Heuchera alba E1592 MD Allegany</v>
          </cell>
        </row>
        <row r="1556">
          <cell r="A1556" t="str">
            <v>E1593</v>
          </cell>
          <cell r="B1556" t="str">
            <v>Heuchera alba E1593 MD Allegany</v>
          </cell>
        </row>
        <row r="1557">
          <cell r="A1557" t="str">
            <v>E1594</v>
          </cell>
          <cell r="B1557" t="str">
            <v>Heuchera alba E1594 MD Washington</v>
          </cell>
        </row>
        <row r="1558">
          <cell r="A1558" t="str">
            <v>E1595</v>
          </cell>
          <cell r="B1558" t="str">
            <v>Heuchera alba E1595 MD Washington</v>
          </cell>
        </row>
        <row r="1559">
          <cell r="A1559" t="str">
            <v>E1596</v>
          </cell>
          <cell r="B1559" t="str">
            <v>Heuchera pubescens E1596 VA Bath</v>
          </cell>
        </row>
        <row r="1560">
          <cell r="A1560" t="str">
            <v>E1597</v>
          </cell>
          <cell r="B1560" t="str">
            <v>Heuchera alba E1597 VA Bath</v>
          </cell>
        </row>
        <row r="1561">
          <cell r="A1561" t="str">
            <v>E1598</v>
          </cell>
          <cell r="B1561" t="str">
            <v>Heuchera pubescens E1598 VA Craig</v>
          </cell>
        </row>
        <row r="1562">
          <cell r="A1562" t="str">
            <v>E1599</v>
          </cell>
          <cell r="B1562" t="str">
            <v>Heuchera pubescens E1599 VA Franklin</v>
          </cell>
        </row>
        <row r="1563">
          <cell r="A1563" t="str">
            <v>E1600</v>
          </cell>
          <cell r="B1563" t="str">
            <v>Heuchera pubescens E1600 VA Franklin</v>
          </cell>
        </row>
        <row r="1564">
          <cell r="A1564" t="str">
            <v>E1601</v>
          </cell>
          <cell r="B1564" t="str">
            <v>Heuchera pubescens E1601 VA Montgomery</v>
          </cell>
        </row>
        <row r="1565">
          <cell r="A1565" t="str">
            <v>E1602</v>
          </cell>
          <cell r="B1565" t="str">
            <v>Heuchera pubescens E1602 VA Patrick</v>
          </cell>
        </row>
        <row r="1566">
          <cell r="A1566" t="str">
            <v>E1603</v>
          </cell>
          <cell r="B1566" t="str">
            <v>Heuchera pubescens E1603 VA Patrick</v>
          </cell>
        </row>
        <row r="1567">
          <cell r="A1567" t="str">
            <v>E1604</v>
          </cell>
          <cell r="B1567" t="str">
            <v>Heuchera alba E1604 VA Rockingham</v>
          </cell>
        </row>
        <row r="1568">
          <cell r="A1568" t="str">
            <v>E1605</v>
          </cell>
          <cell r="B1568" t="str">
            <v>Heuchera alba E1605 VA Rockingham</v>
          </cell>
        </row>
        <row r="1569">
          <cell r="A1569" t="str">
            <v>E1606</v>
          </cell>
          <cell r="B1569" t="str">
            <v>Heuchera alba E1606 WV Grant</v>
          </cell>
        </row>
        <row r="1570">
          <cell r="A1570" t="str">
            <v>E1607</v>
          </cell>
          <cell r="B1570" t="str">
            <v>Heuchera alba E1607 WV Hampshire</v>
          </cell>
        </row>
        <row r="1571">
          <cell r="A1571" t="str">
            <v>E1608</v>
          </cell>
          <cell r="B1571" t="str">
            <v>Heuchera alba E1608 WV Hampshire</v>
          </cell>
        </row>
        <row r="1572">
          <cell r="A1572" t="str">
            <v>E1609</v>
          </cell>
          <cell r="B1572" t="str">
            <v>Heuchera alba E1609 WV Mineral</v>
          </cell>
        </row>
        <row r="1573">
          <cell r="A1573" t="str">
            <v>E1610</v>
          </cell>
          <cell r="B1573" t="str">
            <v>Heuchera alba E1610 WV Morgan</v>
          </cell>
        </row>
        <row r="1574">
          <cell r="A1574" t="str">
            <v>E1611</v>
          </cell>
          <cell r="B1574" t="str">
            <v>Heuchera alba E1611 WV Morgan</v>
          </cell>
        </row>
        <row r="1575">
          <cell r="A1575" t="str">
            <v>E1612</v>
          </cell>
          <cell r="B1575" t="str">
            <v>Heuchera alba E1612 WV Pendelton</v>
          </cell>
        </row>
        <row r="1576">
          <cell r="A1576" t="str">
            <v>E1613</v>
          </cell>
          <cell r="B1576" t="str">
            <v>Heuchera alba E1613 WV Pocahontas</v>
          </cell>
        </row>
        <row r="1577">
          <cell r="A1577" t="str">
            <v>E1614</v>
          </cell>
          <cell r="B1577" t="str">
            <v>Heuchera villosa var. arkansana E1614 AR Faulkner</v>
          </cell>
        </row>
        <row r="1578">
          <cell r="A1578" t="str">
            <v>E1615</v>
          </cell>
          <cell r="B1578" t="str">
            <v>Heuchera villosa var. arkansana E1615 AR Faulkner</v>
          </cell>
        </row>
        <row r="1579">
          <cell r="A1579" t="str">
            <v>E1616</v>
          </cell>
          <cell r="B1579" t="str">
            <v>Heuchera villosa var. arkansana E1616 AR Faulkner</v>
          </cell>
        </row>
        <row r="1580">
          <cell r="A1580" t="str">
            <v>E1617</v>
          </cell>
          <cell r="B1580" t="str">
            <v>Heuchera villosa var. arkansana E1617 AR Faulkner</v>
          </cell>
        </row>
        <row r="1581">
          <cell r="A1581" t="str">
            <v>E1618</v>
          </cell>
          <cell r="B1581" t="str">
            <v>Heuchera villosa var. arkansana E1618 AR Faulkner</v>
          </cell>
        </row>
        <row r="1582">
          <cell r="A1582" t="str">
            <v>E1619</v>
          </cell>
          <cell r="B1582" t="str">
            <v>Heuchera villosa var. arkansana E1619 AR Madison</v>
          </cell>
        </row>
        <row r="1583">
          <cell r="A1583" t="str">
            <v>E1620</v>
          </cell>
          <cell r="B1583" t="str">
            <v>Heuchera villosa var. arkansana E1620 AR Newton</v>
          </cell>
        </row>
        <row r="1584">
          <cell r="A1584" t="str">
            <v>E1621</v>
          </cell>
          <cell r="B1584" t="str">
            <v>Heuchera villosa var. arkansana E1621 AR Newton</v>
          </cell>
        </row>
        <row r="1585">
          <cell r="A1585" t="str">
            <v>E1622</v>
          </cell>
          <cell r="B1585" t="str">
            <v>Heuchera villosa var. arkansana E1622 AR Newton</v>
          </cell>
        </row>
        <row r="1586">
          <cell r="A1586" t="str">
            <v>E1623</v>
          </cell>
          <cell r="B1586" t="str">
            <v>Heuchera villosa var. arkansana E1623 AR Washington</v>
          </cell>
        </row>
        <row r="1587">
          <cell r="A1587" t="str">
            <v>E1624</v>
          </cell>
          <cell r="B1587" t="str">
            <v>Heuchera villosa var. arkansana E1624 AR Washington</v>
          </cell>
        </row>
        <row r="1588">
          <cell r="A1588" t="str">
            <v>E1625</v>
          </cell>
          <cell r="B1588" t="str">
            <v>Heuchera villosa var. villosa E1625 GA</v>
          </cell>
        </row>
        <row r="1589">
          <cell r="A1589" t="str">
            <v>E1626</v>
          </cell>
          <cell r="B1589" t="str">
            <v>Heuchera villosa var. villosa E1626 GA</v>
          </cell>
        </row>
        <row r="1590">
          <cell r="A1590" t="str">
            <v>E1627</v>
          </cell>
          <cell r="B1590" t="str">
            <v>Heuchera villosa var. villosa E1627 GA Rabun</v>
          </cell>
        </row>
        <row r="1591">
          <cell r="A1591" t="str">
            <v>E1628</v>
          </cell>
          <cell r="B1591" t="str">
            <v>Heuchera villosa var. villosa E1628 GA Rabun</v>
          </cell>
        </row>
        <row r="1592">
          <cell r="A1592" t="str">
            <v>E1629</v>
          </cell>
          <cell r="B1592" t="str">
            <v>Heuchera villosa var. villosa E1629 GA Stephens</v>
          </cell>
        </row>
        <row r="1593">
          <cell r="A1593" t="str">
            <v>E1630</v>
          </cell>
          <cell r="B1593" t="str">
            <v>Heuchera villosa var. villosa E1630 GA Stephens</v>
          </cell>
        </row>
        <row r="1594">
          <cell r="A1594" t="str">
            <v>E1631</v>
          </cell>
          <cell r="B1594" t="str">
            <v>Heuchera villosa var. villosa E1631 KY Fayette</v>
          </cell>
        </row>
        <row r="1595">
          <cell r="A1595" t="str">
            <v>E1632</v>
          </cell>
          <cell r="B1595" t="str">
            <v>Heuchera villosa var. macrorhiza E1632 KY Fayette</v>
          </cell>
        </row>
        <row r="1596">
          <cell r="A1596" t="str">
            <v>E1633</v>
          </cell>
          <cell r="B1596" t="str">
            <v>Heuchera villosa var. villosa E1633 KY Menifee</v>
          </cell>
        </row>
        <row r="1597">
          <cell r="A1597" t="str">
            <v>E1634</v>
          </cell>
          <cell r="B1597" t="str">
            <v>Heuchera villosa var. villosa E1634 KY Pike</v>
          </cell>
        </row>
        <row r="1598">
          <cell r="A1598" t="str">
            <v>E1635</v>
          </cell>
          <cell r="B1598" t="str">
            <v>Heuchera villosa var. villosa E1635 KY Powell</v>
          </cell>
        </row>
        <row r="1599">
          <cell r="A1599" t="str">
            <v>E1636</v>
          </cell>
          <cell r="B1599" t="str">
            <v>Heuchera villosa var. villosa E1636 KY Powell</v>
          </cell>
        </row>
        <row r="1600">
          <cell r="A1600" t="str">
            <v>E1637</v>
          </cell>
          <cell r="B1600" t="str">
            <v>Heuchera villosa var. macrorhiza E1637 KY Todd</v>
          </cell>
        </row>
        <row r="1601">
          <cell r="A1601" t="str">
            <v>E1638</v>
          </cell>
          <cell r="B1601" t="str">
            <v>Heuchera villosa var. macrorhiza E1638 KY Trigg</v>
          </cell>
        </row>
        <row r="1602">
          <cell r="A1602" t="str">
            <v>E1639</v>
          </cell>
          <cell r="B1602" t="str">
            <v>Heuchera villosa var. macrorhiza E1639 KY Trigg</v>
          </cell>
        </row>
        <row r="1603">
          <cell r="A1603" t="str">
            <v>E1640</v>
          </cell>
          <cell r="B1603" t="str">
            <v>Heuchera villosa var. macrorhiza E1640 TN Cheatham</v>
          </cell>
        </row>
        <row r="1604">
          <cell r="A1604" t="str">
            <v>E1641</v>
          </cell>
          <cell r="B1604" t="str">
            <v>Heuchera villosa var. villosa E1641 TN Grundy</v>
          </cell>
        </row>
        <row r="1605">
          <cell r="A1605" t="str">
            <v>E1642</v>
          </cell>
          <cell r="B1605" t="str">
            <v>Heuchera villosa var. villosa E1642 TN Grundy</v>
          </cell>
        </row>
        <row r="1606">
          <cell r="A1606" t="str">
            <v>E1643</v>
          </cell>
          <cell r="B1606" t="str">
            <v>Heuchera villosa var. macrorhiza E1643 TN Montgomery</v>
          </cell>
        </row>
        <row r="1607">
          <cell r="A1607" t="str">
            <v>E1644</v>
          </cell>
          <cell r="B1607" t="str">
            <v>Heuchera villosa var. macrorhiza E1644 TN Montgomery</v>
          </cell>
        </row>
        <row r="1608">
          <cell r="A1608" t="str">
            <v>E1645</v>
          </cell>
          <cell r="B1608" t="str">
            <v>Heuchera villosa var. macrorhiza E1645 TN Overton</v>
          </cell>
        </row>
        <row r="1609">
          <cell r="A1609" t="str">
            <v>E1646</v>
          </cell>
          <cell r="B1609" t="str">
            <v>Heuchera villosa var. villosa E1646 TN Polk</v>
          </cell>
        </row>
        <row r="1610">
          <cell r="A1610" t="str">
            <v>E1647</v>
          </cell>
          <cell r="B1610" t="str">
            <v>Heuchera villosa var. villosa E1647 TN Rhea</v>
          </cell>
        </row>
        <row r="1611">
          <cell r="A1611" t="str">
            <v>E1648</v>
          </cell>
          <cell r="B1611" t="str">
            <v>Heuchera villosa var. villosa E1648 TN Sevier</v>
          </cell>
        </row>
        <row r="1612">
          <cell r="A1612" t="str">
            <v>E1649</v>
          </cell>
          <cell r="B1612" t="str">
            <v>Heuchera villosa var. villosa E1649 TN Sevier</v>
          </cell>
        </row>
        <row r="1613">
          <cell r="A1613" t="str">
            <v>E1650</v>
          </cell>
          <cell r="B1613" t="str">
            <v>Heuchera villosa var. villosa E1650 VA Bedford</v>
          </cell>
        </row>
        <row r="1614">
          <cell r="A1614" t="str">
            <v>E1651</v>
          </cell>
          <cell r="B1614" t="str">
            <v>Heuchera villosa var. villosa E1651 VA Bedford</v>
          </cell>
        </row>
        <row r="1615">
          <cell r="A1615" t="str">
            <v>E1652</v>
          </cell>
          <cell r="B1615" t="str">
            <v>Heuchera villosa var. villosa E1652 VA Botetourt</v>
          </cell>
        </row>
        <row r="1616">
          <cell r="A1616" t="str">
            <v>E1653</v>
          </cell>
          <cell r="B1616" t="str">
            <v>Heuchera villosa var. villosa E1653 VA Buckingham</v>
          </cell>
        </row>
        <row r="1617">
          <cell r="A1617" t="str">
            <v>E1654</v>
          </cell>
          <cell r="B1617" t="str">
            <v>Heuchera villosa var. villosa E1654 VA Craig</v>
          </cell>
        </row>
        <row r="1618">
          <cell r="A1618" t="str">
            <v>E1655</v>
          </cell>
          <cell r="B1618" t="str">
            <v>Heuchera villosa var. villosa E1655 VA Giles</v>
          </cell>
        </row>
        <row r="1619">
          <cell r="A1619" t="str">
            <v>E1656</v>
          </cell>
          <cell r="B1619" t="str">
            <v>Heuchera villosa var. villosa E1656 VA Giles</v>
          </cell>
        </row>
        <row r="1620">
          <cell r="A1620" t="str">
            <v>E1657</v>
          </cell>
          <cell r="B1620" t="str">
            <v>Heuchera villosa var. villosa E1657 VA Giles</v>
          </cell>
        </row>
        <row r="1621">
          <cell r="A1621" t="str">
            <v>E1658</v>
          </cell>
          <cell r="B1621" t="str">
            <v>Heuchera villosa var. villosa E1658 VA Giles</v>
          </cell>
        </row>
        <row r="1622">
          <cell r="A1622" t="str">
            <v>E1659</v>
          </cell>
          <cell r="B1622" t="str">
            <v>Heuchera villosa var. villosa E1659 VA Giles</v>
          </cell>
        </row>
        <row r="1623">
          <cell r="A1623" t="str">
            <v>E1660</v>
          </cell>
          <cell r="B1623" t="str">
            <v>Heuchera villosa var. villosa E1660 VA Lee</v>
          </cell>
        </row>
        <row r="1624">
          <cell r="A1624" t="str">
            <v>E1661</v>
          </cell>
          <cell r="B1624" t="str">
            <v>Heuchera villosa var. villosa E1661 VA Smyth</v>
          </cell>
        </row>
        <row r="1625">
          <cell r="A1625" t="str">
            <v>E1662</v>
          </cell>
          <cell r="B1625" t="str">
            <v>Heuchera villosa var. villosa E1662 VA Tazewell</v>
          </cell>
        </row>
        <row r="1626">
          <cell r="A1626" t="str">
            <v>E1663</v>
          </cell>
          <cell r="B1626" t="str">
            <v>Heuchera villosa var. villosa E1663 VA Washington</v>
          </cell>
        </row>
        <row r="1627">
          <cell r="A1627" t="str">
            <v>E1664</v>
          </cell>
          <cell r="B1627" t="str">
            <v>Heuchera villosa var. villosa E1664 AL Lauderdale</v>
          </cell>
        </row>
        <row r="1628">
          <cell r="A1628" t="str">
            <v>E1665</v>
          </cell>
          <cell r="B1628" t="str">
            <v>Heuchera villosa var. macrorhiza E1665 MS Tishomingo</v>
          </cell>
        </row>
        <row r="1629">
          <cell r="A1629" t="str">
            <v>E1666</v>
          </cell>
          <cell r="B1629" t="str">
            <v>Heuchera villosa var. macrorhiza E1666 AL Colbert</v>
          </cell>
        </row>
        <row r="1630">
          <cell r="A1630" t="str">
            <v>E1667</v>
          </cell>
          <cell r="B1630" t="str">
            <v>Heuchera villosa var. macrorhiza E1667 AL Madison</v>
          </cell>
        </row>
        <row r="1631">
          <cell r="A1631" t="str">
            <v>E1668</v>
          </cell>
          <cell r="B1631" t="str">
            <v>Heuchera villosa var. macrorhiza E1668 AL Morgan</v>
          </cell>
        </row>
        <row r="1632">
          <cell r="A1632" t="str">
            <v>E1669</v>
          </cell>
          <cell r="B1632" t="str">
            <v>Heuchera villosa var. villosa E1669 GA Dade</v>
          </cell>
        </row>
        <row r="1633">
          <cell r="A1633" t="str">
            <v>E1670</v>
          </cell>
          <cell r="B1633" t="str">
            <v>Heuchera villosa var. villosa E1670 GA White</v>
          </cell>
        </row>
        <row r="1634">
          <cell r="A1634" t="str">
            <v>E1671</v>
          </cell>
          <cell r="B1634" t="str">
            <v>Heuchera villosa var. macrorhiza E1671 KY Elliott</v>
          </cell>
        </row>
        <row r="1635">
          <cell r="A1635" t="str">
            <v>E1672</v>
          </cell>
          <cell r="B1635" t="str">
            <v>Heuchera villosa var. macrorhiza E1672 KY Lyon</v>
          </cell>
        </row>
        <row r="1636">
          <cell r="A1636" t="str">
            <v>E1673</v>
          </cell>
          <cell r="B1636" t="str">
            <v>Heuchera villosa var. macrorhiza E1673 KY Rowan</v>
          </cell>
        </row>
        <row r="1637">
          <cell r="A1637" t="str">
            <v>E1674</v>
          </cell>
          <cell r="B1637" t="str">
            <v>Heuchera villosa var. villosa E1674 VA Alleghany</v>
          </cell>
        </row>
        <row r="1638">
          <cell r="A1638" t="str">
            <v>E1675</v>
          </cell>
          <cell r="B1638" t="str">
            <v>Heuchera villosa var. macrorhiza E1675 WV Fayette</v>
          </cell>
        </row>
        <row r="1639">
          <cell r="A1639" t="str">
            <v>E1676</v>
          </cell>
          <cell r="B1639" t="str">
            <v>Heuchera villosa var. arkansana E1676 AR Faulkner</v>
          </cell>
        </row>
        <row r="1640">
          <cell r="A1640" t="str">
            <v>E1677</v>
          </cell>
          <cell r="B1640" t="str">
            <v>HISPIDA</v>
          </cell>
        </row>
        <row r="1641">
          <cell r="A1641" t="str">
            <v>E1678</v>
          </cell>
          <cell r="B1641" t="str">
            <v>Heuchera villosa var. villosa E1678 GA Rabun</v>
          </cell>
        </row>
        <row r="1642">
          <cell r="A1642" t="str">
            <v>E1679</v>
          </cell>
          <cell r="B1642" t="str">
            <v>BREVIPETALA</v>
          </cell>
        </row>
        <row r="1643">
          <cell r="A1643" t="str">
            <v>E1680</v>
          </cell>
          <cell r="B1643" t="str">
            <v>HIRSUTICAULIS</v>
          </cell>
        </row>
        <row r="1644">
          <cell r="A1644" t="str">
            <v>E1681</v>
          </cell>
          <cell r="B1644" t="str">
            <v>HIRSUTICAULIS</v>
          </cell>
        </row>
        <row r="1645">
          <cell r="A1645" t="str">
            <v>E1682</v>
          </cell>
          <cell r="B1645" t="str">
            <v>BREVIPETALA</v>
          </cell>
        </row>
        <row r="1646">
          <cell r="A1646" t="str">
            <v>E1683</v>
          </cell>
          <cell r="B1646" t="str">
            <v>BREVIPETALA</v>
          </cell>
        </row>
        <row r="1647">
          <cell r="A1647" t="str">
            <v>E1684</v>
          </cell>
          <cell r="B1647" t="str">
            <v>BREVIPETALA</v>
          </cell>
        </row>
        <row r="1648">
          <cell r="A1648" t="str">
            <v>E1685</v>
          </cell>
          <cell r="B1648" t="str">
            <v>BREVIPETALA</v>
          </cell>
        </row>
        <row r="1649">
          <cell r="A1649" t="str">
            <v>E1686</v>
          </cell>
          <cell r="B1649" t="str">
            <v>BREVIPETALA</v>
          </cell>
        </row>
        <row r="1650">
          <cell r="A1650" t="str">
            <v>E1687</v>
          </cell>
          <cell r="B1650" t="str">
            <v>BREVIPETALA</v>
          </cell>
        </row>
        <row r="1651">
          <cell r="A1651" t="str">
            <v>E1688</v>
          </cell>
          <cell r="B1651" t="str">
            <v>BREVIPETALA</v>
          </cell>
        </row>
        <row r="1652">
          <cell r="A1652" t="str">
            <v>E1689</v>
          </cell>
          <cell r="B1652" t="str">
            <v>BREVIPETALA</v>
          </cell>
        </row>
        <row r="1653">
          <cell r="A1653" t="str">
            <v>E1690</v>
          </cell>
          <cell r="B1653" t="str">
            <v>BREVIPETALA</v>
          </cell>
        </row>
        <row r="1654">
          <cell r="A1654" t="str">
            <v>E1691</v>
          </cell>
          <cell r="B1654" t="str">
            <v>BREVIPETALA</v>
          </cell>
        </row>
        <row r="1655">
          <cell r="A1655" t="str">
            <v>E1692</v>
          </cell>
          <cell r="B1655" t="str">
            <v>BREVIPETALA</v>
          </cell>
        </row>
        <row r="1656">
          <cell r="A1656" t="str">
            <v>E1693</v>
          </cell>
          <cell r="B1656" t="str">
            <v>HIRSUTICAULIS</v>
          </cell>
        </row>
        <row r="1657">
          <cell r="A1657" t="str">
            <v>E1694</v>
          </cell>
          <cell r="B1657" t="str">
            <v>HIRSUTICAULIS</v>
          </cell>
        </row>
        <row r="1658">
          <cell r="A1658" t="str">
            <v>E1695</v>
          </cell>
          <cell r="B1658" t="str">
            <v>HIRSUTICAULIS</v>
          </cell>
        </row>
        <row r="1659">
          <cell r="A1659" t="str">
            <v>E1696</v>
          </cell>
          <cell r="B1659" t="str">
            <v>HIRSUTICAULIS</v>
          </cell>
        </row>
        <row r="1660">
          <cell r="A1660" t="str">
            <v>E1697</v>
          </cell>
          <cell r="B1660" t="str">
            <v>HIRSUTICAULIS</v>
          </cell>
        </row>
        <row r="1661">
          <cell r="A1661" t="str">
            <v>E1698</v>
          </cell>
          <cell r="B1661" t="str">
            <v>HIRSUTICAULIS</v>
          </cell>
        </row>
        <row r="1662">
          <cell r="A1662" t="str">
            <v>E1699</v>
          </cell>
          <cell r="B1662" t="str">
            <v>HIRSUTICAULIS</v>
          </cell>
        </row>
        <row r="1663">
          <cell r="A1663" t="str">
            <v>E1700</v>
          </cell>
          <cell r="B1663" t="str">
            <v>HIRSUTICAULIS</v>
          </cell>
        </row>
        <row r="1664">
          <cell r="A1664" t="str">
            <v>E1701</v>
          </cell>
          <cell r="B1664" t="str">
            <v>HIRSUTICAULIS</v>
          </cell>
        </row>
        <row r="1665">
          <cell r="A1665" t="str">
            <v>E1702</v>
          </cell>
          <cell r="B1665" t="str">
            <v>HIRSUTICAULIS</v>
          </cell>
        </row>
        <row r="1666">
          <cell r="A1666" t="str">
            <v>E1703</v>
          </cell>
          <cell r="B1666" t="str">
            <v>HIRSUTICAULIS</v>
          </cell>
        </row>
        <row r="1667">
          <cell r="A1667" t="str">
            <v>E1704</v>
          </cell>
          <cell r="B1667" t="str">
            <v>GRAYANA</v>
          </cell>
        </row>
        <row r="1668">
          <cell r="A1668" t="str">
            <v>E1705</v>
          </cell>
          <cell r="B1668" t="str">
            <v>HIRSUTICAULIS</v>
          </cell>
        </row>
        <row r="1669">
          <cell r="A1669" t="str">
            <v>E1706</v>
          </cell>
          <cell r="B1669" t="str">
            <v>HIRSUTICAULIS</v>
          </cell>
        </row>
        <row r="1670">
          <cell r="A1670" t="str">
            <v>E1707</v>
          </cell>
          <cell r="B1670" t="str">
            <v>HIRSUTICAULIS</v>
          </cell>
        </row>
        <row r="1671">
          <cell r="A1671" t="str">
            <v>E1708</v>
          </cell>
          <cell r="B1671" t="str">
            <v>HIRSUTICAULIS</v>
          </cell>
        </row>
        <row r="1672">
          <cell r="A1672" t="str">
            <v>E1709</v>
          </cell>
          <cell r="B1672" t="str">
            <v>BREVIPETALA</v>
          </cell>
        </row>
        <row r="1673">
          <cell r="A1673" t="str">
            <v>E1710</v>
          </cell>
          <cell r="B1673" t="str">
            <v>GRAYANA</v>
          </cell>
        </row>
        <row r="1674">
          <cell r="A1674" t="str">
            <v>E1711</v>
          </cell>
          <cell r="B1674" t="str">
            <v>HIRSUTICAULIS</v>
          </cell>
        </row>
        <row r="1675">
          <cell r="A1675" t="str">
            <v>E1712</v>
          </cell>
          <cell r="B1675" t="str">
            <v>Heuchera cylindrica var. alpina E1712 Alberta Kananaskis Prov. Park</v>
          </cell>
        </row>
        <row r="1676">
          <cell r="A1676" t="str">
            <v>E1713</v>
          </cell>
          <cell r="B1676" t="str">
            <v>Heuchera cylindrica var. cylindrica E1713 British Columbia</v>
          </cell>
        </row>
        <row r="1677">
          <cell r="A1677" t="str">
            <v>E1714</v>
          </cell>
          <cell r="B1677" t="str">
            <v>Heuchera cylindrica var. cylindrica E1714 British Columbia</v>
          </cell>
        </row>
        <row r="1678">
          <cell r="A1678" t="str">
            <v>E1715</v>
          </cell>
          <cell r="B1678" t="str">
            <v>Heuchera cylindrica var. cylindrica E1715</v>
          </cell>
        </row>
        <row r="1679">
          <cell r="A1679" t="str">
            <v>E1716</v>
          </cell>
          <cell r="B1679" t="str">
            <v>Heuchera cylindrica var. cylindrica E1716 ID Idaho</v>
          </cell>
        </row>
        <row r="1680">
          <cell r="A1680" t="str">
            <v>E1717</v>
          </cell>
          <cell r="B1680" t="str">
            <v>Heuchera cylindrica var. glabella E1717 MT Lake</v>
          </cell>
        </row>
        <row r="1681">
          <cell r="A1681" t="str">
            <v>E1718</v>
          </cell>
          <cell r="B1681" t="str">
            <v>Heuchera cylindrica var. glabella E1718 MT Mineral</v>
          </cell>
        </row>
        <row r="1682">
          <cell r="A1682" t="str">
            <v>E1719</v>
          </cell>
          <cell r="B1682" t="str">
            <v>Heuchera cylindrica var. glabella E1719 MT Sanders</v>
          </cell>
        </row>
        <row r="1683">
          <cell r="A1683" t="str">
            <v>E1720</v>
          </cell>
          <cell r="B1683" t="str">
            <v>Heuchera cylindrica var. glabella E1720 MT Flathead</v>
          </cell>
        </row>
        <row r="1684">
          <cell r="A1684" t="str">
            <v>E1721</v>
          </cell>
          <cell r="B1684" t="str">
            <v>Heuchera cylindrica var. glabella E1721 MT Lewis And Clark</v>
          </cell>
        </row>
        <row r="1685">
          <cell r="A1685" t="str">
            <v>E1722</v>
          </cell>
          <cell r="B1685" t="str">
            <v>Heuchera cylindrica var. alpina E1722 NV Humboldt</v>
          </cell>
        </row>
        <row r="1686">
          <cell r="A1686" t="str">
            <v>E1723</v>
          </cell>
          <cell r="B1686" t="str">
            <v>Heuchera cylindrica var. alpina E1723 OR Lake</v>
          </cell>
        </row>
        <row r="1687">
          <cell r="A1687" t="str">
            <v>E1724</v>
          </cell>
          <cell r="B1687" t="str">
            <v>Heuchera cylindrica var. cylindrica E1724</v>
          </cell>
        </row>
        <row r="1688">
          <cell r="A1688" t="str">
            <v>E1725</v>
          </cell>
          <cell r="B1688" t="str">
            <v>Heuchera cylindrica var. glabella E1725 WA Kittitas</v>
          </cell>
        </row>
        <row r="1689">
          <cell r="A1689" t="str">
            <v>E1726</v>
          </cell>
          <cell r="B1689" t="str">
            <v>Heuchera cylindrica var. cylindrica E1726 WA Whitman</v>
          </cell>
        </row>
        <row r="1690">
          <cell r="A1690" t="str">
            <v>E1727</v>
          </cell>
          <cell r="B1690" t="str">
            <v>Heuchera cylindrica var. glabella E1727 WA Yakima</v>
          </cell>
        </row>
        <row r="1691">
          <cell r="A1691" t="str">
            <v>E1728</v>
          </cell>
          <cell r="B1691" t="str">
            <v>Heuchera cylindrica var. saxicola E1728 WA Park</v>
          </cell>
        </row>
        <row r="1692">
          <cell r="A1692" t="str">
            <v>E1729</v>
          </cell>
          <cell r="B1692" t="str">
            <v>Boykinia occidentalis E1729 British Columbia</v>
          </cell>
        </row>
        <row r="1693">
          <cell r="A1693" t="str">
            <v>E1730</v>
          </cell>
          <cell r="B1693" t="str">
            <v>Heuchera micrantha var. diversifolia E1730 British Columbia Central Coast</v>
          </cell>
        </row>
        <row r="1694">
          <cell r="A1694" t="str">
            <v>E1731</v>
          </cell>
          <cell r="B1694" t="str">
            <v>Heuchera micrantha var. diversifolia E1731 British Columbia Lund</v>
          </cell>
        </row>
        <row r="1695">
          <cell r="A1695" t="str">
            <v>E1732</v>
          </cell>
          <cell r="B1695" t="str">
            <v>Heuchera micrantha var. diversifolia E1732 British Columbia</v>
          </cell>
        </row>
        <row r="1696">
          <cell r="A1696" t="str">
            <v>E1733</v>
          </cell>
          <cell r="B1696" t="str">
            <v>Heuchera micrantha var. diversifolia E1733 British Columbia</v>
          </cell>
        </row>
        <row r="1697">
          <cell r="A1697" t="str">
            <v>E1734</v>
          </cell>
          <cell r="B1697" t="str">
            <v>Heuchera micrantha var. erubescens E1734 CA Fresno</v>
          </cell>
        </row>
        <row r="1698">
          <cell r="A1698" t="str">
            <v>E1735</v>
          </cell>
          <cell r="B1698" t="str">
            <v>Heuchera micrantha var. hartwegii E1735 CA Santa Cruz</v>
          </cell>
        </row>
        <row r="1699">
          <cell r="A1699" t="str">
            <v>E1736</v>
          </cell>
          <cell r="B1699" t="str">
            <v>Heuchera micrantha var. hartwegii E1736 CA Mendocino</v>
          </cell>
        </row>
        <row r="1700">
          <cell r="A1700" t="str">
            <v>E1737</v>
          </cell>
          <cell r="B1700" t="str">
            <v>Heuchera micrantha var. pacifica E1737 CA Mendocino</v>
          </cell>
        </row>
        <row r="1701">
          <cell r="A1701" t="str">
            <v>E1738</v>
          </cell>
          <cell r="B1701" t="str">
            <v>Heuchera micrantha var. pacifica E1738 CA San Mateo</v>
          </cell>
        </row>
        <row r="1702">
          <cell r="A1702" t="str">
            <v>E1739</v>
          </cell>
          <cell r="B1702" t="str">
            <v>Heuchera micrantha var. micrantha E1739 CA San Mateo</v>
          </cell>
        </row>
        <row r="1703">
          <cell r="A1703" t="str">
            <v>E1740</v>
          </cell>
          <cell r="B1703" t="str">
            <v>Heuchera micrantha var. micrantha E1740 OR Benton</v>
          </cell>
        </row>
        <row r="1704">
          <cell r="A1704" t="str">
            <v>E1741</v>
          </cell>
          <cell r="B1704" t="str">
            <v>Heuchera micrantha var. micrantha E1741 OR Curry</v>
          </cell>
        </row>
        <row r="1705">
          <cell r="A1705" t="str">
            <v>E1742</v>
          </cell>
          <cell r="B1705" t="str">
            <v>Heuchera micrantha var. pacifica E1742 OR Josephine</v>
          </cell>
        </row>
        <row r="1706">
          <cell r="A1706" t="str">
            <v>E1743</v>
          </cell>
          <cell r="B1706" t="str">
            <v>Heuchera micrantha var. diversifolia E1743 WA Clallam</v>
          </cell>
        </row>
        <row r="1707">
          <cell r="A1707" t="str">
            <v>E1744</v>
          </cell>
          <cell r="B1707" t="str">
            <v>Heuchera cylindrica var. cylindrica E1744 British Columbia Thompson-Nicola</v>
          </cell>
        </row>
        <row r="1708">
          <cell r="A1708" t="str">
            <v>E1745</v>
          </cell>
          <cell r="B1708" t="str">
            <v>Heuchera cylindrica var. cylindrica E1745 ID Custer</v>
          </cell>
        </row>
        <row r="1709">
          <cell r="A1709" t="str">
            <v>E1746</v>
          </cell>
          <cell r="B1709" t="str">
            <v>Heuchera grossulariifolia var. grossulariifolia E1746 ID Idaho</v>
          </cell>
        </row>
        <row r="1710">
          <cell r="A1710" t="str">
            <v>E1747</v>
          </cell>
          <cell r="B1710" t="str">
            <v>Heuchera cylindrica var. cylindrica E1747 MT Gallatin</v>
          </cell>
        </row>
        <row r="1711">
          <cell r="A1711" t="str">
            <v>E1748</v>
          </cell>
          <cell r="B1711" t="str">
            <v>Heuchera cylindrica var. cylindrica E1748 WY Park</v>
          </cell>
        </row>
        <row r="1712">
          <cell r="A1712" t="str">
            <v>E1749</v>
          </cell>
          <cell r="B1712" t="str">
            <v>Heuchera parvifolia E1749 CO Boulder</v>
          </cell>
        </row>
        <row r="1713">
          <cell r="A1713" t="str">
            <v>E1750</v>
          </cell>
          <cell r="B1713" t="str">
            <v>Heuchera parvifolia E1750 CO Gunnison</v>
          </cell>
        </row>
        <row r="1714">
          <cell r="A1714" t="str">
            <v>E1751</v>
          </cell>
          <cell r="B1714" t="str">
            <v>Heuchera parvifolia E1751 CO Gunnison</v>
          </cell>
        </row>
        <row r="1715">
          <cell r="A1715" t="str">
            <v>E1752</v>
          </cell>
          <cell r="B1715" t="str">
            <v>Heuchera parvifolia E1752 CO Gunnison</v>
          </cell>
        </row>
        <row r="1716">
          <cell r="A1716" t="str">
            <v>E1753</v>
          </cell>
          <cell r="B1716" t="str">
            <v>Heuchera parvifolia E1753 CO Larimer</v>
          </cell>
        </row>
        <row r="1717">
          <cell r="A1717" t="str">
            <v>E1754</v>
          </cell>
          <cell r="B1717" t="str">
            <v>Heuchera parvifolia E1754 CO Mesa</v>
          </cell>
        </row>
        <row r="1718">
          <cell r="A1718" t="str">
            <v>E1755</v>
          </cell>
          <cell r="B1718" t="str">
            <v>Heuchera parvifolia E1755 ID Butte</v>
          </cell>
        </row>
        <row r="1719">
          <cell r="A1719" t="str">
            <v>E1756</v>
          </cell>
          <cell r="B1719" t="str">
            <v>Heuchera parvifolia E1756 ID Fremont</v>
          </cell>
        </row>
        <row r="1720">
          <cell r="A1720" t="str">
            <v>E1757</v>
          </cell>
          <cell r="B1720" t="str">
            <v>Heuchera parvifolia E1757 ID Oneida</v>
          </cell>
        </row>
        <row r="1721">
          <cell r="A1721" t="str">
            <v>E1758</v>
          </cell>
          <cell r="B1721" t="str">
            <v>Heuchera parvifolia E1758 NV White Pine</v>
          </cell>
        </row>
        <row r="1722">
          <cell r="A1722" t="str">
            <v>E1759</v>
          </cell>
          <cell r="B1722" t="str">
            <v>Heuchera parvifolia E1759 NV Elko</v>
          </cell>
        </row>
        <row r="1723">
          <cell r="A1723" t="str">
            <v>E1760</v>
          </cell>
          <cell r="B1723" t="str">
            <v>Heuchera parvifolia E1760 NM Taos</v>
          </cell>
        </row>
        <row r="1724">
          <cell r="A1724" t="str">
            <v>E1761</v>
          </cell>
          <cell r="B1724" t="str">
            <v>Heuchera parvifolia E1761 NM Taos</v>
          </cell>
        </row>
        <row r="1725">
          <cell r="A1725" t="str">
            <v>E1762</v>
          </cell>
          <cell r="B1725" t="str">
            <v>Heuchera parvifolia E1762 UT Utah</v>
          </cell>
        </row>
        <row r="1726">
          <cell r="A1726" t="str">
            <v>E1763</v>
          </cell>
          <cell r="B1726" t="str">
            <v>Heuchera parvifolia E1763 UT Carbon</v>
          </cell>
        </row>
        <row r="1727">
          <cell r="A1727" t="str">
            <v>E1764</v>
          </cell>
          <cell r="B1727" t="str">
            <v>Heuchera parvifolia E1764 UT Daggett</v>
          </cell>
        </row>
        <row r="1728">
          <cell r="A1728" t="str">
            <v>E1765</v>
          </cell>
          <cell r="B1728" t="str">
            <v>Heuchera parvifolia E1765 UT San Juan</v>
          </cell>
        </row>
        <row r="1729">
          <cell r="A1729" t="str">
            <v>E1766</v>
          </cell>
          <cell r="B1729" t="str">
            <v>Heuchera parvifolia E1766 UT Tooele</v>
          </cell>
        </row>
        <row r="1730">
          <cell r="A1730" t="str">
            <v>E1767</v>
          </cell>
          <cell r="B1730" t="str">
            <v>Heuchera parvifolia E1767 WY Niobrara</v>
          </cell>
        </row>
        <row r="1731">
          <cell r="A1731" t="str">
            <v>E1768</v>
          </cell>
          <cell r="B1731" t="str">
            <v>Heuchera parvifolia E1768 WY Teton</v>
          </cell>
        </row>
        <row r="1732">
          <cell r="A1732" t="str">
            <v>E1769</v>
          </cell>
          <cell r="B1732" t="str">
            <v>Heuchera parvifolia E1769 WY Johnson</v>
          </cell>
        </row>
        <row r="1733">
          <cell r="A1733" t="str">
            <v>E1770</v>
          </cell>
          <cell r="B1733" t="str">
            <v>Heuchera alba E1770 PA Fayette</v>
          </cell>
        </row>
        <row r="1734">
          <cell r="A1734" t="str">
            <v>E1771</v>
          </cell>
          <cell r="B1734" t="str">
            <v>Heuchera alba E1771 PA Fulton</v>
          </cell>
        </row>
        <row r="1735">
          <cell r="A1735" t="str">
            <v>E1772</v>
          </cell>
          <cell r="B1735" t="str">
            <v>Heuchera alba E1772 PA Huntingdon</v>
          </cell>
        </row>
        <row r="1736">
          <cell r="A1736" t="str">
            <v>E1773</v>
          </cell>
          <cell r="B1736" t="str">
            <v>Heuchera alba E1773 PA Mifflin</v>
          </cell>
        </row>
        <row r="1737">
          <cell r="A1737" t="str">
            <v>E1774</v>
          </cell>
          <cell r="B1737" t="str">
            <v>Heuchera alba E1774 PA Perry</v>
          </cell>
        </row>
        <row r="1738">
          <cell r="A1738" t="str">
            <v>E1775</v>
          </cell>
          <cell r="B1738" t="str">
            <v>Heuchera alba E1775 PA Perry</v>
          </cell>
        </row>
        <row r="1739">
          <cell r="A1739" t="str">
            <v>E1776</v>
          </cell>
          <cell r="B1739" t="str">
            <v>Heuchera alba E1776 PA Perry</v>
          </cell>
        </row>
        <row r="1740">
          <cell r="A1740" t="str">
            <v>E1777</v>
          </cell>
          <cell r="B1740" t="str">
            <v>Heuchera alba E1777 PA Perry</v>
          </cell>
        </row>
        <row r="1741">
          <cell r="A1741" t="str">
            <v>E1778</v>
          </cell>
          <cell r="B1741" t="str">
            <v>Heuchera alba E1778 PA Snyder</v>
          </cell>
        </row>
        <row r="1742">
          <cell r="A1742" t="str">
            <v>E1779</v>
          </cell>
          <cell r="B1742" t="str">
            <v>Heuchera alba E1779 PA Union</v>
          </cell>
        </row>
        <row r="1743">
          <cell r="A1743" t="str">
            <v>E1780</v>
          </cell>
          <cell r="B1743" t="str">
            <v>GRAYANA</v>
          </cell>
        </row>
        <row r="1744">
          <cell r="A1744" t="str">
            <v>E1781</v>
          </cell>
          <cell r="B1744" t="str">
            <v>GRAYANA</v>
          </cell>
        </row>
        <row r="1745">
          <cell r="A1745" t="str">
            <v>E1782</v>
          </cell>
          <cell r="B1745" t="str">
            <v>GRAYANA</v>
          </cell>
        </row>
        <row r="1746">
          <cell r="A1746" t="str">
            <v>E1783</v>
          </cell>
          <cell r="B1746" t="str">
            <v>GRAYANA</v>
          </cell>
        </row>
        <row r="1747">
          <cell r="A1747" t="str">
            <v>E1784</v>
          </cell>
          <cell r="B1747" t="str">
            <v>GRAYANA</v>
          </cell>
        </row>
        <row r="1748">
          <cell r="A1748" t="str">
            <v>E1785</v>
          </cell>
          <cell r="B1748" t="str">
            <v>GRAYANA</v>
          </cell>
        </row>
        <row r="1749">
          <cell r="A1749" t="str">
            <v>E1786</v>
          </cell>
          <cell r="B1749" t="str">
            <v>GRAYANA</v>
          </cell>
        </row>
        <row r="1750">
          <cell r="A1750" t="str">
            <v>E1787</v>
          </cell>
          <cell r="B1750" t="str">
            <v>GRAYANA</v>
          </cell>
        </row>
        <row r="1751">
          <cell r="A1751" t="str">
            <v>E1788</v>
          </cell>
          <cell r="B1751" t="str">
            <v>GRAYANA</v>
          </cell>
        </row>
        <row r="1752">
          <cell r="A1752" t="str">
            <v>E1789</v>
          </cell>
          <cell r="B1752" t="str">
            <v>GRAYANA</v>
          </cell>
        </row>
        <row r="1753">
          <cell r="A1753" t="str">
            <v>E1790</v>
          </cell>
          <cell r="B1753" t="str">
            <v>GRAYANA</v>
          </cell>
        </row>
        <row r="1754">
          <cell r="A1754" t="str">
            <v>E1791</v>
          </cell>
          <cell r="B1754" t="str">
            <v>GRAYANA</v>
          </cell>
        </row>
        <row r="1755">
          <cell r="A1755" t="str">
            <v>E1792</v>
          </cell>
          <cell r="B1755" t="str">
            <v>GRAYANA</v>
          </cell>
        </row>
        <row r="1756">
          <cell r="A1756" t="str">
            <v>E1793</v>
          </cell>
          <cell r="B1756" t="str">
            <v>GRAYANA</v>
          </cell>
        </row>
        <row r="1757">
          <cell r="A1757" t="str">
            <v>E1794</v>
          </cell>
          <cell r="B1757" t="str">
            <v>RICHARDSONII</v>
          </cell>
        </row>
        <row r="1758">
          <cell r="A1758" t="str">
            <v>E1795</v>
          </cell>
          <cell r="B1758" t="str">
            <v>RICHARDSONII</v>
          </cell>
        </row>
        <row r="1759">
          <cell r="A1759" t="str">
            <v>E1796</v>
          </cell>
          <cell r="B1759" t="str">
            <v>GRAYANA</v>
          </cell>
        </row>
        <row r="1760">
          <cell r="A1760" t="str">
            <v>E1797</v>
          </cell>
          <cell r="B1760" t="str">
            <v>GRAYANA</v>
          </cell>
        </row>
        <row r="1761">
          <cell r="A1761" t="str">
            <v>E1798</v>
          </cell>
          <cell r="B1761" t="str">
            <v>RICHARDSONII</v>
          </cell>
        </row>
        <row r="1762">
          <cell r="A1762" t="str">
            <v>E1799</v>
          </cell>
          <cell r="B1762" t="str">
            <v>GRAYANA</v>
          </cell>
        </row>
        <row r="1763">
          <cell r="A1763" t="str">
            <v>E1800</v>
          </cell>
          <cell r="B1763" t="str">
            <v>GRAYANA</v>
          </cell>
        </row>
        <row r="1764">
          <cell r="A1764" t="str">
            <v>E1801</v>
          </cell>
          <cell r="B1764" t="str">
            <v>RICHARDSONII</v>
          </cell>
        </row>
        <row r="1765">
          <cell r="A1765" t="str">
            <v>E1802</v>
          </cell>
          <cell r="B1765" t="str">
            <v>RICHARDSONII</v>
          </cell>
        </row>
        <row r="1766">
          <cell r="A1766" t="str">
            <v>E1803</v>
          </cell>
          <cell r="B1766" t="str">
            <v>RICHARDSONII</v>
          </cell>
        </row>
        <row r="1767">
          <cell r="A1767" t="str">
            <v>E1804</v>
          </cell>
          <cell r="B1767" t="str">
            <v>GRAYANA</v>
          </cell>
        </row>
        <row r="1768">
          <cell r="A1768" t="str">
            <v>E1805</v>
          </cell>
          <cell r="B1768" t="str">
            <v>RICHARDSONII</v>
          </cell>
        </row>
        <row r="1769">
          <cell r="A1769" t="str">
            <v>E1806</v>
          </cell>
          <cell r="B1769" t="str">
            <v>Heuchera rubescens var. alpicola E1806 CA Fresno</v>
          </cell>
        </row>
        <row r="1770">
          <cell r="A1770" t="str">
            <v>E1807</v>
          </cell>
          <cell r="B1770" t="str">
            <v>Heuchera rubescens var. alpicola E1807 CA Fresno</v>
          </cell>
        </row>
        <row r="1771">
          <cell r="A1771" t="str">
            <v>E1808</v>
          </cell>
          <cell r="B1771" t="str">
            <v>Heuchera rubescens var. alpicola E1808 NV Clark</v>
          </cell>
        </row>
        <row r="1772">
          <cell r="A1772" t="str">
            <v>E1809</v>
          </cell>
          <cell r="B1772" t="str">
            <v>Heuchera rubescens var. truncata E1809 OR Harney</v>
          </cell>
        </row>
        <row r="1773">
          <cell r="A1773" t="str">
            <v>E1810</v>
          </cell>
          <cell r="B1773" t="str">
            <v>Heuchera versicolor E1810 TX Brewster</v>
          </cell>
        </row>
        <row r="1774">
          <cell r="A1774" t="str">
            <v>E1811</v>
          </cell>
          <cell r="B1774" t="str">
            <v>Heuchera rubescens var. rubescens E1811 UT Juab</v>
          </cell>
        </row>
        <row r="1775">
          <cell r="A1775" t="str">
            <v>E1812</v>
          </cell>
          <cell r="B1775" t="str">
            <v>Heuchera versicolor E1812 UT San Juan</v>
          </cell>
        </row>
        <row r="1776">
          <cell r="A1776" t="str">
            <v>E1813</v>
          </cell>
          <cell r="B1776" t="str">
            <v>Heuchera versicolor E1813 UT Washington</v>
          </cell>
        </row>
        <row r="1777">
          <cell r="A1777" t="str">
            <v>E1814</v>
          </cell>
          <cell r="B1777" t="str">
            <v>Heuchera versicolor E1814 AZ Cochise</v>
          </cell>
        </row>
        <row r="1778">
          <cell r="A1778" t="str">
            <v>E1815</v>
          </cell>
          <cell r="B1778" t="str">
            <v>Heuchera versicolor E1815 AZ Coconino</v>
          </cell>
        </row>
        <row r="1779">
          <cell r="A1779" t="str">
            <v>E1816</v>
          </cell>
          <cell r="B1779" t="str">
            <v>Heuchera versicolor E1816 AZ Graham</v>
          </cell>
        </row>
        <row r="1780">
          <cell r="A1780" t="str">
            <v>E1817</v>
          </cell>
          <cell r="B1780" t="str">
            <v>Heuchera versicolor E1817 AZ Mohave</v>
          </cell>
        </row>
        <row r="1781">
          <cell r="A1781" t="str">
            <v>E1818</v>
          </cell>
          <cell r="B1781" t="str">
            <v>Heuchera versicolor E1818 NM Catron</v>
          </cell>
        </row>
        <row r="1782">
          <cell r="A1782" t="str">
            <v>E1819</v>
          </cell>
          <cell r="B1782" t="str">
            <v>Heuchera versicolor E1819 NM Catron</v>
          </cell>
        </row>
        <row r="1783">
          <cell r="A1783" t="str">
            <v>E1820</v>
          </cell>
          <cell r="B1783" t="str">
            <v>Heuchera versicolor E1820 NM Catron</v>
          </cell>
        </row>
        <row r="1784">
          <cell r="A1784" t="str">
            <v>E1821</v>
          </cell>
          <cell r="B1784" t="str">
            <v>Heuchera versicolor E1821 NM Catron</v>
          </cell>
        </row>
        <row r="1785">
          <cell r="A1785" t="str">
            <v>E1822</v>
          </cell>
          <cell r="B1785" t="str">
            <v>Heuchera versicolor E1822 NM Catron</v>
          </cell>
        </row>
        <row r="1786">
          <cell r="A1786" t="str">
            <v>E1823</v>
          </cell>
          <cell r="B1786" t="str">
            <v>Heuchera versicolor E1823 NM Catron</v>
          </cell>
        </row>
        <row r="1787">
          <cell r="A1787" t="str">
            <v>E1824</v>
          </cell>
          <cell r="B1787" t="str">
            <v>Heuchera bracteata E1824 CO Boulder</v>
          </cell>
        </row>
        <row r="1788">
          <cell r="A1788" t="str">
            <v>E1825</v>
          </cell>
          <cell r="B1788" t="str">
            <v>Heuchera chlorantha E1825 British Columbia</v>
          </cell>
        </row>
        <row r="1789">
          <cell r="A1789" t="str">
            <v>E1826</v>
          </cell>
          <cell r="B1789" t="str">
            <v>Heuchera chlorantha E1826 OR Linn</v>
          </cell>
        </row>
        <row r="1790">
          <cell r="A1790" t="str">
            <v>E1827</v>
          </cell>
          <cell r="B1790" t="str">
            <v>Heuchera parvifolia E1827 NV Nye</v>
          </cell>
        </row>
        <row r="1791">
          <cell r="A1791" t="str">
            <v>E1828</v>
          </cell>
          <cell r="B1791" t="str">
            <v>Heuchera eastwoodiae E1828 AZ Gila</v>
          </cell>
        </row>
        <row r="1792">
          <cell r="A1792" t="str">
            <v>E1829</v>
          </cell>
          <cell r="B1792" t="str">
            <v>Heuchera parvifolia E1829 MT Granite</v>
          </cell>
        </row>
        <row r="1793">
          <cell r="A1793" t="str">
            <v>E1830</v>
          </cell>
          <cell r="B1793" t="str">
            <v>Heuchera glabra E1830 British Columbia</v>
          </cell>
        </row>
        <row r="1794">
          <cell r="A1794" t="str">
            <v>E1831</v>
          </cell>
          <cell r="B1794" t="str">
            <v>Heuchera glabra E1831 British Columbia</v>
          </cell>
        </row>
        <row r="1795">
          <cell r="A1795" t="str">
            <v>E1832</v>
          </cell>
          <cell r="B1795" t="str">
            <v>Heuchera glabra E1832 AK Skagway Hoonah Angoon</v>
          </cell>
        </row>
        <row r="1796">
          <cell r="A1796" t="str">
            <v>E1833</v>
          </cell>
          <cell r="B1796" t="str">
            <v>Heuchera glabra E1833 AK Kenai Peninsula</v>
          </cell>
        </row>
        <row r="1797">
          <cell r="A1797" t="str">
            <v>E1834</v>
          </cell>
          <cell r="B1797" t="str">
            <v>Heuchera grossulariifolia var. grossulariifolia E1834 MT Granite</v>
          </cell>
        </row>
        <row r="1798">
          <cell r="A1798" t="str">
            <v>E1835</v>
          </cell>
          <cell r="B1798" t="str">
            <v>Heuchera grossulariifolia var. grossulariifolia E1835 MT Granite</v>
          </cell>
        </row>
        <row r="1799">
          <cell r="A1799" t="str">
            <v>E1836</v>
          </cell>
          <cell r="B1799" t="str">
            <v>Heuchera grossulariifolia var. grossulariifolia E1836 MT Carbon</v>
          </cell>
        </row>
        <row r="1800">
          <cell r="A1800" t="str">
            <v>E1837</v>
          </cell>
          <cell r="B1800" t="str">
            <v>Heuchera merriamii E1837 OR Josephine</v>
          </cell>
        </row>
        <row r="1801">
          <cell r="A1801" t="str">
            <v>E1838</v>
          </cell>
          <cell r="B1801" t="str">
            <v>Heuchera parvifolia E1838 CO Summit</v>
          </cell>
        </row>
        <row r="1802">
          <cell r="A1802" t="str">
            <v>E1839</v>
          </cell>
          <cell r="B1802" t="str">
            <v>Heuchera parvifolia E1839 CO Clear Creek</v>
          </cell>
        </row>
        <row r="1803">
          <cell r="A1803" t="str">
            <v>E1840</v>
          </cell>
          <cell r="B1803" t="str">
            <v>Heuchera soltisii E1840 NM Catron</v>
          </cell>
        </row>
        <row r="1804">
          <cell r="A1804" t="str">
            <v>E1841</v>
          </cell>
          <cell r="B1804" t="str">
            <v>Heuchera soltisii E1841 NM Catron</v>
          </cell>
        </row>
        <row r="1805">
          <cell r="A1805" t="str">
            <v>E1842</v>
          </cell>
          <cell r="B1805" t="str">
            <v>Heuchera missouriensis E1842 IL Pope</v>
          </cell>
        </row>
        <row r="1806">
          <cell r="A1806" t="str">
            <v>E1843</v>
          </cell>
          <cell r="B1806" t="str">
            <v>Heuchera micrantha var. hartwegii E1843 OR Curry</v>
          </cell>
        </row>
        <row r="1807">
          <cell r="A1807" t="str">
            <v>E1844</v>
          </cell>
          <cell r="B1807" t="str">
            <v>Heuchera puberula E1844 MO Carter</v>
          </cell>
        </row>
        <row r="1808">
          <cell r="A1808" t="str">
            <v>E1845</v>
          </cell>
          <cell r="B1808" t="str">
            <v>Heuchera puberula E1845 MO Douglas</v>
          </cell>
        </row>
        <row r="1809">
          <cell r="A1809" t="str">
            <v>E1846</v>
          </cell>
          <cell r="B1809" t="str">
            <v>Heuchera puberula E1846 MO Shannon</v>
          </cell>
        </row>
        <row r="1810">
          <cell r="A1810" t="str">
            <v>E1847</v>
          </cell>
          <cell r="B1810" t="str">
            <v>Heuchera sanguinea E1847 AZ Santa Cruz</v>
          </cell>
        </row>
        <row r="1811">
          <cell r="A1811" t="str">
            <v>E1848</v>
          </cell>
          <cell r="B1811" t="str">
            <v>Heuchera villosa var. villosa E1848 NY Yates</v>
          </cell>
        </row>
        <row r="1812">
          <cell r="A1812" t="str">
            <v>E1849</v>
          </cell>
          <cell r="B1812" t="str">
            <v>Heuchera mexicana var. potosiensis E1849 Nuevo Leon Cerro Potosi</v>
          </cell>
        </row>
        <row r="1813">
          <cell r="A1813" t="str">
            <v>E1850</v>
          </cell>
          <cell r="B1813" t="str">
            <v>Heuchera rubescens var. alpicola E1850 Baja CA Ensenada</v>
          </cell>
        </row>
        <row r="1814">
          <cell r="A1814" t="str">
            <v>E1851</v>
          </cell>
          <cell r="B1814" t="str">
            <v>Heuchera mexicana var. mexicana E1851 Nuevo León Galeana</v>
          </cell>
        </row>
        <row r="1815">
          <cell r="A1815" t="str">
            <v>E1852</v>
          </cell>
          <cell r="B1815" t="str">
            <v>AMERICANA</v>
          </cell>
        </row>
        <row r="1816">
          <cell r="A1816" t="str">
            <v>E1853</v>
          </cell>
          <cell r="B1816" t="str">
            <v>AMERICANA</v>
          </cell>
        </row>
        <row r="1817">
          <cell r="A1817" t="str">
            <v>E1854</v>
          </cell>
          <cell r="B1817" t="str">
            <v>AMERICANA</v>
          </cell>
        </row>
        <row r="1818">
          <cell r="A1818" t="str">
            <v>E1855</v>
          </cell>
          <cell r="B1818" t="str">
            <v>AMERICANA</v>
          </cell>
        </row>
        <row r="1819">
          <cell r="A1819" t="str">
            <v>E1856</v>
          </cell>
          <cell r="B1819" t="str">
            <v>AMERICANA</v>
          </cell>
        </row>
        <row r="1820">
          <cell r="A1820" t="str">
            <v>E1857</v>
          </cell>
          <cell r="B1820" t="str">
            <v>AMERICANA</v>
          </cell>
        </row>
        <row r="1821">
          <cell r="A1821" t="str">
            <v>E1858</v>
          </cell>
          <cell r="B1821" t="str">
            <v>BREVIPETALA</v>
          </cell>
        </row>
        <row r="1822">
          <cell r="A1822" t="str">
            <v>E1859</v>
          </cell>
          <cell r="B1822" t="str">
            <v>AMERICANA</v>
          </cell>
        </row>
        <row r="1823">
          <cell r="A1823" t="str">
            <v>E1860</v>
          </cell>
          <cell r="B1823" t="str">
            <v>AMERICANA</v>
          </cell>
        </row>
        <row r="1824">
          <cell r="A1824" t="str">
            <v>E1861</v>
          </cell>
          <cell r="B1824" t="str">
            <v>AMERICANA</v>
          </cell>
        </row>
        <row r="1825">
          <cell r="A1825" t="str">
            <v>E1862</v>
          </cell>
          <cell r="B1825" t="str">
            <v>AMERICANA</v>
          </cell>
        </row>
        <row r="1826">
          <cell r="A1826" t="str">
            <v>E1863</v>
          </cell>
          <cell r="B1826" t="str">
            <v>AMERICANA</v>
          </cell>
        </row>
        <row r="1827">
          <cell r="A1827" t="str">
            <v>E1864</v>
          </cell>
          <cell r="B1827" t="str">
            <v>AMERICANA</v>
          </cell>
        </row>
        <row r="1828">
          <cell r="A1828" t="str">
            <v>E1865</v>
          </cell>
          <cell r="B1828" t="str">
            <v>AMERICANA</v>
          </cell>
        </row>
        <row r="1829">
          <cell r="A1829" t="str">
            <v>E1866</v>
          </cell>
          <cell r="B1829" t="str">
            <v>AMERICANA</v>
          </cell>
        </row>
        <row r="1830">
          <cell r="A1830" t="str">
            <v>E1867</v>
          </cell>
          <cell r="B1830" t="str">
            <v>AMERICANA</v>
          </cell>
        </row>
        <row r="1831">
          <cell r="A1831" t="str">
            <v>E1868</v>
          </cell>
          <cell r="B1831" t="str">
            <v>AMERICANA</v>
          </cell>
        </row>
        <row r="1832">
          <cell r="A1832" t="str">
            <v>E1869</v>
          </cell>
          <cell r="B1832" t="str">
            <v>AMERICANA</v>
          </cell>
        </row>
        <row r="1833">
          <cell r="A1833" t="str">
            <v>E1870</v>
          </cell>
          <cell r="B1833" t="str">
            <v>AMERICANA</v>
          </cell>
        </row>
        <row r="1834">
          <cell r="A1834" t="str">
            <v>E1871</v>
          </cell>
          <cell r="B1834" t="str">
            <v>AMERICANA</v>
          </cell>
        </row>
        <row r="1835">
          <cell r="A1835" t="str">
            <v>E1872</v>
          </cell>
          <cell r="B1835" t="str">
            <v>AMERICANA</v>
          </cell>
        </row>
        <row r="1836">
          <cell r="A1836" t="str">
            <v>E1873</v>
          </cell>
          <cell r="B1836" t="str">
            <v>AMERICANA</v>
          </cell>
        </row>
        <row r="1837">
          <cell r="A1837" t="str">
            <v>E1874</v>
          </cell>
          <cell r="B1837" t="str">
            <v>AMERICANA</v>
          </cell>
        </row>
        <row r="1838">
          <cell r="A1838" t="str">
            <v>E1875</v>
          </cell>
          <cell r="B1838" t="str">
            <v>AMERICANA</v>
          </cell>
        </row>
        <row r="1839">
          <cell r="A1839" t="str">
            <v>E1876</v>
          </cell>
          <cell r="B1839" t="str">
            <v>AMERICANA</v>
          </cell>
        </row>
        <row r="1840">
          <cell r="A1840" t="str">
            <v>E1877</v>
          </cell>
          <cell r="B1840" t="str">
            <v>AMERICANA</v>
          </cell>
        </row>
        <row r="1841">
          <cell r="A1841" t="str">
            <v>E1878</v>
          </cell>
          <cell r="B1841" t="str">
            <v>AMERICANA</v>
          </cell>
        </row>
        <row r="1842">
          <cell r="A1842" t="str">
            <v>E1879</v>
          </cell>
          <cell r="B1842" t="str">
            <v>AMERICANA</v>
          </cell>
        </row>
        <row r="1843">
          <cell r="A1843" t="str">
            <v>E1880</v>
          </cell>
          <cell r="B1843" t="str">
            <v>AMERICANA</v>
          </cell>
        </row>
        <row r="1844">
          <cell r="A1844" t="str">
            <v>E1881</v>
          </cell>
          <cell r="B1844" t="str">
            <v>AMERICANA</v>
          </cell>
        </row>
        <row r="1845">
          <cell r="A1845" t="str">
            <v>E1882</v>
          </cell>
          <cell r="B1845" t="str">
            <v>AMERICANA</v>
          </cell>
        </row>
        <row r="1846">
          <cell r="A1846" t="str">
            <v>E1883</v>
          </cell>
          <cell r="B1846" t="str">
            <v>AMERICANA</v>
          </cell>
        </row>
        <row r="1847">
          <cell r="A1847" t="str">
            <v>E1884</v>
          </cell>
          <cell r="B1847" t="str">
            <v>AMERICANA</v>
          </cell>
        </row>
        <row r="1848">
          <cell r="A1848" t="str">
            <v>E1885</v>
          </cell>
          <cell r="B1848" t="str">
            <v>AMERICANA</v>
          </cell>
        </row>
        <row r="1849">
          <cell r="A1849" t="str">
            <v>E1886</v>
          </cell>
          <cell r="B1849" t="str">
            <v>AMERICANA</v>
          </cell>
        </row>
        <row r="1850">
          <cell r="A1850" t="str">
            <v>E1887</v>
          </cell>
          <cell r="B1850" t="str">
            <v>AMERICANA</v>
          </cell>
        </row>
        <row r="1851">
          <cell r="A1851" t="str">
            <v>E1888</v>
          </cell>
          <cell r="B1851" t="str">
            <v>AMERICANA</v>
          </cell>
        </row>
        <row r="1852">
          <cell r="A1852" t="str">
            <v>E1889</v>
          </cell>
          <cell r="B1852" t="str">
            <v>AMERICANA</v>
          </cell>
        </row>
        <row r="1853">
          <cell r="A1853" t="str">
            <v>E1890</v>
          </cell>
          <cell r="B1853" t="str">
            <v>AMERICANA</v>
          </cell>
        </row>
        <row r="1854">
          <cell r="A1854" t="str">
            <v>E1891</v>
          </cell>
          <cell r="B1854" t="str">
            <v>AMERICANA</v>
          </cell>
        </row>
        <row r="1855">
          <cell r="A1855" t="str">
            <v>E1892</v>
          </cell>
          <cell r="B1855" t="str">
            <v>AMERICANA</v>
          </cell>
        </row>
        <row r="1856">
          <cell r="A1856" t="str">
            <v>E1893</v>
          </cell>
          <cell r="B1856" t="str">
            <v>AMERICANA</v>
          </cell>
        </row>
        <row r="1857">
          <cell r="A1857" t="str">
            <v>E1894</v>
          </cell>
          <cell r="B1857" t="str">
            <v>AMERICANA</v>
          </cell>
        </row>
        <row r="1858">
          <cell r="A1858" t="str">
            <v>E1895</v>
          </cell>
          <cell r="B1858" t="str">
            <v>AMERICANA</v>
          </cell>
        </row>
        <row r="1859">
          <cell r="A1859" t="str">
            <v>E1896</v>
          </cell>
          <cell r="B1859" t="str">
            <v>AMERICANA</v>
          </cell>
        </row>
        <row r="1860">
          <cell r="A1860" t="str">
            <v>E1897</v>
          </cell>
          <cell r="B1860" t="str">
            <v>Heuchera villosa var. villosa E1897 NC Rutherford</v>
          </cell>
        </row>
        <row r="1861">
          <cell r="A1861" t="str">
            <v>E1898</v>
          </cell>
          <cell r="B1861" t="str">
            <v>AMERICANA</v>
          </cell>
        </row>
        <row r="1862">
          <cell r="A1862" t="str">
            <v>E1899</v>
          </cell>
          <cell r="B1862" t="str">
            <v>AMERICANA</v>
          </cell>
        </row>
        <row r="1863">
          <cell r="A1863" t="str">
            <v>E1900</v>
          </cell>
          <cell r="B1863" t="str">
            <v>AMERICANA</v>
          </cell>
        </row>
        <row r="1864">
          <cell r="A1864" t="str">
            <v>E1901</v>
          </cell>
          <cell r="B1864" t="str">
            <v>AMERICANA</v>
          </cell>
        </row>
        <row r="1865">
          <cell r="A1865" t="str">
            <v>E1902</v>
          </cell>
          <cell r="B1865" t="str">
            <v>AMERICANA</v>
          </cell>
        </row>
        <row r="1866">
          <cell r="A1866" t="str">
            <v>E1903</v>
          </cell>
          <cell r="B1866" t="str">
            <v>AMERICANA</v>
          </cell>
        </row>
        <row r="1867">
          <cell r="A1867" t="str">
            <v>E1904</v>
          </cell>
          <cell r="B1867" t="str">
            <v>AMERICANA</v>
          </cell>
        </row>
        <row r="1868">
          <cell r="A1868" t="str">
            <v>E1905</v>
          </cell>
          <cell r="B1868" t="str">
            <v>Heuchera caroliniana E1905 NC Alexander</v>
          </cell>
        </row>
        <row r="1869">
          <cell r="A1869" t="str">
            <v>E1906</v>
          </cell>
          <cell r="B1869" t="str">
            <v>Heuchera caroliniana E1906 NC Anson</v>
          </cell>
        </row>
        <row r="1870">
          <cell r="A1870" t="str">
            <v>E1907</v>
          </cell>
          <cell r="B1870" t="str">
            <v>Heuchera caroliniana E1907 NC Cabarrus</v>
          </cell>
        </row>
        <row r="1871">
          <cell r="A1871" t="str">
            <v>E1908</v>
          </cell>
          <cell r="B1871" t="str">
            <v>Heuchera caroliniana E1908 NC Davidson</v>
          </cell>
        </row>
        <row r="1872">
          <cell r="A1872" t="str">
            <v>E1909</v>
          </cell>
          <cell r="B1872" t="str">
            <v>Heuchera caroliniana E1909 NC Forsyth</v>
          </cell>
        </row>
        <row r="1873">
          <cell r="A1873" t="str">
            <v>E1910</v>
          </cell>
          <cell r="B1873" t="str">
            <v>Heuchera caroliniana E1910 NC Gaston</v>
          </cell>
        </row>
        <row r="1874">
          <cell r="A1874" t="str">
            <v>E1911</v>
          </cell>
          <cell r="B1874" t="str">
            <v>Heuchera caroliniana E1911 NC Iredell</v>
          </cell>
        </row>
        <row r="1875">
          <cell r="A1875" t="str">
            <v>E1912</v>
          </cell>
          <cell r="B1875" t="str">
            <v>Heuchera caroliniana E1912 NC Iredell</v>
          </cell>
        </row>
        <row r="1876">
          <cell r="A1876" t="str">
            <v>E1913</v>
          </cell>
          <cell r="B1876" t="str">
            <v>Heuchera caroliniana E1913 NC Lincoln</v>
          </cell>
        </row>
        <row r="1877">
          <cell r="A1877" t="str">
            <v>E1914</v>
          </cell>
          <cell r="B1877" t="str">
            <v>Heuchera caroliniana E1914 NC Lincoln</v>
          </cell>
        </row>
        <row r="1878">
          <cell r="A1878" t="str">
            <v>E1915</v>
          </cell>
          <cell r="B1878" t="str">
            <v>Heuchera caroliniana E1915 NC Mecklenburg</v>
          </cell>
        </row>
        <row r="1879">
          <cell r="A1879" t="str">
            <v>E1916</v>
          </cell>
          <cell r="B1879" t="str">
            <v>AMERICANA</v>
          </cell>
        </row>
        <row r="1880">
          <cell r="A1880" t="str">
            <v>E1917</v>
          </cell>
          <cell r="B1880" t="str">
            <v>Heuchera caroliniana E1917 NC Randolph</v>
          </cell>
        </row>
        <row r="1881">
          <cell r="A1881" t="str">
            <v>E1918</v>
          </cell>
          <cell r="B1881" t="str">
            <v>Heuchera caroliniana E1918 NC Rowan</v>
          </cell>
        </row>
        <row r="1882">
          <cell r="A1882" t="str">
            <v>E1919</v>
          </cell>
          <cell r="B1882" t="str">
            <v>Heuchera caroliniana E1919 NC Stanly</v>
          </cell>
        </row>
        <row r="1883">
          <cell r="A1883" t="str">
            <v>E1920</v>
          </cell>
          <cell r="B1883" t="str">
            <v>Heuchera caroliniana E1920 NC Stanly</v>
          </cell>
        </row>
        <row r="1884">
          <cell r="A1884" t="str">
            <v>E1921</v>
          </cell>
          <cell r="B1884" t="str">
            <v>Heuchera caroliniana E1921 NC Stanly</v>
          </cell>
        </row>
        <row r="1885">
          <cell r="A1885" t="str">
            <v>E1922</v>
          </cell>
          <cell r="B1885" t="str">
            <v>Heuchera caroliniana E1922 NC Stanly</v>
          </cell>
        </row>
        <row r="1886">
          <cell r="A1886" t="str">
            <v>E1923</v>
          </cell>
          <cell r="B1886" t="str">
            <v>Heuchera caroliniana E1923 NC Surry</v>
          </cell>
        </row>
        <row r="1887">
          <cell r="A1887" t="str">
            <v>E1924</v>
          </cell>
          <cell r="B1887" t="str">
            <v>Heuchera caroliniana E1924 NC Union</v>
          </cell>
        </row>
        <row r="1888">
          <cell r="A1888" t="str">
            <v>E1925</v>
          </cell>
          <cell r="B1888" t="str">
            <v>Heuchera caroliniana E1925 NC Union</v>
          </cell>
        </row>
        <row r="1889">
          <cell r="A1889" t="str">
            <v>E1926</v>
          </cell>
          <cell r="B1889" t="str">
            <v>HISPIDA</v>
          </cell>
        </row>
        <row r="1890">
          <cell r="A1890" t="str">
            <v>E1927</v>
          </cell>
          <cell r="B1890" t="str">
            <v>HISPIDA</v>
          </cell>
        </row>
        <row r="1891">
          <cell r="A1891" t="str">
            <v>E1928</v>
          </cell>
          <cell r="B1891" t="str">
            <v>HISPIDA</v>
          </cell>
        </row>
        <row r="1892">
          <cell r="A1892" t="str">
            <v>E1929</v>
          </cell>
          <cell r="B1892" t="str">
            <v>Heuchera longiflora var. aceroides E1929 NC Buncombe</v>
          </cell>
        </row>
        <row r="1893">
          <cell r="A1893" t="str">
            <v>E1930</v>
          </cell>
          <cell r="B1893" t="str">
            <v>Heuchera parviflora var. parviflora E1930 NC Buncombe</v>
          </cell>
        </row>
        <row r="1894">
          <cell r="A1894" t="str">
            <v>E1931</v>
          </cell>
          <cell r="B1894" t="str">
            <v>Heuchera parviflora var. parviflora E1931 NC Polk</v>
          </cell>
        </row>
        <row r="1895">
          <cell r="A1895" t="str">
            <v>E1932</v>
          </cell>
          <cell r="B1895" t="str">
            <v>Heuchera parviflora var. parviflora E1932 NC Jackson</v>
          </cell>
        </row>
        <row r="1896">
          <cell r="A1896" t="str">
            <v>E1933</v>
          </cell>
          <cell r="B1896" t="str">
            <v>Heuchera parviflora var. parviflora E1933 NC Macon</v>
          </cell>
        </row>
        <row r="1897">
          <cell r="A1897" t="str">
            <v>E1934</v>
          </cell>
          <cell r="B1897" t="str">
            <v>Heuchera parviflora var. parviflora E1934 NC Polk</v>
          </cell>
        </row>
        <row r="1898">
          <cell r="A1898" t="str">
            <v>E1935</v>
          </cell>
          <cell r="B1898" t="str">
            <v>Heuchera parviflora var. parviflora E1935 NC Transylvania</v>
          </cell>
        </row>
        <row r="1899">
          <cell r="A1899" t="str">
            <v>E1936</v>
          </cell>
          <cell r="B1899" t="str">
            <v>Heuchera pubescens E1936 NC Stokes</v>
          </cell>
        </row>
        <row r="1900">
          <cell r="A1900" t="str">
            <v>E1937</v>
          </cell>
          <cell r="B1900" t="str">
            <v>Heuchera villosa var. villosa E1937 NC Alleghany</v>
          </cell>
        </row>
        <row r="1901">
          <cell r="A1901" t="str">
            <v>E1938</v>
          </cell>
          <cell r="B1901" t="str">
            <v>Heuchera villosa var. villosa E1938 NC Ashe</v>
          </cell>
        </row>
        <row r="1902">
          <cell r="A1902" t="str">
            <v>E1939</v>
          </cell>
          <cell r="B1902" t="str">
            <v>Heuchera villosa var. villosa E1939 NC Ashe</v>
          </cell>
        </row>
        <row r="1903">
          <cell r="A1903" t="str">
            <v>E1940</v>
          </cell>
          <cell r="B1903" t="str">
            <v>Heuchera villosa var. villosa E1940 NC Ashe</v>
          </cell>
        </row>
        <row r="1904">
          <cell r="A1904" t="str">
            <v>E1941</v>
          </cell>
          <cell r="B1904" t="str">
            <v>Heuchera villosa var. villosa E1941 NC Ashe</v>
          </cell>
        </row>
        <row r="1905">
          <cell r="A1905" t="str">
            <v>E1942</v>
          </cell>
          <cell r="B1905" t="str">
            <v>Heuchera villosa var. villosa E1942 NC Ashe</v>
          </cell>
        </row>
        <row r="1906">
          <cell r="A1906" t="str">
            <v>E1943</v>
          </cell>
          <cell r="B1906" t="str">
            <v>Heuchera villosa var. villosa E1943 NC Ashe</v>
          </cell>
        </row>
        <row r="1907">
          <cell r="A1907" t="str">
            <v>E1944</v>
          </cell>
          <cell r="B1907" t="str">
            <v>Heuchera villosa var. villosa E1944 NC Avery</v>
          </cell>
        </row>
        <row r="1908">
          <cell r="A1908" t="str">
            <v>E1945</v>
          </cell>
          <cell r="B1908" t="str">
            <v>Heuchera villosa var. villosa E1945 NC Avery</v>
          </cell>
        </row>
        <row r="1909">
          <cell r="A1909" t="str">
            <v>E1946</v>
          </cell>
          <cell r="B1909" t="str">
            <v>Heuchera villosa var. villosa E1946 NC Buncombe</v>
          </cell>
        </row>
        <row r="1910">
          <cell r="A1910" t="str">
            <v>E1947</v>
          </cell>
          <cell r="B1910" t="str">
            <v>Heuchera villosa var. villosa E1947 NC Burke</v>
          </cell>
        </row>
        <row r="1911">
          <cell r="A1911" t="str">
            <v>E1948</v>
          </cell>
          <cell r="B1911" t="str">
            <v>Heuchera villosa var. villosa E1948 NC Burke</v>
          </cell>
        </row>
        <row r="1912">
          <cell r="A1912" t="str">
            <v>E1949</v>
          </cell>
          <cell r="B1912" t="str">
            <v>Heuchera villosa var. villosa E1949 NC Caldwell</v>
          </cell>
        </row>
        <row r="1913">
          <cell r="A1913" t="str">
            <v>E1950</v>
          </cell>
          <cell r="B1913" t="str">
            <v>Heuchera villosa var. villosa E1950 NC Cherokee</v>
          </cell>
        </row>
        <row r="1914">
          <cell r="A1914" t="str">
            <v>E1951</v>
          </cell>
          <cell r="B1914" t="str">
            <v>Heuchera villosa var. villosa E1951 NC Clay</v>
          </cell>
        </row>
        <row r="1915">
          <cell r="A1915" t="str">
            <v>E1952</v>
          </cell>
          <cell r="B1915" t="str">
            <v>Heuchera villosa var. villosa E1952 NC Forsyth</v>
          </cell>
        </row>
        <row r="1916">
          <cell r="A1916" t="str">
            <v>E1953</v>
          </cell>
          <cell r="B1916" t="str">
            <v>Heuchera villosa var. villosa E1953 NC Graham</v>
          </cell>
        </row>
        <row r="1917">
          <cell r="A1917" t="str">
            <v>E1954</v>
          </cell>
          <cell r="B1917" t="str">
            <v>Heuchera villosa var. villosa E1954 NC Jackson</v>
          </cell>
        </row>
        <row r="1918">
          <cell r="A1918" t="str">
            <v>E1955</v>
          </cell>
          <cell r="B1918" t="str">
            <v>Heuchera villosa var. villosa E1955 NC Macon</v>
          </cell>
        </row>
        <row r="1919">
          <cell r="A1919" t="str">
            <v>E1956</v>
          </cell>
          <cell r="B1919" t="str">
            <v>Heuchera villosa var. villosa E1956 NC Macon</v>
          </cell>
        </row>
        <row r="1920">
          <cell r="A1920" t="str">
            <v>E1957</v>
          </cell>
          <cell r="B1920" t="str">
            <v>Heuchera villosa var. villosa E1957 NC Macon</v>
          </cell>
        </row>
        <row r="1921">
          <cell r="A1921" t="str">
            <v>E1958</v>
          </cell>
          <cell r="B1921" t="str">
            <v>Heuchera villosa var. villosa E1958 NC Macon</v>
          </cell>
        </row>
        <row r="1922">
          <cell r="A1922" t="str">
            <v>E1959</v>
          </cell>
          <cell r="B1922" t="str">
            <v>Heuchera villosa var. villosa E1959 NC Macon</v>
          </cell>
        </row>
        <row r="1923">
          <cell r="A1923" t="str">
            <v>E1960</v>
          </cell>
          <cell r="B1923" t="str">
            <v>Heuchera villosa var. villosa E1960 NC Madison</v>
          </cell>
        </row>
        <row r="1924">
          <cell r="A1924" t="str">
            <v>E1961</v>
          </cell>
          <cell r="B1924" t="str">
            <v>Heuchera villosa var. villosa E1961 NC Madison</v>
          </cell>
        </row>
        <row r="1925">
          <cell r="A1925" t="str">
            <v>E1962</v>
          </cell>
          <cell r="B1925" t="str">
            <v>Heuchera villosa var. villosa E1962 NC Madison</v>
          </cell>
        </row>
        <row r="1926">
          <cell r="A1926" t="str">
            <v>E1963</v>
          </cell>
          <cell r="B1926" t="str">
            <v>Heuchera villosa var. villosa E1963 NC Madison</v>
          </cell>
        </row>
        <row r="1927">
          <cell r="A1927" t="str">
            <v>E1964</v>
          </cell>
          <cell r="B1927" t="str">
            <v>Heuchera villosa var. villosa E1964 NC McDowell</v>
          </cell>
        </row>
        <row r="1928">
          <cell r="A1928" t="str">
            <v>E1965</v>
          </cell>
          <cell r="B1928" t="str">
            <v>Heuchera villosa var. villosa E1965 NC McDowell</v>
          </cell>
        </row>
        <row r="1929">
          <cell r="A1929" t="str">
            <v>E1966</v>
          </cell>
          <cell r="B1929" t="str">
            <v>Heuchera villosa var. villosa E1966 NC Mitchell</v>
          </cell>
        </row>
        <row r="1930">
          <cell r="A1930" t="str">
            <v>E1967</v>
          </cell>
          <cell r="B1930" t="str">
            <v>Heuchera villosa var. villosa E1967 NC Mitchell</v>
          </cell>
        </row>
        <row r="1931">
          <cell r="A1931" t="str">
            <v>E1968</v>
          </cell>
          <cell r="B1931" t="str">
            <v>Heuchera villosa var. villosa E1968 NC Rutherford</v>
          </cell>
        </row>
        <row r="1932">
          <cell r="A1932" t="str">
            <v>E1969</v>
          </cell>
          <cell r="B1932" t="str">
            <v>Heuchera villosa var. villosa E1969 NC Stokes</v>
          </cell>
        </row>
        <row r="1933">
          <cell r="A1933" t="str">
            <v>E1970</v>
          </cell>
          <cell r="B1933" t="str">
            <v>Heuchera villosa var. villosa E1970 NC Swain</v>
          </cell>
        </row>
        <row r="1934">
          <cell r="A1934" t="str">
            <v>E1971</v>
          </cell>
          <cell r="B1934" t="str">
            <v>Heuchera villosa var. villosa E1971 NC Swain</v>
          </cell>
        </row>
        <row r="1935">
          <cell r="A1935" t="str">
            <v>E1972</v>
          </cell>
          <cell r="B1935" t="str">
            <v>Heuchera villosa var. villosa E1972 NC Transylvania</v>
          </cell>
        </row>
        <row r="1936">
          <cell r="A1936" t="str">
            <v>E1973</v>
          </cell>
          <cell r="B1936" t="str">
            <v>Heuchera villosa var. villosa E1973 NC Transylvania</v>
          </cell>
        </row>
        <row r="1937">
          <cell r="A1937" t="str">
            <v>E1974</v>
          </cell>
          <cell r="B1937" t="str">
            <v>Heuchera villosa var. villosa E1974 NC Watauga</v>
          </cell>
        </row>
        <row r="1938">
          <cell r="A1938" t="str">
            <v>E1975</v>
          </cell>
          <cell r="B1938" t="str">
            <v>Heuchera villosa var. villosa E1975 NC Watauga</v>
          </cell>
        </row>
        <row r="1939">
          <cell r="A1939" t="str">
            <v>E1976</v>
          </cell>
          <cell r="B1939" t="str">
            <v>Heuchera villosa var. villosa E1976 NC Yancey</v>
          </cell>
        </row>
        <row r="1940">
          <cell r="A1940" t="str">
            <v>E1977</v>
          </cell>
          <cell r="B1940" t="str">
            <v>Heuchera villosa var. villosa E1977 NC Yancey</v>
          </cell>
        </row>
        <row r="1941">
          <cell r="A1941" t="str">
            <v>E1994</v>
          </cell>
          <cell r="B1941" t="str">
            <v>Heuchera villosa var. villosa E1994 NC Graham</v>
          </cell>
        </row>
        <row r="1942">
          <cell r="A1942" t="str">
            <v>E1995</v>
          </cell>
          <cell r="B1942" t="str">
            <v>Heuchera villosa var. villosa E1995 NC Haywood</v>
          </cell>
        </row>
        <row r="1943">
          <cell r="A1943" t="str">
            <v>E1996</v>
          </cell>
          <cell r="B1943" t="str">
            <v>Heuchera villosa var. villosa E1996 NC Haywood</v>
          </cell>
        </row>
        <row r="1944">
          <cell r="A1944" t="str">
            <v>E487</v>
          </cell>
          <cell r="B1944" t="str">
            <v>Heuchera alba E487 PA Blair</v>
          </cell>
        </row>
        <row r="1945">
          <cell r="A1945" t="str">
            <v>H100-10</v>
          </cell>
          <cell r="B1945" t="str">
            <v>Heuchera pubescens H100-10 VA Rockbridge</v>
          </cell>
        </row>
        <row r="1946">
          <cell r="A1946" t="str">
            <v>H100-3</v>
          </cell>
          <cell r="B1946" t="str">
            <v>Heuchera pubescens H100-3 VA Rockbridge</v>
          </cell>
        </row>
        <row r="1947">
          <cell r="A1947" t="str">
            <v>H100-4</v>
          </cell>
          <cell r="B1947" t="str">
            <v>Heuchera pubescens H100-4 VA Rockbridge</v>
          </cell>
        </row>
        <row r="1948">
          <cell r="A1948" t="str">
            <v>H100-5</v>
          </cell>
          <cell r="B1948" t="str">
            <v>Heuchera pubescens H100-5 VA Rockbridge</v>
          </cell>
        </row>
        <row r="1949">
          <cell r="A1949" t="str">
            <v>H100-6</v>
          </cell>
          <cell r="B1949" t="str">
            <v>Heuchera pubescens H100-6 VA Rockbridge</v>
          </cell>
        </row>
        <row r="1950">
          <cell r="A1950" t="str">
            <v>H100-7</v>
          </cell>
          <cell r="B1950" t="str">
            <v>Heuchera pubescens H100-7 VA Rockbridge</v>
          </cell>
        </row>
        <row r="1951">
          <cell r="A1951" t="str">
            <v>H100-8</v>
          </cell>
          <cell r="B1951" t="str">
            <v>Heuchera pubescens H100-8 VA Rockbridge</v>
          </cell>
        </row>
        <row r="1952">
          <cell r="A1952" t="str">
            <v>H100-9</v>
          </cell>
          <cell r="B1952" t="str">
            <v>Heuchera pubescens H100-9 VA Rockbridge</v>
          </cell>
        </row>
        <row r="1953">
          <cell r="A1953" t="str">
            <v>E629</v>
          </cell>
          <cell r="B1953" t="str">
            <v>Heuchera wootonii E629 NM Lincoln</v>
          </cell>
        </row>
        <row r="1954">
          <cell r="A1954" t="str">
            <v>A50-1</v>
          </cell>
          <cell r="B1954" t="str">
            <v>Heuchera caroliniana A50-1 SC</v>
          </cell>
        </row>
        <row r="1955">
          <cell r="A1955" t="str">
            <v>A50-2</v>
          </cell>
          <cell r="B1955" t="str">
            <v>Heuchera caroliniana A50-2 SC</v>
          </cell>
        </row>
        <row r="1956">
          <cell r="A1956" t="str">
            <v>A50-3</v>
          </cell>
          <cell r="B1956" t="str">
            <v>Heuchera caroliniana A50-3 SC</v>
          </cell>
        </row>
        <row r="1957">
          <cell r="A1957" t="str">
            <v>A50-4</v>
          </cell>
          <cell r="B1957" t="str">
            <v>Heuchera caroliniana A50-4 SC</v>
          </cell>
        </row>
        <row r="1958">
          <cell r="A1958" t="str">
            <v>A50-5</v>
          </cell>
          <cell r="B1958" t="str">
            <v>Heuchera caroliniana A50-5 SC</v>
          </cell>
        </row>
        <row r="1959">
          <cell r="A1959" t="str">
            <v>A50-6</v>
          </cell>
          <cell r="B1959" t="str">
            <v>Heuchera caroliniana A50-6 SC</v>
          </cell>
        </row>
        <row r="1960">
          <cell r="A1960" t="str">
            <v>A50-7</v>
          </cell>
          <cell r="B1960" t="str">
            <v>Heuchera caroliniana A50-7 SC</v>
          </cell>
        </row>
        <row r="1961">
          <cell r="A1961" t="str">
            <v>A50-8</v>
          </cell>
          <cell r="B1961" t="str">
            <v>Heuchera caroliniana A50-8 SC</v>
          </cell>
        </row>
        <row r="1962">
          <cell r="A1962" t="str">
            <v>A51-1</v>
          </cell>
          <cell r="B1962" t="str">
            <v>Heuchera longiflora var. longiflora A51-1 KY</v>
          </cell>
        </row>
        <row r="1963">
          <cell r="A1963" t="str">
            <v>A52-1</v>
          </cell>
          <cell r="B1963" t="str">
            <v>Tiarella cordifolia A52-1 KY</v>
          </cell>
        </row>
        <row r="1964">
          <cell r="A1964" t="str">
            <v>A53-1</v>
          </cell>
          <cell r="B1964" t="str">
            <v>CALYCOSA</v>
          </cell>
        </row>
        <row r="1965">
          <cell r="A1965" t="str">
            <v>A53-2</v>
          </cell>
          <cell r="B1965" t="str">
            <v>CALYCOSA</v>
          </cell>
        </row>
        <row r="1966">
          <cell r="A1966" t="str">
            <v>A53-3</v>
          </cell>
          <cell r="B1966" t="str">
            <v>CALYCOSA</v>
          </cell>
        </row>
        <row r="1967">
          <cell r="A1967" t="str">
            <v>A53-4</v>
          </cell>
          <cell r="B1967" t="str">
            <v>CALYCOSA</v>
          </cell>
        </row>
        <row r="1968">
          <cell r="A1968" t="str">
            <v>A53-5</v>
          </cell>
          <cell r="B1968" t="str">
            <v>CALYCOSA</v>
          </cell>
        </row>
        <row r="1969">
          <cell r="A1969" t="str">
            <v>A53-6</v>
          </cell>
          <cell r="B1969" t="str">
            <v>CALYCOSA</v>
          </cell>
        </row>
        <row r="1970">
          <cell r="A1970" t="str">
            <v>A53-7</v>
          </cell>
          <cell r="B1970" t="str">
            <v>CALYCOSA</v>
          </cell>
        </row>
        <row r="1971">
          <cell r="A1971" t="str">
            <v>A53-8</v>
          </cell>
          <cell r="B1971" t="str">
            <v>CALYCOSA</v>
          </cell>
        </row>
        <row r="1972">
          <cell r="A1972" t="str">
            <v>A53-9</v>
          </cell>
          <cell r="B1972" t="str">
            <v>CALYCOSA</v>
          </cell>
        </row>
        <row r="1973">
          <cell r="A1973" t="str">
            <v>A53-10</v>
          </cell>
          <cell r="B1973" t="str">
            <v>CALYCOSA</v>
          </cell>
        </row>
        <row r="1974">
          <cell r="A1974" t="str">
            <v>A54-1</v>
          </cell>
          <cell r="B1974" t="str">
            <v>CALYCOSA</v>
          </cell>
        </row>
        <row r="1975">
          <cell r="A1975" t="str">
            <v>A54-2</v>
          </cell>
          <cell r="B1975" t="str">
            <v>CALYCOSA</v>
          </cell>
        </row>
        <row r="1976">
          <cell r="A1976" t="str">
            <v>A54-3</v>
          </cell>
          <cell r="B1976" t="str">
            <v>CALYCOSA</v>
          </cell>
        </row>
        <row r="1977">
          <cell r="A1977" t="str">
            <v>A55-1</v>
          </cell>
          <cell r="B1977" t="str">
            <v>HETERADENIA</v>
          </cell>
        </row>
        <row r="1978">
          <cell r="A1978" t="str">
            <v>A55-2</v>
          </cell>
          <cell r="B1978" t="str">
            <v>HETERADENIA</v>
          </cell>
        </row>
        <row r="1979">
          <cell r="A1979" t="str">
            <v>A55-3</v>
          </cell>
          <cell r="B1979" t="str">
            <v>HETERADENIA</v>
          </cell>
        </row>
        <row r="1980">
          <cell r="A1980" t="str">
            <v>A55-4</v>
          </cell>
          <cell r="B1980" t="str">
            <v>HETERADENIA</v>
          </cell>
        </row>
        <row r="1981">
          <cell r="A1981" t="str">
            <v>A55-5</v>
          </cell>
          <cell r="B1981" t="str">
            <v>HETERADENIA</v>
          </cell>
        </row>
        <row r="1982">
          <cell r="A1982" t="str">
            <v>A55-6</v>
          </cell>
          <cell r="B1982" t="str">
            <v>HETERADENIA</v>
          </cell>
        </row>
        <row r="1983">
          <cell r="A1983" t="str">
            <v>A56-1</v>
          </cell>
          <cell r="B1983" t="str">
            <v>AMERICANA</v>
          </cell>
        </row>
        <row r="1984">
          <cell r="A1984" t="str">
            <v>A56-2</v>
          </cell>
          <cell r="B1984" t="str">
            <v>AMERICANA</v>
          </cell>
        </row>
        <row r="1985">
          <cell r="A1985" t="str">
            <v>A56-3</v>
          </cell>
          <cell r="B1985" t="str">
            <v>AMERICANA</v>
          </cell>
        </row>
        <row r="1986">
          <cell r="A1986" t="str">
            <v>A56-4</v>
          </cell>
          <cell r="B1986" t="str">
            <v>AMERICANA</v>
          </cell>
        </row>
        <row r="1987">
          <cell r="A1987" t="str">
            <v>A56-5</v>
          </cell>
          <cell r="B1987" t="str">
            <v>AMERICANA</v>
          </cell>
        </row>
        <row r="1988">
          <cell r="A1988" t="str">
            <v>A56-6</v>
          </cell>
          <cell r="B1988" t="str">
            <v>AMERICANA</v>
          </cell>
        </row>
        <row r="1989">
          <cell r="A1989" t="str">
            <v>A56-7</v>
          </cell>
          <cell r="B1989" t="str">
            <v>AMERICANA</v>
          </cell>
        </row>
        <row r="1990">
          <cell r="A1990" t="str">
            <v>A57</v>
          </cell>
          <cell r="B1990" t="str">
            <v>AMERICANA</v>
          </cell>
        </row>
        <row r="1991">
          <cell r="A1991" t="str">
            <v>A58-1</v>
          </cell>
          <cell r="B1991" t="str">
            <v>AMERICANA</v>
          </cell>
        </row>
        <row r="1992">
          <cell r="A1992" t="str">
            <v>A58-2</v>
          </cell>
          <cell r="B1992" t="str">
            <v>AMERICANA</v>
          </cell>
        </row>
        <row r="1993">
          <cell r="A1993" t="str">
            <v>A58-3</v>
          </cell>
          <cell r="B1993" t="str">
            <v>AMERICANA</v>
          </cell>
        </row>
        <row r="1994">
          <cell r="A1994" t="str">
            <v>A58-4</v>
          </cell>
          <cell r="B1994" t="str">
            <v>AMERICANA</v>
          </cell>
        </row>
        <row r="1995">
          <cell r="A1995" t="str">
            <v>A59-1</v>
          </cell>
          <cell r="B1995" t="str">
            <v>AMERICANA</v>
          </cell>
        </row>
        <row r="1996">
          <cell r="A1996" t="str">
            <v>A59-2</v>
          </cell>
          <cell r="B1996" t="str">
            <v>AMERICANA</v>
          </cell>
        </row>
        <row r="1997">
          <cell r="A1997" t="str">
            <v>A59-3</v>
          </cell>
          <cell r="B1997" t="str">
            <v>AMERICANA</v>
          </cell>
        </row>
        <row r="1998">
          <cell r="A1998" t="str">
            <v>A59-4</v>
          </cell>
          <cell r="B1998" t="str">
            <v>AMERICANA</v>
          </cell>
        </row>
        <row r="1999">
          <cell r="A1999" t="str">
            <v>A59-5</v>
          </cell>
          <cell r="B1999" t="str">
            <v>AMERICANA</v>
          </cell>
        </row>
        <row r="2000">
          <cell r="A2000" t="str">
            <v>A59-6</v>
          </cell>
          <cell r="B2000" t="str">
            <v>AMERICANA</v>
          </cell>
        </row>
        <row r="2001">
          <cell r="A2001" t="str">
            <v>A59-7</v>
          </cell>
          <cell r="B2001" t="str">
            <v>AMERICANA</v>
          </cell>
        </row>
        <row r="2002">
          <cell r="A2002" t="str">
            <v>A59-8</v>
          </cell>
          <cell r="B2002" t="str">
            <v>AMERICANA</v>
          </cell>
        </row>
        <row r="2003">
          <cell r="A2003" t="str">
            <v>A59-9</v>
          </cell>
          <cell r="B2003" t="str">
            <v>AMERICANA</v>
          </cell>
        </row>
        <row r="2004">
          <cell r="A2004" t="str">
            <v>A60-1</v>
          </cell>
          <cell r="B2004" t="str">
            <v>AMERICANA</v>
          </cell>
        </row>
        <row r="2005">
          <cell r="A2005" t="str">
            <v>A60-2</v>
          </cell>
          <cell r="B2005" t="str">
            <v>AMERICANA</v>
          </cell>
        </row>
        <row r="2006">
          <cell r="A2006" t="str">
            <v>A60-3</v>
          </cell>
          <cell r="B2006" t="str">
            <v>AMERICANA</v>
          </cell>
        </row>
        <row r="2007">
          <cell r="A2007" t="str">
            <v>A60-4</v>
          </cell>
          <cell r="B2007" t="str">
            <v>AMERICANA</v>
          </cell>
        </row>
        <row r="2008">
          <cell r="A2008" t="str">
            <v>A61-1</v>
          </cell>
          <cell r="B2008" t="str">
            <v>Heuchera longiflora var. aceroides A61-1</v>
          </cell>
        </row>
        <row r="2009">
          <cell r="A2009" t="str">
            <v>A61-2</v>
          </cell>
          <cell r="B2009" t="str">
            <v>Heuchera longiflora var. aceroides A61-2</v>
          </cell>
        </row>
        <row r="2010">
          <cell r="A2010" t="str">
            <v>A61-3</v>
          </cell>
          <cell r="B2010" t="str">
            <v>Heuchera longiflora var. aceroides A61-3</v>
          </cell>
        </row>
        <row r="2011">
          <cell r="A2011" t="str">
            <v>A61-4</v>
          </cell>
          <cell r="B2011" t="str">
            <v>Heuchera longiflora var. aceroides A61-4</v>
          </cell>
        </row>
        <row r="2012">
          <cell r="A2012" t="str">
            <v>A61-5</v>
          </cell>
          <cell r="B2012" t="str">
            <v>Heuchera longiflora var. aceroides A61-5</v>
          </cell>
        </row>
        <row r="2013">
          <cell r="A2013" t="str">
            <v>A61-6</v>
          </cell>
          <cell r="B2013" t="str">
            <v>Heuchera longiflora var. aceroides A61-6</v>
          </cell>
        </row>
        <row r="2014">
          <cell r="A2014" t="str">
            <v>A61-7</v>
          </cell>
          <cell r="B2014" t="str">
            <v>Heuchera longiflora var. aceroides A61-7</v>
          </cell>
        </row>
        <row r="2015">
          <cell r="A2015" t="str">
            <v>A61-8</v>
          </cell>
          <cell r="B2015" t="str">
            <v>Heuchera longiflora var. aceroides A61-8</v>
          </cell>
        </row>
        <row r="2016">
          <cell r="A2016" t="str">
            <v>A61-9</v>
          </cell>
          <cell r="B2016" t="str">
            <v>Heuchera longiflora var. aceroides A61-9</v>
          </cell>
        </row>
        <row r="2017">
          <cell r="A2017" t="str">
            <v>A62-1</v>
          </cell>
          <cell r="B2017" t="str">
            <v>HETERADENIA</v>
          </cell>
        </row>
        <row r="2018">
          <cell r="A2018" t="str">
            <v>A62-2</v>
          </cell>
          <cell r="B2018" t="str">
            <v>HETERADENIA</v>
          </cell>
        </row>
        <row r="2019">
          <cell r="A2019" t="str">
            <v>A62-3</v>
          </cell>
          <cell r="B2019" t="str">
            <v>HETERADENIA</v>
          </cell>
        </row>
        <row r="2020">
          <cell r="A2020" t="str">
            <v>A63-1</v>
          </cell>
          <cell r="B2020" t="str">
            <v>HETERADENIA</v>
          </cell>
        </row>
        <row r="2021">
          <cell r="A2021" t="str">
            <v>A63-2</v>
          </cell>
          <cell r="B2021" t="str">
            <v>HETERADENIA</v>
          </cell>
        </row>
        <row r="2022">
          <cell r="A2022" t="str">
            <v>A63-3</v>
          </cell>
          <cell r="B2022" t="str">
            <v>HETERADENIA</v>
          </cell>
        </row>
        <row r="2023">
          <cell r="A2023" t="str">
            <v>A63-4</v>
          </cell>
          <cell r="B2023" t="str">
            <v>HETERADENIA</v>
          </cell>
        </row>
        <row r="2024">
          <cell r="A2024" t="str">
            <v>A63-5</v>
          </cell>
          <cell r="B2024" t="str">
            <v>HETERADENIA</v>
          </cell>
        </row>
        <row r="2025">
          <cell r="A2025" t="str">
            <v>A63-6</v>
          </cell>
          <cell r="B2025" t="str">
            <v>HETERADENIA</v>
          </cell>
        </row>
        <row r="2026">
          <cell r="A2026" t="str">
            <v>A63-7</v>
          </cell>
          <cell r="B2026" t="str">
            <v>HETERADENIA</v>
          </cell>
        </row>
        <row r="2027">
          <cell r="A2027" t="str">
            <v>A63-8</v>
          </cell>
          <cell r="B2027" t="str">
            <v>HETERADENIA</v>
          </cell>
        </row>
        <row r="2028">
          <cell r="A2028" t="str">
            <v>A63-9</v>
          </cell>
          <cell r="B2028" t="str">
            <v>HETERADENIA</v>
          </cell>
        </row>
        <row r="2029">
          <cell r="A2029" t="str">
            <v>A63-10</v>
          </cell>
          <cell r="B2029" t="str">
            <v>HETERADENIA</v>
          </cell>
        </row>
        <row r="2030">
          <cell r="A2030" t="str">
            <v>A64-1</v>
          </cell>
          <cell r="B2030" t="str">
            <v>RICHARDSONII</v>
          </cell>
        </row>
        <row r="2031">
          <cell r="A2031" t="str">
            <v>A64-2</v>
          </cell>
          <cell r="B2031" t="str">
            <v>RICHARDSONII</v>
          </cell>
        </row>
        <row r="2032">
          <cell r="A2032" t="str">
            <v>A64-3</v>
          </cell>
          <cell r="B2032" t="str">
            <v>RICHARDSONII</v>
          </cell>
        </row>
        <row r="2033">
          <cell r="A2033" t="str">
            <v>A64-4</v>
          </cell>
          <cell r="B2033" t="str">
            <v>RICHARDSONII</v>
          </cell>
        </row>
        <row r="2034">
          <cell r="A2034" t="str">
            <v>A64-5</v>
          </cell>
          <cell r="B2034" t="str">
            <v>RICHARDSONII</v>
          </cell>
        </row>
        <row r="2035">
          <cell r="A2035" t="str">
            <v>A64-6</v>
          </cell>
          <cell r="B2035" t="str">
            <v>RICHARDSONII</v>
          </cell>
        </row>
        <row r="2036">
          <cell r="A2036" t="str">
            <v>A64-7</v>
          </cell>
          <cell r="B2036" t="str">
            <v>RICHARDSONII</v>
          </cell>
        </row>
        <row r="2037">
          <cell r="A2037" t="str">
            <v>A64-8</v>
          </cell>
          <cell r="B2037" t="str">
            <v>RICHARDSONII</v>
          </cell>
        </row>
        <row r="2038">
          <cell r="A2038" t="str">
            <v>A64-9</v>
          </cell>
          <cell r="B2038" t="str">
            <v>RICHARDSONII</v>
          </cell>
        </row>
        <row r="2039">
          <cell r="A2039" t="str">
            <v>A64-10</v>
          </cell>
          <cell r="B2039" t="str">
            <v>RICHARDSONII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3048-E649-4E46-9BC4-18CAAE9D6780}">
  <dimension ref="A1:M613"/>
  <sheetViews>
    <sheetView tabSelected="1" workbookViewId="0">
      <selection activeCell="H15" sqref="H15:H22"/>
    </sheetView>
  </sheetViews>
  <sheetFormatPr baseColWidth="10" defaultRowHeight="16" x14ac:dyDescent="0.2"/>
  <cols>
    <col min="2" max="2" width="25" customWidth="1"/>
    <col min="3" max="3" width="18.83203125" customWidth="1"/>
    <col min="4" max="4" width="24.6640625" customWidth="1"/>
    <col min="5" max="5" width="30.6640625" customWidth="1"/>
    <col min="6" max="6" width="12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254</v>
      </c>
      <c r="B2" t="s">
        <v>38</v>
      </c>
      <c r="C2" t="str">
        <f>_xlfn.XLOOKUP(A2,'[1]Putative species manifest'!A:A,'[1]Putative species manifest'!B:B)</f>
        <v>CALYCOSA</v>
      </c>
      <c r="D2" t="s">
        <v>249</v>
      </c>
      <c r="E2" t="s">
        <v>43</v>
      </c>
      <c r="F2" t="s">
        <v>255</v>
      </c>
      <c r="G2" t="s">
        <v>24</v>
      </c>
      <c r="H2" t="s">
        <v>256</v>
      </c>
      <c r="I2" t="s">
        <v>14</v>
      </c>
      <c r="J2" t="s">
        <v>40</v>
      </c>
      <c r="K2" t="s">
        <v>257</v>
      </c>
      <c r="L2">
        <v>33.725000000000001</v>
      </c>
      <c r="M2">
        <v>-85.600832999999994</v>
      </c>
    </row>
    <row r="3" spans="1:13" x14ac:dyDescent="0.2">
      <c r="A3" t="s">
        <v>258</v>
      </c>
      <c r="B3" t="s">
        <v>38</v>
      </c>
      <c r="C3" t="str">
        <f>_xlfn.XLOOKUP(A3,'[1]Putative species manifest'!A:A,'[1]Putative species manifest'!B:B)</f>
        <v>CALYCOSA</v>
      </c>
      <c r="D3" t="s">
        <v>249</v>
      </c>
      <c r="E3" t="s">
        <v>43</v>
      </c>
      <c r="F3" t="s">
        <v>255</v>
      </c>
      <c r="G3" t="s">
        <v>24</v>
      </c>
      <c r="H3" t="s">
        <v>256</v>
      </c>
      <c r="I3" t="s">
        <v>14</v>
      </c>
      <c r="J3" t="s">
        <v>40</v>
      </c>
      <c r="K3" t="s">
        <v>257</v>
      </c>
      <c r="L3">
        <v>33.725000000000001</v>
      </c>
      <c r="M3">
        <v>-85.600832999999994</v>
      </c>
    </row>
    <row r="4" spans="1:13" x14ac:dyDescent="0.2">
      <c r="A4" t="s">
        <v>258</v>
      </c>
      <c r="B4" t="s">
        <v>38</v>
      </c>
      <c r="C4" t="str">
        <f>_xlfn.XLOOKUP(A4,'[1]Putative species manifest'!A:A,'[1]Putative species manifest'!B:B)</f>
        <v>CALYCOSA</v>
      </c>
      <c r="D4" t="s">
        <v>249</v>
      </c>
      <c r="E4" t="s">
        <v>43</v>
      </c>
      <c r="F4" t="s">
        <v>255</v>
      </c>
      <c r="G4" t="s">
        <v>24</v>
      </c>
      <c r="H4" t="s">
        <v>256</v>
      </c>
      <c r="I4" t="s">
        <v>14</v>
      </c>
      <c r="J4" t="s">
        <v>40</v>
      </c>
      <c r="K4" t="s">
        <v>257</v>
      </c>
      <c r="L4">
        <v>33.725000000000001</v>
      </c>
      <c r="M4">
        <v>-85.600832999999994</v>
      </c>
    </row>
    <row r="5" spans="1:13" x14ac:dyDescent="0.2">
      <c r="A5" t="s">
        <v>259</v>
      </c>
      <c r="B5" t="s">
        <v>38</v>
      </c>
      <c r="C5" t="str">
        <f>_xlfn.XLOOKUP(A5,'[1]Putative species manifest'!A:A,'[1]Putative species manifest'!B:B)</f>
        <v>CALYCOSA</v>
      </c>
      <c r="D5" t="s">
        <v>249</v>
      </c>
      <c r="E5" t="s">
        <v>43</v>
      </c>
      <c r="F5" t="s">
        <v>255</v>
      </c>
      <c r="G5" t="s">
        <v>24</v>
      </c>
      <c r="H5" t="s">
        <v>256</v>
      </c>
      <c r="I5" t="s">
        <v>14</v>
      </c>
      <c r="J5" t="s">
        <v>40</v>
      </c>
      <c r="K5" t="s">
        <v>257</v>
      </c>
      <c r="L5">
        <v>33.725000000000001</v>
      </c>
      <c r="M5">
        <v>-85.600832999999994</v>
      </c>
    </row>
    <row r="6" spans="1:13" x14ac:dyDescent="0.2">
      <c r="A6" t="s">
        <v>260</v>
      </c>
      <c r="B6" t="s">
        <v>38</v>
      </c>
      <c r="C6" t="str">
        <f>_xlfn.XLOOKUP(A6,'[1]Putative species manifest'!A:A,'[1]Putative species manifest'!B:B)</f>
        <v>CALYCOSA</v>
      </c>
      <c r="D6" t="s">
        <v>249</v>
      </c>
      <c r="E6" t="s">
        <v>43</v>
      </c>
      <c r="F6" t="s">
        <v>255</v>
      </c>
      <c r="G6" t="s">
        <v>24</v>
      </c>
      <c r="H6" t="s">
        <v>256</v>
      </c>
      <c r="I6" t="s">
        <v>14</v>
      </c>
      <c r="J6" t="s">
        <v>40</v>
      </c>
      <c r="K6" t="s">
        <v>257</v>
      </c>
      <c r="L6">
        <v>33.725000000000001</v>
      </c>
      <c r="M6">
        <v>-85.600832999999994</v>
      </c>
    </row>
    <row r="7" spans="1:13" x14ac:dyDescent="0.2">
      <c r="A7" t="s">
        <v>358</v>
      </c>
      <c r="B7" t="s">
        <v>38</v>
      </c>
      <c r="C7" t="str">
        <f>_xlfn.XLOOKUP(A7,'[1]Putative species manifest'!A:A,'[1]Putative species manifest'!B:B)</f>
        <v>BREVIPETALA</v>
      </c>
      <c r="D7" t="s">
        <v>349</v>
      </c>
      <c r="E7" t="s">
        <v>50</v>
      </c>
      <c r="F7" t="s">
        <v>359</v>
      </c>
      <c r="G7" t="s">
        <v>24</v>
      </c>
      <c r="H7" t="s">
        <v>360</v>
      </c>
      <c r="I7" t="s">
        <v>14</v>
      </c>
      <c r="J7" t="s">
        <v>63</v>
      </c>
      <c r="K7" t="s">
        <v>149</v>
      </c>
      <c r="L7">
        <v>38.215277800000003</v>
      </c>
      <c r="M7">
        <v>-85.906943999999996</v>
      </c>
    </row>
    <row r="8" spans="1:13" x14ac:dyDescent="0.2">
      <c r="A8" t="s">
        <v>361</v>
      </c>
      <c r="B8" t="s">
        <v>38</v>
      </c>
      <c r="C8" t="str">
        <f>_xlfn.XLOOKUP(A8,'[1]Putative species manifest'!A:A,'[1]Putative species manifest'!B:B)</f>
        <v>BREVIPETALA</v>
      </c>
      <c r="D8" t="s">
        <v>349</v>
      </c>
      <c r="E8" t="s">
        <v>50</v>
      </c>
      <c r="F8" t="s">
        <v>359</v>
      </c>
      <c r="G8" t="s">
        <v>24</v>
      </c>
      <c r="H8" t="s">
        <v>360</v>
      </c>
      <c r="I8" t="s">
        <v>14</v>
      </c>
      <c r="J8" t="s">
        <v>63</v>
      </c>
      <c r="K8" t="s">
        <v>149</v>
      </c>
      <c r="L8">
        <v>38.215277800000003</v>
      </c>
      <c r="M8">
        <v>-85.906943999999996</v>
      </c>
    </row>
    <row r="9" spans="1:13" x14ac:dyDescent="0.2">
      <c r="A9" t="s">
        <v>362</v>
      </c>
      <c r="B9" t="s">
        <v>38</v>
      </c>
      <c r="C9" t="str">
        <f>_xlfn.XLOOKUP(A9,'[1]Putative species manifest'!A:A,'[1]Putative species manifest'!B:B)</f>
        <v>BREVIPETALA</v>
      </c>
      <c r="D9" t="s">
        <v>349</v>
      </c>
      <c r="E9" t="s">
        <v>50</v>
      </c>
      <c r="F9" t="s">
        <v>359</v>
      </c>
      <c r="G9" t="s">
        <v>24</v>
      </c>
      <c r="H9" t="s">
        <v>360</v>
      </c>
      <c r="I9" t="s">
        <v>14</v>
      </c>
      <c r="J9" t="s">
        <v>63</v>
      </c>
      <c r="K9" t="s">
        <v>149</v>
      </c>
      <c r="L9">
        <v>38.215277800000003</v>
      </c>
      <c r="M9">
        <v>-85.906943999999996</v>
      </c>
    </row>
    <row r="10" spans="1:13" x14ac:dyDescent="0.2">
      <c r="A10" t="s">
        <v>363</v>
      </c>
      <c r="B10" t="s">
        <v>38</v>
      </c>
      <c r="C10" t="str">
        <f>_xlfn.XLOOKUP(A10,'[1]Putative species manifest'!A:A,'[1]Putative species manifest'!B:B)</f>
        <v>BREVIPETALA</v>
      </c>
      <c r="D10" t="s">
        <v>349</v>
      </c>
      <c r="E10" t="s">
        <v>50</v>
      </c>
      <c r="F10" t="s">
        <v>359</v>
      </c>
      <c r="G10" t="s">
        <v>24</v>
      </c>
      <c r="H10" t="s">
        <v>360</v>
      </c>
      <c r="I10" t="s">
        <v>14</v>
      </c>
      <c r="J10" t="s">
        <v>63</v>
      </c>
      <c r="K10" t="s">
        <v>149</v>
      </c>
      <c r="L10">
        <v>38.215277800000003</v>
      </c>
      <c r="M10">
        <v>-85.906943999999996</v>
      </c>
    </row>
    <row r="11" spans="1:13" x14ac:dyDescent="0.2">
      <c r="A11" t="s">
        <v>364</v>
      </c>
      <c r="B11" t="s">
        <v>38</v>
      </c>
      <c r="C11" t="str">
        <f>_xlfn.XLOOKUP(A11,'[1]Putative species manifest'!A:A,'[1]Putative species manifest'!B:B)</f>
        <v>BREVIPETALA</v>
      </c>
      <c r="D11" t="s">
        <v>349</v>
      </c>
      <c r="E11" t="s">
        <v>50</v>
      </c>
      <c r="F11" t="s">
        <v>359</v>
      </c>
      <c r="G11" t="s">
        <v>24</v>
      </c>
      <c r="H11" t="s">
        <v>360</v>
      </c>
      <c r="I11" t="s">
        <v>14</v>
      </c>
      <c r="J11" t="s">
        <v>63</v>
      </c>
      <c r="K11" t="s">
        <v>149</v>
      </c>
      <c r="L11">
        <v>38.215277800000003</v>
      </c>
      <c r="M11">
        <v>-85.906943999999996</v>
      </c>
    </row>
    <row r="12" spans="1:13" x14ac:dyDescent="0.2">
      <c r="A12" t="s">
        <v>365</v>
      </c>
      <c r="B12" t="s">
        <v>38</v>
      </c>
      <c r="C12" t="str">
        <f>_xlfn.XLOOKUP(A12,'[1]Putative species manifest'!A:A,'[1]Putative species manifest'!B:B)</f>
        <v>BREVIPETALA</v>
      </c>
      <c r="D12" t="s">
        <v>349</v>
      </c>
      <c r="E12" t="s">
        <v>50</v>
      </c>
      <c r="F12" t="s">
        <v>359</v>
      </c>
      <c r="G12" t="s">
        <v>24</v>
      </c>
      <c r="H12" t="s">
        <v>360</v>
      </c>
      <c r="I12" t="s">
        <v>14</v>
      </c>
      <c r="J12" t="s">
        <v>63</v>
      </c>
      <c r="K12" t="s">
        <v>149</v>
      </c>
      <c r="L12">
        <v>38.215277800000003</v>
      </c>
      <c r="M12">
        <v>-85.906943999999996</v>
      </c>
    </row>
    <row r="13" spans="1:13" x14ac:dyDescent="0.2">
      <c r="A13" t="s">
        <v>366</v>
      </c>
      <c r="B13" t="s">
        <v>38</v>
      </c>
      <c r="C13" t="str">
        <f>_xlfn.XLOOKUP(A13,'[1]Putative species manifest'!A:A,'[1]Putative species manifest'!B:B)</f>
        <v>BREVIPETALA</v>
      </c>
      <c r="D13" t="s">
        <v>349</v>
      </c>
      <c r="E13" t="s">
        <v>50</v>
      </c>
      <c r="F13" t="s">
        <v>359</v>
      </c>
      <c r="G13" t="s">
        <v>24</v>
      </c>
      <c r="H13" t="s">
        <v>360</v>
      </c>
      <c r="I13" t="s">
        <v>14</v>
      </c>
      <c r="J13" t="s">
        <v>63</v>
      </c>
      <c r="K13" t="s">
        <v>149</v>
      </c>
      <c r="L13">
        <v>38.215277800000003</v>
      </c>
      <c r="M13">
        <v>-85.906943999999996</v>
      </c>
    </row>
    <row r="14" spans="1:13" x14ac:dyDescent="0.2">
      <c r="A14" t="s">
        <v>367</v>
      </c>
      <c r="B14" t="s">
        <v>38</v>
      </c>
      <c r="C14" t="str">
        <f>_xlfn.XLOOKUP(A14,'[1]Putative species manifest'!A:A,'[1]Putative species manifest'!B:B)</f>
        <v>BREVIPETALA</v>
      </c>
      <c r="D14" t="s">
        <v>349</v>
      </c>
      <c r="E14" t="s">
        <v>50</v>
      </c>
      <c r="F14" t="s">
        <v>359</v>
      </c>
      <c r="G14" t="s">
        <v>24</v>
      </c>
      <c r="H14" t="s">
        <v>360</v>
      </c>
      <c r="I14" t="s">
        <v>14</v>
      </c>
      <c r="J14" t="s">
        <v>63</v>
      </c>
      <c r="K14" t="s">
        <v>149</v>
      </c>
      <c r="L14">
        <v>38.215277800000003</v>
      </c>
      <c r="M14">
        <v>-85.906943999999996</v>
      </c>
    </row>
    <row r="15" spans="1:13" x14ac:dyDescent="0.2">
      <c r="A15" t="s">
        <v>348</v>
      </c>
      <c r="B15" t="s">
        <v>38</v>
      </c>
      <c r="C15" t="str">
        <f>_xlfn.XLOOKUP(A15,'[1]Putative species manifest'!A:A,'[1]Putative species manifest'!B:B)</f>
        <v>BREVIPETALA</v>
      </c>
      <c r="D15" t="s">
        <v>349</v>
      </c>
      <c r="E15" t="s">
        <v>50</v>
      </c>
      <c r="F15" t="s">
        <v>350</v>
      </c>
      <c r="H15" t="s">
        <v>1129</v>
      </c>
      <c r="I15" t="s">
        <v>14</v>
      </c>
      <c r="J15" t="s">
        <v>63</v>
      </c>
      <c r="K15" t="s">
        <v>160</v>
      </c>
      <c r="L15">
        <v>38.259166700000002</v>
      </c>
      <c r="M15">
        <v>-86.461388999999997</v>
      </c>
    </row>
    <row r="16" spans="1:13" x14ac:dyDescent="0.2">
      <c r="A16" t="s">
        <v>351</v>
      </c>
      <c r="B16" t="s">
        <v>38</v>
      </c>
      <c r="C16" t="str">
        <f>_xlfn.XLOOKUP(A16,'[1]Putative species manifest'!A:A,'[1]Putative species manifest'!B:B)</f>
        <v>BREVIPETALA</v>
      </c>
      <c r="D16" t="s">
        <v>349</v>
      </c>
      <c r="E16" t="s">
        <v>50</v>
      </c>
      <c r="F16" t="s">
        <v>350</v>
      </c>
      <c r="H16" t="s">
        <v>1129</v>
      </c>
      <c r="I16" t="s">
        <v>14</v>
      </c>
      <c r="J16" t="s">
        <v>63</v>
      </c>
      <c r="K16" t="s">
        <v>160</v>
      </c>
      <c r="L16">
        <v>38.259166700000002</v>
      </c>
      <c r="M16">
        <v>-86.461388999999997</v>
      </c>
    </row>
    <row r="17" spans="1:13" x14ac:dyDescent="0.2">
      <c r="A17" t="s">
        <v>352</v>
      </c>
      <c r="B17" t="s">
        <v>38</v>
      </c>
      <c r="C17" t="str">
        <f>_xlfn.XLOOKUP(A17,'[1]Putative species manifest'!A:A,'[1]Putative species manifest'!B:B)</f>
        <v>BREVIPETALA</v>
      </c>
      <c r="D17" t="s">
        <v>349</v>
      </c>
      <c r="E17" t="s">
        <v>50</v>
      </c>
      <c r="F17" t="s">
        <v>350</v>
      </c>
      <c r="H17" t="s">
        <v>1129</v>
      </c>
      <c r="I17" t="s">
        <v>14</v>
      </c>
      <c r="J17" t="s">
        <v>63</v>
      </c>
      <c r="K17" t="s">
        <v>160</v>
      </c>
      <c r="L17">
        <v>38.259166700000002</v>
      </c>
      <c r="M17">
        <v>-86.461388999999997</v>
      </c>
    </row>
    <row r="18" spans="1:13" x14ac:dyDescent="0.2">
      <c r="A18" t="s">
        <v>353</v>
      </c>
      <c r="B18" t="s">
        <v>38</v>
      </c>
      <c r="C18" t="str">
        <f>_xlfn.XLOOKUP(A18,'[1]Putative species manifest'!A:A,'[1]Putative species manifest'!B:B)</f>
        <v>BREVIPETALA</v>
      </c>
      <c r="D18" t="s">
        <v>349</v>
      </c>
      <c r="E18" t="s">
        <v>50</v>
      </c>
      <c r="F18" t="s">
        <v>350</v>
      </c>
      <c r="H18" t="s">
        <v>1129</v>
      </c>
      <c r="I18" t="s">
        <v>14</v>
      </c>
      <c r="J18" t="s">
        <v>63</v>
      </c>
      <c r="K18" t="s">
        <v>160</v>
      </c>
      <c r="L18">
        <v>38.259166700000002</v>
      </c>
      <c r="M18">
        <v>-86.461388999999997</v>
      </c>
    </row>
    <row r="19" spans="1:13" x14ac:dyDescent="0.2">
      <c r="A19" t="s">
        <v>354</v>
      </c>
      <c r="B19" t="s">
        <v>38</v>
      </c>
      <c r="C19" t="str">
        <f>_xlfn.XLOOKUP(A19,'[1]Putative species manifest'!A:A,'[1]Putative species manifest'!B:B)</f>
        <v>BREVIPETALA</v>
      </c>
      <c r="D19" t="s">
        <v>349</v>
      </c>
      <c r="E19" t="s">
        <v>50</v>
      </c>
      <c r="F19" t="s">
        <v>350</v>
      </c>
      <c r="H19" t="s">
        <v>1129</v>
      </c>
      <c r="I19" t="s">
        <v>14</v>
      </c>
      <c r="J19" t="s">
        <v>63</v>
      </c>
      <c r="K19" t="s">
        <v>160</v>
      </c>
      <c r="L19">
        <v>38.259166700000002</v>
      </c>
      <c r="M19">
        <v>-86.461388999999997</v>
      </c>
    </row>
    <row r="20" spans="1:13" x14ac:dyDescent="0.2">
      <c r="A20" t="s">
        <v>355</v>
      </c>
      <c r="B20" t="s">
        <v>38</v>
      </c>
      <c r="C20" t="str">
        <f>_xlfn.XLOOKUP(A20,'[1]Putative species manifest'!A:A,'[1]Putative species manifest'!B:B)</f>
        <v>BREVIPETALA</v>
      </c>
      <c r="D20" t="s">
        <v>349</v>
      </c>
      <c r="E20" t="s">
        <v>50</v>
      </c>
      <c r="F20" t="s">
        <v>350</v>
      </c>
      <c r="H20" t="s">
        <v>1129</v>
      </c>
      <c r="I20" t="s">
        <v>14</v>
      </c>
      <c r="J20" t="s">
        <v>63</v>
      </c>
      <c r="K20" t="s">
        <v>160</v>
      </c>
      <c r="L20">
        <v>38.259166700000002</v>
      </c>
      <c r="M20">
        <v>-86.461388999999997</v>
      </c>
    </row>
    <row r="21" spans="1:13" x14ac:dyDescent="0.2">
      <c r="A21" t="s">
        <v>356</v>
      </c>
      <c r="B21" t="s">
        <v>38</v>
      </c>
      <c r="C21" t="str">
        <f>_xlfn.XLOOKUP(A21,'[1]Putative species manifest'!A:A,'[1]Putative species manifest'!B:B)</f>
        <v>BREVIPETALA</v>
      </c>
      <c r="D21" t="s">
        <v>349</v>
      </c>
      <c r="E21" t="s">
        <v>50</v>
      </c>
      <c r="F21" t="s">
        <v>350</v>
      </c>
      <c r="H21" t="s">
        <v>1129</v>
      </c>
      <c r="I21" t="s">
        <v>14</v>
      </c>
      <c r="J21" t="s">
        <v>63</v>
      </c>
      <c r="K21" t="s">
        <v>160</v>
      </c>
      <c r="L21">
        <v>38.259166700000002</v>
      </c>
      <c r="M21">
        <v>-86.461388999999997</v>
      </c>
    </row>
    <row r="22" spans="1:13" x14ac:dyDescent="0.2">
      <c r="A22" t="s">
        <v>357</v>
      </c>
      <c r="B22" t="s">
        <v>38</v>
      </c>
      <c r="C22" t="str">
        <f>_xlfn.XLOOKUP(A22,'[1]Putative species manifest'!A:A,'[1]Putative species manifest'!B:B)</f>
        <v>BREVIPETALA</v>
      </c>
      <c r="D22" t="s">
        <v>349</v>
      </c>
      <c r="E22" t="s">
        <v>50</v>
      </c>
      <c r="F22" t="s">
        <v>350</v>
      </c>
      <c r="H22" t="s">
        <v>1129</v>
      </c>
      <c r="I22" t="s">
        <v>14</v>
      </c>
      <c r="J22" t="s">
        <v>63</v>
      </c>
      <c r="K22" t="s">
        <v>160</v>
      </c>
      <c r="L22">
        <v>38.259166700000002</v>
      </c>
      <c r="M22">
        <v>-86.461388999999997</v>
      </c>
    </row>
    <row r="23" spans="1:13" x14ac:dyDescent="0.2">
      <c r="A23" t="s">
        <v>1005</v>
      </c>
      <c r="B23" t="s">
        <v>100</v>
      </c>
      <c r="C23" t="str">
        <f>_xlfn.XLOOKUP(A23,'[1]Putative species manifest'!A:A,'[1]Putative species manifest'!B:B)</f>
        <v>HIRSUTICAULIS</v>
      </c>
      <c r="D23" t="s">
        <v>349</v>
      </c>
      <c r="E23" t="s">
        <v>101</v>
      </c>
      <c r="F23" t="s">
        <v>1006</v>
      </c>
      <c r="G23" t="s">
        <v>24</v>
      </c>
      <c r="H23" t="s">
        <v>1007</v>
      </c>
      <c r="I23" t="s">
        <v>14</v>
      </c>
      <c r="J23" t="s">
        <v>106</v>
      </c>
      <c r="K23" t="s">
        <v>159</v>
      </c>
      <c r="L23">
        <v>37.604849999999999</v>
      </c>
      <c r="M23">
        <v>-88.384666999999993</v>
      </c>
    </row>
    <row r="24" spans="1:13" x14ac:dyDescent="0.2">
      <c r="A24" t="s">
        <v>1008</v>
      </c>
      <c r="B24" t="s">
        <v>100</v>
      </c>
      <c r="C24" t="str">
        <f>_xlfn.XLOOKUP(A24,'[1]Putative species manifest'!A:A,'[1]Putative species manifest'!B:B)</f>
        <v>HIRSUTICAULIS</v>
      </c>
      <c r="D24" t="s">
        <v>349</v>
      </c>
      <c r="E24" t="s">
        <v>101</v>
      </c>
      <c r="F24" t="s">
        <v>1006</v>
      </c>
      <c r="G24" t="s">
        <v>24</v>
      </c>
      <c r="H24" t="s">
        <v>1007</v>
      </c>
      <c r="I24" t="s">
        <v>14</v>
      </c>
      <c r="J24" t="s">
        <v>106</v>
      </c>
      <c r="K24" t="s">
        <v>159</v>
      </c>
      <c r="L24">
        <v>37.604849999999999</v>
      </c>
      <c r="M24">
        <v>-88.384666999999993</v>
      </c>
    </row>
    <row r="25" spans="1:13" x14ac:dyDescent="0.2">
      <c r="A25" t="s">
        <v>1009</v>
      </c>
      <c r="B25" t="s">
        <v>100</v>
      </c>
      <c r="C25" t="str">
        <f>_xlfn.XLOOKUP(A25,'[1]Putative species manifest'!A:A,'[1]Putative species manifest'!B:B)</f>
        <v>HIRSUTICAULIS</v>
      </c>
      <c r="D25" t="s">
        <v>349</v>
      </c>
      <c r="E25" t="s">
        <v>101</v>
      </c>
      <c r="F25" t="s">
        <v>1006</v>
      </c>
      <c r="G25" t="s">
        <v>24</v>
      </c>
      <c r="H25" t="s">
        <v>1007</v>
      </c>
      <c r="I25" t="s">
        <v>14</v>
      </c>
      <c r="J25" t="s">
        <v>106</v>
      </c>
      <c r="K25" t="s">
        <v>159</v>
      </c>
      <c r="L25">
        <v>37.604849999999999</v>
      </c>
      <c r="M25">
        <v>-88.384666999999993</v>
      </c>
    </row>
    <row r="26" spans="1:13" x14ac:dyDescent="0.2">
      <c r="A26" t="s">
        <v>1010</v>
      </c>
      <c r="B26" t="s">
        <v>100</v>
      </c>
      <c r="C26" t="str">
        <f>_xlfn.XLOOKUP(A26,'[1]Putative species manifest'!A:A,'[1]Putative species manifest'!B:B)</f>
        <v>HIRSUTICAULIS</v>
      </c>
      <c r="D26" t="s">
        <v>349</v>
      </c>
      <c r="E26" t="s">
        <v>101</v>
      </c>
      <c r="F26" t="s">
        <v>1006</v>
      </c>
      <c r="G26" t="s">
        <v>24</v>
      </c>
      <c r="H26" t="s">
        <v>1007</v>
      </c>
      <c r="I26" t="s">
        <v>14</v>
      </c>
      <c r="J26" t="s">
        <v>106</v>
      </c>
      <c r="K26" t="s">
        <v>159</v>
      </c>
      <c r="L26">
        <v>37.604849999999999</v>
      </c>
      <c r="M26">
        <v>-88.384666999999993</v>
      </c>
    </row>
    <row r="27" spans="1:13" x14ac:dyDescent="0.2">
      <c r="A27" t="s">
        <v>1011</v>
      </c>
      <c r="B27" t="s">
        <v>100</v>
      </c>
      <c r="C27" t="str">
        <f>_xlfn.XLOOKUP(A27,'[1]Putative species manifest'!A:A,'[1]Putative species manifest'!B:B)</f>
        <v>HIRSUTICAULIS</v>
      </c>
      <c r="D27" t="s">
        <v>349</v>
      </c>
      <c r="E27" t="s">
        <v>101</v>
      </c>
      <c r="F27" t="s">
        <v>1006</v>
      </c>
      <c r="G27" t="s">
        <v>24</v>
      </c>
      <c r="H27" t="s">
        <v>1007</v>
      </c>
      <c r="I27" t="s">
        <v>14</v>
      </c>
      <c r="J27" t="s">
        <v>106</v>
      </c>
      <c r="K27" t="s">
        <v>159</v>
      </c>
      <c r="L27">
        <v>37.604849999999999</v>
      </c>
      <c r="M27">
        <v>-88.384666999999993</v>
      </c>
    </row>
    <row r="28" spans="1:13" x14ac:dyDescent="0.2">
      <c r="A28" t="s">
        <v>1012</v>
      </c>
      <c r="B28" t="s">
        <v>100</v>
      </c>
      <c r="C28" t="str">
        <f>_xlfn.XLOOKUP(A28,'[1]Putative species manifest'!A:A,'[1]Putative species manifest'!B:B)</f>
        <v>HIRSUTICAULIS</v>
      </c>
      <c r="D28" t="s">
        <v>349</v>
      </c>
      <c r="E28" t="s">
        <v>101</v>
      </c>
      <c r="F28" t="s">
        <v>1006</v>
      </c>
      <c r="G28" t="s">
        <v>24</v>
      </c>
      <c r="H28" t="s">
        <v>1007</v>
      </c>
      <c r="I28" t="s">
        <v>14</v>
      </c>
      <c r="J28" t="s">
        <v>106</v>
      </c>
      <c r="K28" t="s">
        <v>159</v>
      </c>
      <c r="L28">
        <v>37.604849999999999</v>
      </c>
      <c r="M28">
        <v>-88.384666999999993</v>
      </c>
    </row>
    <row r="29" spans="1:13" x14ac:dyDescent="0.2">
      <c r="A29" t="s">
        <v>1013</v>
      </c>
      <c r="B29" t="s">
        <v>100</v>
      </c>
      <c r="C29" t="str">
        <f>_xlfn.XLOOKUP(A29,'[1]Putative species manifest'!A:A,'[1]Putative species manifest'!B:B)</f>
        <v>HIRSUTICAULIS</v>
      </c>
      <c r="D29" t="s">
        <v>349</v>
      </c>
      <c r="E29" t="s">
        <v>101</v>
      </c>
      <c r="F29" t="s">
        <v>1006</v>
      </c>
      <c r="G29" t="s">
        <v>24</v>
      </c>
      <c r="H29" t="s">
        <v>1007</v>
      </c>
      <c r="I29" t="s">
        <v>14</v>
      </c>
      <c r="J29" t="s">
        <v>106</v>
      </c>
      <c r="K29" t="s">
        <v>159</v>
      </c>
      <c r="L29">
        <v>37.604849999999999</v>
      </c>
      <c r="M29">
        <v>-88.384666999999993</v>
      </c>
    </row>
    <row r="30" spans="1:13" x14ac:dyDescent="0.2">
      <c r="A30" t="s">
        <v>1014</v>
      </c>
      <c r="B30" t="s">
        <v>100</v>
      </c>
      <c r="C30" t="str">
        <f>_xlfn.XLOOKUP(A30,'[1]Putative species manifest'!A:A,'[1]Putative species manifest'!B:B)</f>
        <v>HIRSUTICAULIS</v>
      </c>
      <c r="D30" t="s">
        <v>349</v>
      </c>
      <c r="E30" t="s">
        <v>101</v>
      </c>
      <c r="F30" t="s">
        <v>1006</v>
      </c>
      <c r="G30" t="s">
        <v>24</v>
      </c>
      <c r="H30" t="s">
        <v>1007</v>
      </c>
      <c r="I30" t="s">
        <v>14</v>
      </c>
      <c r="J30" t="s">
        <v>106</v>
      </c>
      <c r="K30" t="s">
        <v>159</v>
      </c>
      <c r="L30">
        <v>37.604849999999999</v>
      </c>
      <c r="M30">
        <v>-88.384666999999993</v>
      </c>
    </row>
    <row r="31" spans="1:13" x14ac:dyDescent="0.2">
      <c r="A31" t="s">
        <v>1015</v>
      </c>
      <c r="B31" t="s">
        <v>100</v>
      </c>
      <c r="C31" t="str">
        <f>_xlfn.XLOOKUP(A31,'[1]Putative species manifest'!A:A,'[1]Putative species manifest'!B:B)</f>
        <v>HIRSUTICAULIS</v>
      </c>
      <c r="D31" t="s">
        <v>349</v>
      </c>
      <c r="E31" t="s">
        <v>101</v>
      </c>
      <c r="F31" t="s">
        <v>1006</v>
      </c>
      <c r="G31" t="s">
        <v>24</v>
      </c>
      <c r="H31" t="s">
        <v>1007</v>
      </c>
      <c r="I31" t="s">
        <v>14</v>
      </c>
      <c r="J31" t="s">
        <v>106</v>
      </c>
      <c r="K31" t="s">
        <v>159</v>
      </c>
      <c r="L31">
        <v>37.604849999999999</v>
      </c>
      <c r="M31">
        <v>-88.384666999999993</v>
      </c>
    </row>
    <row r="32" spans="1:13" x14ac:dyDescent="0.2">
      <c r="A32" t="s">
        <v>994</v>
      </c>
      <c r="B32" t="s">
        <v>100</v>
      </c>
      <c r="C32" t="str">
        <f>_xlfn.XLOOKUP(A32,'[1]Putative species manifest'!A:A,'[1]Putative species manifest'!B:B)</f>
        <v>HIRSUTICAULIS</v>
      </c>
      <c r="D32" t="s">
        <v>306</v>
      </c>
      <c r="E32" t="s">
        <v>101</v>
      </c>
      <c r="F32" t="s">
        <v>995</v>
      </c>
      <c r="G32" t="s">
        <v>24</v>
      </c>
      <c r="H32" t="s">
        <v>996</v>
      </c>
      <c r="I32" t="s">
        <v>14</v>
      </c>
      <c r="J32" t="s">
        <v>106</v>
      </c>
      <c r="K32" t="s">
        <v>997</v>
      </c>
      <c r="L32">
        <v>38.973055600000002</v>
      </c>
      <c r="M32">
        <v>-90.464444</v>
      </c>
    </row>
    <row r="33" spans="1:13" x14ac:dyDescent="0.2">
      <c r="A33" t="s">
        <v>1436</v>
      </c>
      <c r="B33" t="s">
        <v>84</v>
      </c>
      <c r="C33" t="str">
        <f>_xlfn.XLOOKUP(A33,'[1]Putative species manifest'!A:A,'[1]Putative species manifest'!B:B)</f>
        <v>RICHARDSONII</v>
      </c>
      <c r="D33" t="s">
        <v>306</v>
      </c>
      <c r="E33" t="s">
        <v>107</v>
      </c>
      <c r="F33" t="s">
        <v>184</v>
      </c>
      <c r="G33" t="s">
        <v>24</v>
      </c>
      <c r="H33" t="s">
        <v>185</v>
      </c>
      <c r="I33" t="s">
        <v>14</v>
      </c>
      <c r="J33" t="s">
        <v>114</v>
      </c>
      <c r="K33" t="s">
        <v>186</v>
      </c>
      <c r="L33">
        <v>38.1491167</v>
      </c>
      <c r="M33">
        <v>-92.825310999999999</v>
      </c>
    </row>
    <row r="34" spans="1:13" x14ac:dyDescent="0.2">
      <c r="A34" t="s">
        <v>1437</v>
      </c>
      <c r="B34" t="s">
        <v>84</v>
      </c>
      <c r="C34" t="str">
        <f>_xlfn.XLOOKUP(A34,'[1]Putative species manifest'!A:A,'[1]Putative species manifest'!B:B)</f>
        <v>RICHARDSONII</v>
      </c>
      <c r="D34" t="s">
        <v>306</v>
      </c>
      <c r="E34" t="s">
        <v>107</v>
      </c>
      <c r="F34" t="s">
        <v>184</v>
      </c>
      <c r="G34" t="s">
        <v>24</v>
      </c>
      <c r="H34" t="s">
        <v>185</v>
      </c>
      <c r="I34" t="s">
        <v>14</v>
      </c>
      <c r="J34" t="s">
        <v>114</v>
      </c>
      <c r="K34" t="s">
        <v>186</v>
      </c>
      <c r="L34">
        <v>38.1491167</v>
      </c>
      <c r="M34">
        <v>-92.825310999999999</v>
      </c>
    </row>
    <row r="35" spans="1:13" x14ac:dyDescent="0.2">
      <c r="A35" t="s">
        <v>1438</v>
      </c>
      <c r="B35" t="s">
        <v>84</v>
      </c>
      <c r="C35" t="str">
        <f>_xlfn.XLOOKUP(A35,'[1]Putative species manifest'!A:A,'[1]Putative species manifest'!B:B)</f>
        <v>RICHARDSONII</v>
      </c>
      <c r="D35" t="s">
        <v>306</v>
      </c>
      <c r="E35" t="s">
        <v>107</v>
      </c>
      <c r="F35" t="s">
        <v>184</v>
      </c>
      <c r="G35" t="s">
        <v>24</v>
      </c>
      <c r="H35" t="s">
        <v>185</v>
      </c>
      <c r="I35" t="s">
        <v>14</v>
      </c>
      <c r="J35" t="s">
        <v>114</v>
      </c>
      <c r="K35" t="s">
        <v>186</v>
      </c>
      <c r="L35">
        <v>38.1491167</v>
      </c>
      <c r="M35">
        <v>-92.825310999999999</v>
      </c>
    </row>
    <row r="36" spans="1:13" x14ac:dyDescent="0.2">
      <c r="A36" t="s">
        <v>1439</v>
      </c>
      <c r="B36" t="s">
        <v>84</v>
      </c>
      <c r="C36" t="str">
        <f>_xlfn.XLOOKUP(A36,'[1]Putative species manifest'!A:A,'[1]Putative species manifest'!B:B)</f>
        <v>RICHARDSONII</v>
      </c>
      <c r="D36" t="s">
        <v>306</v>
      </c>
      <c r="E36" t="s">
        <v>107</v>
      </c>
      <c r="F36" t="s">
        <v>184</v>
      </c>
      <c r="G36" t="s">
        <v>24</v>
      </c>
      <c r="H36" t="s">
        <v>185</v>
      </c>
      <c r="I36" t="s">
        <v>14</v>
      </c>
      <c r="J36" t="s">
        <v>114</v>
      </c>
      <c r="K36" t="s">
        <v>186</v>
      </c>
      <c r="L36">
        <v>38.1491167</v>
      </c>
      <c r="M36">
        <v>-92.825310999999999</v>
      </c>
    </row>
    <row r="37" spans="1:13" x14ac:dyDescent="0.2">
      <c r="A37" t="s">
        <v>1440</v>
      </c>
      <c r="B37" t="s">
        <v>84</v>
      </c>
      <c r="C37" t="str">
        <f>_xlfn.XLOOKUP(A37,'[1]Putative species manifest'!A:A,'[1]Putative species manifest'!B:B)</f>
        <v>RICHARDSONII</v>
      </c>
      <c r="D37" t="s">
        <v>188</v>
      </c>
      <c r="E37" t="s">
        <v>107</v>
      </c>
      <c r="F37" t="s">
        <v>184</v>
      </c>
      <c r="G37" t="s">
        <v>24</v>
      </c>
      <c r="H37" t="s">
        <v>185</v>
      </c>
      <c r="I37" t="s">
        <v>14</v>
      </c>
      <c r="J37" t="s">
        <v>114</v>
      </c>
      <c r="K37" t="s">
        <v>186</v>
      </c>
      <c r="L37">
        <v>38.1491167</v>
      </c>
      <c r="M37">
        <v>-92.825310999999999</v>
      </c>
    </row>
    <row r="38" spans="1:13" x14ac:dyDescent="0.2">
      <c r="A38" t="s">
        <v>1441</v>
      </c>
      <c r="B38" t="s">
        <v>84</v>
      </c>
      <c r="C38" t="str">
        <f>_xlfn.XLOOKUP(A38,'[1]Putative species manifest'!A:A,'[1]Putative species manifest'!B:B)</f>
        <v>RICHARDSONII</v>
      </c>
      <c r="D38" t="s">
        <v>306</v>
      </c>
      <c r="E38" t="s">
        <v>107</v>
      </c>
      <c r="F38" t="s">
        <v>184</v>
      </c>
      <c r="G38" t="s">
        <v>24</v>
      </c>
      <c r="H38" t="s">
        <v>185</v>
      </c>
      <c r="I38" t="s">
        <v>14</v>
      </c>
      <c r="J38" t="s">
        <v>114</v>
      </c>
      <c r="K38" t="s">
        <v>186</v>
      </c>
      <c r="L38">
        <v>38.1491167</v>
      </c>
      <c r="M38">
        <v>-92.825310999999999</v>
      </c>
    </row>
    <row r="39" spans="1:13" x14ac:dyDescent="0.2">
      <c r="A39" t="s">
        <v>1442</v>
      </c>
      <c r="B39" t="s">
        <v>84</v>
      </c>
      <c r="C39" t="str">
        <f>_xlfn.XLOOKUP(A39,'[1]Putative species manifest'!A:A,'[1]Putative species manifest'!B:B)</f>
        <v>RICHARDSONII</v>
      </c>
      <c r="D39" t="s">
        <v>306</v>
      </c>
      <c r="E39" t="s">
        <v>107</v>
      </c>
      <c r="F39" t="s">
        <v>184</v>
      </c>
      <c r="G39" t="s">
        <v>24</v>
      </c>
      <c r="H39" t="s">
        <v>185</v>
      </c>
      <c r="I39" t="s">
        <v>14</v>
      </c>
      <c r="J39" t="s">
        <v>114</v>
      </c>
      <c r="K39" t="s">
        <v>186</v>
      </c>
      <c r="L39">
        <v>38.1491167</v>
      </c>
      <c r="M39">
        <v>-92.825310999999999</v>
      </c>
    </row>
    <row r="40" spans="1:13" x14ac:dyDescent="0.2">
      <c r="A40" t="s">
        <v>1443</v>
      </c>
      <c r="B40" t="s">
        <v>84</v>
      </c>
      <c r="C40" t="str">
        <f>_xlfn.XLOOKUP(A40,'[1]Putative species manifest'!A:A,'[1]Putative species manifest'!B:B)</f>
        <v>RICHARDSONII</v>
      </c>
      <c r="D40" t="s">
        <v>306</v>
      </c>
      <c r="E40" t="s">
        <v>107</v>
      </c>
      <c r="F40" t="s">
        <v>184</v>
      </c>
      <c r="G40" t="s">
        <v>24</v>
      </c>
      <c r="H40" t="s">
        <v>185</v>
      </c>
      <c r="I40" t="s">
        <v>14</v>
      </c>
      <c r="J40" t="s">
        <v>114</v>
      </c>
      <c r="K40" t="s">
        <v>186</v>
      </c>
      <c r="L40">
        <v>38.1491167</v>
      </c>
      <c r="M40">
        <v>-92.825310999999999</v>
      </c>
    </row>
    <row r="41" spans="1:13" x14ac:dyDescent="0.2">
      <c r="A41" t="s">
        <v>1444</v>
      </c>
      <c r="B41" t="s">
        <v>84</v>
      </c>
      <c r="C41" t="str">
        <f>_xlfn.XLOOKUP(A41,'[1]Putative species manifest'!A:A,'[1]Putative species manifest'!B:B)</f>
        <v>RICHARDSONII</v>
      </c>
      <c r="D41" t="s">
        <v>306</v>
      </c>
      <c r="E41" t="s">
        <v>107</v>
      </c>
      <c r="F41" t="s">
        <v>184</v>
      </c>
      <c r="G41" t="s">
        <v>24</v>
      </c>
      <c r="H41" t="s">
        <v>185</v>
      </c>
      <c r="I41" t="s">
        <v>14</v>
      </c>
      <c r="J41" t="s">
        <v>114</v>
      </c>
      <c r="K41" t="s">
        <v>186</v>
      </c>
      <c r="L41">
        <v>38.1491167</v>
      </c>
      <c r="M41">
        <v>-92.825310999999999</v>
      </c>
    </row>
    <row r="42" spans="1:13" x14ac:dyDescent="0.2">
      <c r="A42" t="s">
        <v>1445</v>
      </c>
      <c r="B42" t="s">
        <v>84</v>
      </c>
      <c r="C42" t="str">
        <f>_xlfn.XLOOKUP(A42,'[1]Putative species manifest'!A:A,'[1]Putative species manifest'!B:B)</f>
        <v>RICHARDSONII</v>
      </c>
      <c r="D42" t="s">
        <v>188</v>
      </c>
      <c r="E42" t="s">
        <v>107</v>
      </c>
      <c r="F42" t="s">
        <v>184</v>
      </c>
      <c r="G42" t="s">
        <v>24</v>
      </c>
      <c r="H42" t="s">
        <v>185</v>
      </c>
      <c r="I42" t="s">
        <v>14</v>
      </c>
      <c r="J42" t="s">
        <v>114</v>
      </c>
      <c r="K42" t="s">
        <v>186</v>
      </c>
      <c r="L42">
        <v>38.1491167</v>
      </c>
      <c r="M42">
        <v>-92.825310999999999</v>
      </c>
    </row>
    <row r="43" spans="1:13" x14ac:dyDescent="0.2">
      <c r="A43" t="s">
        <v>1446</v>
      </c>
      <c r="B43" t="s">
        <v>84</v>
      </c>
      <c r="C43" t="str">
        <f>_xlfn.XLOOKUP(A43,'[1]Putative species manifest'!A:A,'[1]Putative species manifest'!B:B)</f>
        <v>RICHARDSONII</v>
      </c>
      <c r="D43" t="s">
        <v>188</v>
      </c>
      <c r="E43" t="s">
        <v>107</v>
      </c>
      <c r="F43" t="s">
        <v>184</v>
      </c>
      <c r="G43" t="s">
        <v>24</v>
      </c>
      <c r="H43" t="s">
        <v>185</v>
      </c>
      <c r="I43" t="s">
        <v>14</v>
      </c>
      <c r="J43" t="s">
        <v>114</v>
      </c>
      <c r="K43" t="s">
        <v>186</v>
      </c>
      <c r="L43">
        <v>38.1491167</v>
      </c>
      <c r="M43">
        <v>-92.825310999999999</v>
      </c>
    </row>
    <row r="44" spans="1:13" x14ac:dyDescent="0.2">
      <c r="A44" t="s">
        <v>1447</v>
      </c>
      <c r="B44" t="s">
        <v>84</v>
      </c>
      <c r="C44" t="str">
        <f>_xlfn.XLOOKUP(A44,'[1]Putative species manifest'!A:A,'[1]Putative species manifest'!B:B)</f>
        <v>RICHARDSONII</v>
      </c>
      <c r="D44" t="s">
        <v>188</v>
      </c>
      <c r="E44" t="s">
        <v>107</v>
      </c>
      <c r="F44" t="s">
        <v>184</v>
      </c>
      <c r="G44" t="s">
        <v>24</v>
      </c>
      <c r="H44" t="s">
        <v>185</v>
      </c>
      <c r="I44" t="s">
        <v>14</v>
      </c>
      <c r="J44" t="s">
        <v>114</v>
      </c>
      <c r="K44" t="s">
        <v>186</v>
      </c>
      <c r="L44">
        <v>38.1491167</v>
      </c>
      <c r="M44">
        <v>-92.825310999999999</v>
      </c>
    </row>
    <row r="45" spans="1:13" x14ac:dyDescent="0.2">
      <c r="A45" t="s">
        <v>1448</v>
      </c>
      <c r="B45" t="s">
        <v>84</v>
      </c>
      <c r="C45" t="str">
        <f>_xlfn.XLOOKUP(A45,'[1]Putative species manifest'!A:A,'[1]Putative species manifest'!B:B)</f>
        <v>RICHARDSONII</v>
      </c>
      <c r="D45" t="s">
        <v>306</v>
      </c>
      <c r="E45" t="s">
        <v>107</v>
      </c>
      <c r="F45" t="s">
        <v>184</v>
      </c>
      <c r="G45" t="s">
        <v>24</v>
      </c>
      <c r="H45" t="s">
        <v>185</v>
      </c>
      <c r="I45" t="s">
        <v>14</v>
      </c>
      <c r="J45" t="s">
        <v>114</v>
      </c>
      <c r="K45" t="s">
        <v>186</v>
      </c>
      <c r="L45">
        <v>38.1491167</v>
      </c>
      <c r="M45">
        <v>-92.825310999999999</v>
      </c>
    </row>
    <row r="46" spans="1:13" x14ac:dyDescent="0.2">
      <c r="A46" t="s">
        <v>1508</v>
      </c>
      <c r="B46" t="s">
        <v>84</v>
      </c>
      <c r="C46" t="str">
        <f>_xlfn.XLOOKUP(A46,'[1]Putative species manifest'!A:A,'[1]Putative species manifest'!B:B)</f>
        <v>GRAYANA</v>
      </c>
      <c r="D46" t="s">
        <v>1034</v>
      </c>
      <c r="E46" t="s">
        <v>107</v>
      </c>
      <c r="F46" t="s">
        <v>192</v>
      </c>
      <c r="G46" t="s">
        <v>24</v>
      </c>
      <c r="H46" t="s">
        <v>193</v>
      </c>
      <c r="I46" t="s">
        <v>14</v>
      </c>
      <c r="J46" t="s">
        <v>194</v>
      </c>
      <c r="K46" t="s">
        <v>195</v>
      </c>
      <c r="L46">
        <v>43.417499999999997</v>
      </c>
      <c r="M46">
        <v>-89.726944000000003</v>
      </c>
    </row>
    <row r="47" spans="1:13" x14ac:dyDescent="0.2">
      <c r="A47" t="s">
        <v>1509</v>
      </c>
      <c r="B47" t="s">
        <v>84</v>
      </c>
      <c r="C47" t="str">
        <f>_xlfn.XLOOKUP(A47,'[1]Putative species manifest'!A:A,'[1]Putative species manifest'!B:B)</f>
        <v>GRAYANA</v>
      </c>
      <c r="D47" t="s">
        <v>1034</v>
      </c>
      <c r="E47" t="s">
        <v>107</v>
      </c>
      <c r="F47" t="s">
        <v>192</v>
      </c>
      <c r="G47" t="s">
        <v>24</v>
      </c>
      <c r="H47" t="s">
        <v>193</v>
      </c>
      <c r="I47" t="s">
        <v>14</v>
      </c>
      <c r="J47" t="s">
        <v>194</v>
      </c>
      <c r="K47" t="s">
        <v>195</v>
      </c>
      <c r="L47">
        <v>43.417499999999997</v>
      </c>
      <c r="M47">
        <v>-89.726944000000003</v>
      </c>
    </row>
    <row r="48" spans="1:13" x14ac:dyDescent="0.2">
      <c r="A48" t="s">
        <v>1510</v>
      </c>
      <c r="B48" t="s">
        <v>84</v>
      </c>
      <c r="C48" t="str">
        <f>_xlfn.XLOOKUP(A48,'[1]Putative species manifest'!A:A,'[1]Putative species manifest'!B:B)</f>
        <v>GRAYANA</v>
      </c>
      <c r="D48" t="s">
        <v>1034</v>
      </c>
      <c r="E48" t="s">
        <v>107</v>
      </c>
      <c r="F48" t="s">
        <v>192</v>
      </c>
      <c r="G48" t="s">
        <v>24</v>
      </c>
      <c r="H48" t="s">
        <v>193</v>
      </c>
      <c r="I48" t="s">
        <v>14</v>
      </c>
      <c r="J48" t="s">
        <v>194</v>
      </c>
      <c r="K48" t="s">
        <v>195</v>
      </c>
      <c r="L48">
        <v>43.417499999999997</v>
      </c>
      <c r="M48">
        <v>-89.726944000000003</v>
      </c>
    </row>
    <row r="49" spans="1:13" x14ac:dyDescent="0.2">
      <c r="A49" t="s">
        <v>1511</v>
      </c>
      <c r="B49" t="s">
        <v>84</v>
      </c>
      <c r="C49" t="str">
        <f>_xlfn.XLOOKUP(A49,'[1]Putative species manifest'!A:A,'[1]Putative species manifest'!B:B)</f>
        <v>GRAYANA</v>
      </c>
      <c r="D49" t="s">
        <v>1034</v>
      </c>
      <c r="E49" t="s">
        <v>107</v>
      </c>
      <c r="F49" t="s">
        <v>192</v>
      </c>
      <c r="G49" t="s">
        <v>24</v>
      </c>
      <c r="H49" t="s">
        <v>193</v>
      </c>
      <c r="I49" t="s">
        <v>14</v>
      </c>
      <c r="J49" t="s">
        <v>194</v>
      </c>
      <c r="K49" t="s">
        <v>195</v>
      </c>
      <c r="L49">
        <v>43.417499999999997</v>
      </c>
      <c r="M49">
        <v>-89.726944000000003</v>
      </c>
    </row>
    <row r="50" spans="1:13" x14ac:dyDescent="0.2">
      <c r="A50" t="s">
        <v>1512</v>
      </c>
      <c r="B50" t="s">
        <v>84</v>
      </c>
      <c r="C50" t="str">
        <f>_xlfn.XLOOKUP(A50,'[1]Putative species manifest'!A:A,'[1]Putative species manifest'!B:B)</f>
        <v>GRAYANA</v>
      </c>
      <c r="D50" t="s">
        <v>1034</v>
      </c>
      <c r="E50" t="s">
        <v>107</v>
      </c>
      <c r="F50" t="s">
        <v>192</v>
      </c>
      <c r="G50" t="s">
        <v>24</v>
      </c>
      <c r="H50" t="s">
        <v>193</v>
      </c>
      <c r="I50" t="s">
        <v>14</v>
      </c>
      <c r="J50" t="s">
        <v>194</v>
      </c>
      <c r="K50" t="s">
        <v>195</v>
      </c>
      <c r="L50">
        <v>43.417499999999997</v>
      </c>
      <c r="M50">
        <v>-89.726944000000003</v>
      </c>
    </row>
    <row r="51" spans="1:13" x14ac:dyDescent="0.2">
      <c r="A51" t="s">
        <v>1513</v>
      </c>
      <c r="B51" t="s">
        <v>84</v>
      </c>
      <c r="C51" t="str">
        <f>_xlfn.XLOOKUP(A51,'[1]Putative species manifest'!A:A,'[1]Putative species manifest'!B:B)</f>
        <v>GRAYANA</v>
      </c>
      <c r="D51" t="s">
        <v>1034</v>
      </c>
      <c r="E51" t="s">
        <v>107</v>
      </c>
      <c r="F51" t="s">
        <v>192</v>
      </c>
      <c r="G51" t="s">
        <v>24</v>
      </c>
      <c r="H51" t="s">
        <v>193</v>
      </c>
      <c r="I51" t="s">
        <v>14</v>
      </c>
      <c r="J51" t="s">
        <v>194</v>
      </c>
      <c r="K51" t="s">
        <v>195</v>
      </c>
      <c r="L51">
        <v>43.417499999999997</v>
      </c>
      <c r="M51">
        <v>-89.726944000000003</v>
      </c>
    </row>
    <row r="52" spans="1:13" x14ac:dyDescent="0.2">
      <c r="A52" t="s">
        <v>1514</v>
      </c>
      <c r="B52" t="s">
        <v>84</v>
      </c>
      <c r="C52" t="str">
        <f>_xlfn.XLOOKUP(A52,'[1]Putative species manifest'!A:A,'[1]Putative species manifest'!B:B)</f>
        <v>GRAYANA</v>
      </c>
      <c r="D52" t="s">
        <v>1034</v>
      </c>
      <c r="E52" t="s">
        <v>107</v>
      </c>
      <c r="F52" t="s">
        <v>192</v>
      </c>
      <c r="G52" t="s">
        <v>24</v>
      </c>
      <c r="H52" t="s">
        <v>193</v>
      </c>
      <c r="I52" t="s">
        <v>14</v>
      </c>
      <c r="J52" t="s">
        <v>194</v>
      </c>
      <c r="K52" t="s">
        <v>195</v>
      </c>
      <c r="L52">
        <v>43.417499999999997</v>
      </c>
      <c r="M52">
        <v>-89.726944000000003</v>
      </c>
    </row>
    <row r="53" spans="1:13" x14ac:dyDescent="0.2">
      <c r="A53" t="s">
        <v>1515</v>
      </c>
      <c r="B53" t="s">
        <v>84</v>
      </c>
      <c r="C53" t="str">
        <f>_xlfn.XLOOKUP(A53,'[1]Putative species manifest'!A:A,'[1]Putative species manifest'!B:B)</f>
        <v>GRAYANA</v>
      </c>
      <c r="D53" t="s">
        <v>1034</v>
      </c>
      <c r="E53" t="s">
        <v>107</v>
      </c>
      <c r="F53" t="s">
        <v>192</v>
      </c>
      <c r="G53" t="s">
        <v>24</v>
      </c>
      <c r="H53" t="s">
        <v>193</v>
      </c>
      <c r="I53" t="s">
        <v>14</v>
      </c>
      <c r="J53" t="s">
        <v>194</v>
      </c>
      <c r="K53" t="s">
        <v>195</v>
      </c>
      <c r="L53">
        <v>43.417499999999997</v>
      </c>
      <c r="M53">
        <v>-89.726944000000003</v>
      </c>
    </row>
    <row r="54" spans="1:13" x14ac:dyDescent="0.2">
      <c r="A54" t="s">
        <v>1516</v>
      </c>
      <c r="B54" t="s">
        <v>84</v>
      </c>
      <c r="C54" t="str">
        <f>_xlfn.XLOOKUP(A54,'[1]Putative species manifest'!A:A,'[1]Putative species manifest'!B:B)</f>
        <v>GRAYANA</v>
      </c>
      <c r="D54" t="s">
        <v>1034</v>
      </c>
      <c r="E54" t="s">
        <v>107</v>
      </c>
      <c r="F54" t="s">
        <v>192</v>
      </c>
      <c r="G54" t="s">
        <v>24</v>
      </c>
      <c r="H54" t="s">
        <v>193</v>
      </c>
      <c r="I54" t="s">
        <v>14</v>
      </c>
      <c r="J54" t="s">
        <v>194</v>
      </c>
      <c r="K54" t="s">
        <v>195</v>
      </c>
      <c r="L54">
        <v>43.417499999999997</v>
      </c>
      <c r="M54">
        <v>-89.726944000000003</v>
      </c>
    </row>
    <row r="55" spans="1:13" x14ac:dyDescent="0.2">
      <c r="A55" t="s">
        <v>1516</v>
      </c>
      <c r="B55" t="s">
        <v>84</v>
      </c>
      <c r="C55" t="str">
        <f>_xlfn.XLOOKUP(A55,'[1]Putative species manifest'!A:A,'[1]Putative species manifest'!B:B)</f>
        <v>GRAYANA</v>
      </c>
      <c r="D55" t="s">
        <v>1034</v>
      </c>
      <c r="E55" t="s">
        <v>107</v>
      </c>
      <c r="F55" t="s">
        <v>192</v>
      </c>
      <c r="G55" t="s">
        <v>24</v>
      </c>
      <c r="H55" t="s">
        <v>193</v>
      </c>
      <c r="I55" t="s">
        <v>14</v>
      </c>
      <c r="J55" t="s">
        <v>194</v>
      </c>
      <c r="K55" t="s">
        <v>195</v>
      </c>
      <c r="L55">
        <v>43.417499999999997</v>
      </c>
      <c r="M55">
        <v>-89.726944000000003</v>
      </c>
    </row>
    <row r="56" spans="1:13" x14ac:dyDescent="0.2">
      <c r="A56" t="s">
        <v>1497</v>
      </c>
      <c r="B56" t="s">
        <v>84</v>
      </c>
      <c r="C56" t="str">
        <f>_xlfn.XLOOKUP(A56,'[1]Putative species manifest'!A:A,'[1]Putative species manifest'!B:B)</f>
        <v>RICHARDSONII</v>
      </c>
      <c r="D56" t="s">
        <v>188</v>
      </c>
      <c r="E56" t="s">
        <v>84</v>
      </c>
      <c r="F56" t="s">
        <v>1498</v>
      </c>
      <c r="G56" t="s">
        <v>24</v>
      </c>
      <c r="H56" t="s">
        <v>1499</v>
      </c>
      <c r="I56" t="s">
        <v>14</v>
      </c>
      <c r="J56" t="s">
        <v>194</v>
      </c>
      <c r="K56" t="s">
        <v>92</v>
      </c>
      <c r="L56">
        <v>45.397500000000001</v>
      </c>
      <c r="M56">
        <v>-92.648055999999997</v>
      </c>
    </row>
    <row r="57" spans="1:13" x14ac:dyDescent="0.2">
      <c r="A57" t="s">
        <v>1500</v>
      </c>
      <c r="B57" t="s">
        <v>84</v>
      </c>
      <c r="C57" t="str">
        <f>_xlfn.XLOOKUP(A57,'[1]Putative species manifest'!A:A,'[1]Putative species manifest'!B:B)</f>
        <v>RICHARDSONII</v>
      </c>
      <c r="D57" t="s">
        <v>188</v>
      </c>
      <c r="E57" t="s">
        <v>84</v>
      </c>
      <c r="F57" t="s">
        <v>1498</v>
      </c>
      <c r="G57" t="s">
        <v>24</v>
      </c>
      <c r="H57" t="s">
        <v>1499</v>
      </c>
      <c r="I57" t="s">
        <v>14</v>
      </c>
      <c r="J57" t="s">
        <v>194</v>
      </c>
      <c r="K57" t="s">
        <v>92</v>
      </c>
      <c r="L57">
        <v>45.397500000000001</v>
      </c>
      <c r="M57">
        <v>-92.648055999999997</v>
      </c>
    </row>
    <row r="58" spans="1:13" x14ac:dyDescent="0.2">
      <c r="A58" t="s">
        <v>1501</v>
      </c>
      <c r="B58" t="s">
        <v>84</v>
      </c>
      <c r="C58" t="str">
        <f>_xlfn.XLOOKUP(A58,'[1]Putative species manifest'!A:A,'[1]Putative species manifest'!B:B)</f>
        <v>RICHARDSONII</v>
      </c>
      <c r="D58" t="s">
        <v>188</v>
      </c>
      <c r="E58" t="s">
        <v>84</v>
      </c>
      <c r="F58" t="s">
        <v>1498</v>
      </c>
      <c r="G58" t="s">
        <v>24</v>
      </c>
      <c r="H58" t="s">
        <v>1499</v>
      </c>
      <c r="I58" t="s">
        <v>14</v>
      </c>
      <c r="J58" t="s">
        <v>194</v>
      </c>
      <c r="K58" t="s">
        <v>92</v>
      </c>
      <c r="L58">
        <v>45.397500000000001</v>
      </c>
      <c r="M58">
        <v>-92.648055999999997</v>
      </c>
    </row>
    <row r="59" spans="1:13" x14ac:dyDescent="0.2">
      <c r="A59" t="s">
        <v>1502</v>
      </c>
      <c r="B59" t="s">
        <v>84</v>
      </c>
      <c r="C59" t="str">
        <f>_xlfn.XLOOKUP(A59,'[1]Putative species manifest'!A:A,'[1]Putative species manifest'!B:B)</f>
        <v>RICHARDSONII</v>
      </c>
      <c r="D59" t="s">
        <v>188</v>
      </c>
      <c r="E59" t="s">
        <v>84</v>
      </c>
      <c r="F59" t="s">
        <v>1498</v>
      </c>
      <c r="G59" t="s">
        <v>24</v>
      </c>
      <c r="H59" t="s">
        <v>1499</v>
      </c>
      <c r="I59" t="s">
        <v>14</v>
      </c>
      <c r="J59" t="s">
        <v>194</v>
      </c>
      <c r="K59" t="s">
        <v>92</v>
      </c>
      <c r="L59">
        <v>45.397500000000001</v>
      </c>
      <c r="M59">
        <v>-92.648055999999997</v>
      </c>
    </row>
    <row r="60" spans="1:13" x14ac:dyDescent="0.2">
      <c r="A60" t="s">
        <v>1503</v>
      </c>
      <c r="B60" t="s">
        <v>84</v>
      </c>
      <c r="C60" t="str">
        <f>_xlfn.XLOOKUP(A60,'[1]Putative species manifest'!A:A,'[1]Putative species manifest'!B:B)</f>
        <v>RICHARDSONII</v>
      </c>
      <c r="D60" t="s">
        <v>188</v>
      </c>
      <c r="E60" t="s">
        <v>84</v>
      </c>
      <c r="F60" t="s">
        <v>1498</v>
      </c>
      <c r="G60" t="s">
        <v>24</v>
      </c>
      <c r="H60" t="s">
        <v>1499</v>
      </c>
      <c r="I60" t="s">
        <v>14</v>
      </c>
      <c r="J60" t="s">
        <v>194</v>
      </c>
      <c r="K60" t="s">
        <v>92</v>
      </c>
      <c r="L60">
        <v>45.397500000000001</v>
      </c>
      <c r="M60">
        <v>-92.648055999999997</v>
      </c>
    </row>
    <row r="61" spans="1:13" x14ac:dyDescent="0.2">
      <c r="A61" t="s">
        <v>1504</v>
      </c>
      <c r="B61" t="s">
        <v>84</v>
      </c>
      <c r="C61" t="str">
        <f>_xlfn.XLOOKUP(A61,'[1]Putative species manifest'!A:A,'[1]Putative species manifest'!B:B)</f>
        <v>RICHARDSONII</v>
      </c>
      <c r="D61" t="s">
        <v>188</v>
      </c>
      <c r="E61" t="s">
        <v>84</v>
      </c>
      <c r="F61" t="s">
        <v>1498</v>
      </c>
      <c r="G61" t="s">
        <v>24</v>
      </c>
      <c r="H61" t="s">
        <v>1499</v>
      </c>
      <c r="I61" t="s">
        <v>14</v>
      </c>
      <c r="J61" t="s">
        <v>194</v>
      </c>
      <c r="K61" t="s">
        <v>92</v>
      </c>
      <c r="L61">
        <v>45.397500000000001</v>
      </c>
      <c r="M61">
        <v>-92.648055999999997</v>
      </c>
    </row>
    <row r="62" spans="1:13" x14ac:dyDescent="0.2">
      <c r="A62" t="s">
        <v>1505</v>
      </c>
      <c r="B62" t="s">
        <v>84</v>
      </c>
      <c r="C62" t="str">
        <f>_xlfn.XLOOKUP(A62,'[1]Putative species manifest'!A:A,'[1]Putative species manifest'!B:B)</f>
        <v>RICHARDSONII</v>
      </c>
      <c r="D62" t="s">
        <v>188</v>
      </c>
      <c r="E62" t="s">
        <v>84</v>
      </c>
      <c r="F62" t="s">
        <v>1498</v>
      </c>
      <c r="G62" t="s">
        <v>24</v>
      </c>
      <c r="H62" t="s">
        <v>1499</v>
      </c>
      <c r="I62" t="s">
        <v>14</v>
      </c>
      <c r="J62" t="s">
        <v>194</v>
      </c>
      <c r="K62" t="s">
        <v>92</v>
      </c>
      <c r="L62">
        <v>45.397500000000001</v>
      </c>
      <c r="M62">
        <v>-92.648055999999997</v>
      </c>
    </row>
    <row r="63" spans="1:13" x14ac:dyDescent="0.2">
      <c r="A63" t="s">
        <v>1506</v>
      </c>
      <c r="B63" t="s">
        <v>84</v>
      </c>
      <c r="C63" t="str">
        <f>_xlfn.XLOOKUP(A63,'[1]Putative species manifest'!A:A,'[1]Putative species manifest'!B:B)</f>
        <v>RICHARDSONII</v>
      </c>
      <c r="D63" t="s">
        <v>188</v>
      </c>
      <c r="E63" t="s">
        <v>84</v>
      </c>
      <c r="F63" t="s">
        <v>1498</v>
      </c>
      <c r="G63" t="s">
        <v>24</v>
      </c>
      <c r="H63" t="s">
        <v>1499</v>
      </c>
      <c r="I63" t="s">
        <v>14</v>
      </c>
      <c r="J63" t="s">
        <v>194</v>
      </c>
      <c r="K63" t="s">
        <v>92</v>
      </c>
      <c r="L63">
        <v>45.397500000000001</v>
      </c>
      <c r="M63">
        <v>-92.648055999999997</v>
      </c>
    </row>
    <row r="64" spans="1:13" x14ac:dyDescent="0.2">
      <c r="A64" t="s">
        <v>1507</v>
      </c>
      <c r="B64" t="s">
        <v>84</v>
      </c>
      <c r="C64" t="str">
        <f>_xlfn.XLOOKUP(A64,'[1]Putative species manifest'!A:A,'[1]Putative species manifest'!B:B)</f>
        <v>RICHARDSONII</v>
      </c>
      <c r="D64" t="s">
        <v>188</v>
      </c>
      <c r="E64" t="s">
        <v>84</v>
      </c>
      <c r="F64" t="s">
        <v>1498</v>
      </c>
      <c r="G64" t="s">
        <v>24</v>
      </c>
      <c r="H64" t="s">
        <v>1499</v>
      </c>
      <c r="I64" t="s">
        <v>14</v>
      </c>
      <c r="J64" t="s">
        <v>194</v>
      </c>
      <c r="K64" t="s">
        <v>92</v>
      </c>
      <c r="L64">
        <v>45.397500000000001</v>
      </c>
      <c r="M64">
        <v>-92.648055999999997</v>
      </c>
    </row>
    <row r="65" spans="1:13" x14ac:dyDescent="0.2">
      <c r="A65" t="s">
        <v>248</v>
      </c>
      <c r="B65" t="s">
        <v>38</v>
      </c>
      <c r="C65" t="str">
        <f>_xlfn.XLOOKUP(A65,'[1]Putative species manifest'!A:A,'[1]Putative species manifest'!B:B)</f>
        <v>CALYCOSA</v>
      </c>
      <c r="D65" t="s">
        <v>249</v>
      </c>
      <c r="E65" t="s">
        <v>43</v>
      </c>
      <c r="F65" t="s">
        <v>44</v>
      </c>
      <c r="G65" t="s">
        <v>24</v>
      </c>
      <c r="H65" t="s">
        <v>45</v>
      </c>
      <c r="I65" t="s">
        <v>14</v>
      </c>
      <c r="J65" t="s">
        <v>40</v>
      </c>
      <c r="K65" t="s">
        <v>46</v>
      </c>
      <c r="L65">
        <v>33.370555600000003</v>
      </c>
      <c r="M65">
        <v>-85.713055999999995</v>
      </c>
    </row>
    <row r="66" spans="1:13" x14ac:dyDescent="0.2">
      <c r="A66" t="s">
        <v>248</v>
      </c>
      <c r="B66" t="s">
        <v>38</v>
      </c>
      <c r="C66" t="str">
        <f>_xlfn.XLOOKUP(A66,'[1]Putative species manifest'!A:A,'[1]Putative species manifest'!B:B)</f>
        <v>CALYCOSA</v>
      </c>
      <c r="D66" t="s">
        <v>249</v>
      </c>
      <c r="E66" t="s">
        <v>43</v>
      </c>
      <c r="F66" t="s">
        <v>44</v>
      </c>
      <c r="G66" t="s">
        <v>24</v>
      </c>
      <c r="H66" t="s">
        <v>45</v>
      </c>
      <c r="I66" t="s">
        <v>14</v>
      </c>
      <c r="J66" t="s">
        <v>40</v>
      </c>
      <c r="K66" t="s">
        <v>46</v>
      </c>
      <c r="L66">
        <v>33.370555600000003</v>
      </c>
      <c r="M66">
        <v>-85.713055999999995</v>
      </c>
    </row>
    <row r="67" spans="1:13" x14ac:dyDescent="0.2">
      <c r="A67" t="s">
        <v>250</v>
      </c>
      <c r="B67" t="s">
        <v>38</v>
      </c>
      <c r="C67" t="str">
        <f>_xlfn.XLOOKUP(A67,'[1]Putative species manifest'!A:A,'[1]Putative species manifest'!B:B)</f>
        <v>CALYCOSA</v>
      </c>
      <c r="D67" t="s">
        <v>249</v>
      </c>
      <c r="E67" t="s">
        <v>43</v>
      </c>
      <c r="F67" t="s">
        <v>44</v>
      </c>
      <c r="G67" t="s">
        <v>24</v>
      </c>
      <c r="H67" t="s">
        <v>45</v>
      </c>
      <c r="I67" t="s">
        <v>14</v>
      </c>
      <c r="J67" t="s">
        <v>40</v>
      </c>
      <c r="K67" t="s">
        <v>46</v>
      </c>
      <c r="L67">
        <v>33.370555600000003</v>
      </c>
      <c r="M67">
        <v>-85.713055999999995</v>
      </c>
    </row>
    <row r="68" spans="1:13" x14ac:dyDescent="0.2">
      <c r="A68" t="s">
        <v>250</v>
      </c>
      <c r="B68" t="s">
        <v>38</v>
      </c>
      <c r="C68" t="str">
        <f>_xlfn.XLOOKUP(A68,'[1]Putative species manifest'!A:A,'[1]Putative species manifest'!B:B)</f>
        <v>CALYCOSA</v>
      </c>
      <c r="D68" t="s">
        <v>249</v>
      </c>
      <c r="E68" t="s">
        <v>43</v>
      </c>
      <c r="F68" t="s">
        <v>44</v>
      </c>
      <c r="G68" t="s">
        <v>24</v>
      </c>
      <c r="H68" t="s">
        <v>45</v>
      </c>
      <c r="I68" t="s">
        <v>14</v>
      </c>
      <c r="J68" t="s">
        <v>40</v>
      </c>
      <c r="K68" t="s">
        <v>46</v>
      </c>
      <c r="L68">
        <v>33.370555600000003</v>
      </c>
      <c r="M68">
        <v>-85.713055999999995</v>
      </c>
    </row>
    <row r="69" spans="1:13" x14ac:dyDescent="0.2">
      <c r="A69" t="s">
        <v>1407</v>
      </c>
      <c r="B69" t="s">
        <v>84</v>
      </c>
      <c r="C69" t="str">
        <f>_xlfn.XLOOKUP(A69,'[1]Putative species manifest'!A:A,'[1]Putative species manifest'!B:B)</f>
        <v>RICHARDSONII</v>
      </c>
      <c r="D69" t="s">
        <v>188</v>
      </c>
      <c r="E69" t="s">
        <v>84</v>
      </c>
      <c r="F69" t="s">
        <v>1408</v>
      </c>
      <c r="G69" t="s">
        <v>24</v>
      </c>
      <c r="H69" t="s">
        <v>1409</v>
      </c>
      <c r="I69" t="s">
        <v>14</v>
      </c>
      <c r="J69" t="s">
        <v>182</v>
      </c>
      <c r="K69" t="s">
        <v>131</v>
      </c>
      <c r="L69">
        <v>47.720555599999997</v>
      </c>
      <c r="M69">
        <v>-91.777777999999998</v>
      </c>
    </row>
    <row r="70" spans="1:13" x14ac:dyDescent="0.2">
      <c r="A70" t="s">
        <v>1410</v>
      </c>
      <c r="B70" t="s">
        <v>84</v>
      </c>
      <c r="C70" t="str">
        <f>_xlfn.XLOOKUP(A70,'[1]Putative species manifest'!A:A,'[1]Putative species manifest'!B:B)</f>
        <v>RICHARDSONII</v>
      </c>
      <c r="D70" t="s">
        <v>188</v>
      </c>
      <c r="E70" t="s">
        <v>84</v>
      </c>
      <c r="F70" t="s">
        <v>1408</v>
      </c>
      <c r="G70" t="s">
        <v>24</v>
      </c>
      <c r="H70" t="s">
        <v>1409</v>
      </c>
      <c r="I70" t="s">
        <v>14</v>
      </c>
      <c r="J70" t="s">
        <v>182</v>
      </c>
      <c r="K70" t="s">
        <v>131</v>
      </c>
      <c r="L70">
        <v>47.720555599999997</v>
      </c>
      <c r="M70">
        <v>-91.777777999999998</v>
      </c>
    </row>
    <row r="71" spans="1:13" x14ac:dyDescent="0.2">
      <c r="A71" t="s">
        <v>1411</v>
      </c>
      <c r="B71" t="s">
        <v>84</v>
      </c>
      <c r="C71" t="str">
        <f>_xlfn.XLOOKUP(A71,'[1]Putative species manifest'!A:A,'[1]Putative species manifest'!B:B)</f>
        <v>RICHARDSONII</v>
      </c>
      <c r="D71" t="s">
        <v>188</v>
      </c>
      <c r="E71" t="s">
        <v>84</v>
      </c>
      <c r="F71" t="s">
        <v>1408</v>
      </c>
      <c r="G71" t="s">
        <v>24</v>
      </c>
      <c r="H71" t="s">
        <v>1409</v>
      </c>
      <c r="I71" t="s">
        <v>14</v>
      </c>
      <c r="J71" t="s">
        <v>182</v>
      </c>
      <c r="K71" t="s">
        <v>131</v>
      </c>
      <c r="L71">
        <v>47.720555599999997</v>
      </c>
      <c r="M71">
        <v>-91.777777999999998</v>
      </c>
    </row>
    <row r="72" spans="1:13" x14ac:dyDescent="0.2">
      <c r="A72" t="s">
        <v>1412</v>
      </c>
      <c r="B72" t="s">
        <v>84</v>
      </c>
      <c r="C72" t="str">
        <f>_xlfn.XLOOKUP(A72,'[1]Putative species manifest'!A:A,'[1]Putative species manifest'!B:B)</f>
        <v>RICHARDSONII</v>
      </c>
      <c r="D72" t="s">
        <v>188</v>
      </c>
      <c r="E72" t="s">
        <v>84</v>
      </c>
      <c r="F72" t="s">
        <v>1408</v>
      </c>
      <c r="G72" t="s">
        <v>24</v>
      </c>
      <c r="H72" t="s">
        <v>1409</v>
      </c>
      <c r="I72" t="s">
        <v>14</v>
      </c>
      <c r="J72" t="s">
        <v>182</v>
      </c>
      <c r="K72" t="s">
        <v>131</v>
      </c>
      <c r="L72">
        <v>47.720555599999997</v>
      </c>
      <c r="M72">
        <v>-91.777777999999998</v>
      </c>
    </row>
    <row r="73" spans="1:13" x14ac:dyDescent="0.2">
      <c r="A73" t="s">
        <v>1413</v>
      </c>
      <c r="B73" t="s">
        <v>84</v>
      </c>
      <c r="C73" t="str">
        <f>_xlfn.XLOOKUP(A73,'[1]Putative species manifest'!A:A,'[1]Putative species manifest'!B:B)</f>
        <v>RICHARDSONII</v>
      </c>
      <c r="D73" t="s">
        <v>188</v>
      </c>
      <c r="E73" t="s">
        <v>84</v>
      </c>
      <c r="F73" t="s">
        <v>1408</v>
      </c>
      <c r="G73" t="s">
        <v>24</v>
      </c>
      <c r="H73" t="s">
        <v>1409</v>
      </c>
      <c r="I73" t="s">
        <v>14</v>
      </c>
      <c r="J73" t="s">
        <v>182</v>
      </c>
      <c r="K73" t="s">
        <v>131</v>
      </c>
      <c r="L73">
        <v>47.720555599999997</v>
      </c>
      <c r="M73">
        <v>-91.777777999999998</v>
      </c>
    </row>
    <row r="74" spans="1:13" x14ac:dyDescent="0.2">
      <c r="A74" t="s">
        <v>1414</v>
      </c>
      <c r="B74" t="s">
        <v>84</v>
      </c>
      <c r="C74" t="str">
        <f>_xlfn.XLOOKUP(A74,'[1]Putative species manifest'!A:A,'[1]Putative species manifest'!B:B)</f>
        <v>RICHARDSONII</v>
      </c>
      <c r="D74" t="s">
        <v>188</v>
      </c>
      <c r="E74" t="s">
        <v>84</v>
      </c>
      <c r="F74" t="s">
        <v>1408</v>
      </c>
      <c r="G74" t="s">
        <v>24</v>
      </c>
      <c r="H74" t="s">
        <v>1409</v>
      </c>
      <c r="I74" t="s">
        <v>14</v>
      </c>
      <c r="J74" t="s">
        <v>182</v>
      </c>
      <c r="K74" t="s">
        <v>131</v>
      </c>
      <c r="L74">
        <v>47.720555599999997</v>
      </c>
      <c r="M74">
        <v>-91.777777999999998</v>
      </c>
    </row>
    <row r="75" spans="1:13" x14ac:dyDescent="0.2">
      <c r="A75" t="s">
        <v>1415</v>
      </c>
      <c r="B75" t="s">
        <v>84</v>
      </c>
      <c r="C75" t="str">
        <f>_xlfn.XLOOKUP(A75,'[1]Putative species manifest'!A:A,'[1]Putative species manifest'!B:B)</f>
        <v>RICHARDSONII</v>
      </c>
      <c r="D75" t="s">
        <v>188</v>
      </c>
      <c r="E75" t="s">
        <v>84</v>
      </c>
      <c r="F75" t="s">
        <v>1408</v>
      </c>
      <c r="G75" t="s">
        <v>24</v>
      </c>
      <c r="H75" t="s">
        <v>1409</v>
      </c>
      <c r="I75" t="s">
        <v>14</v>
      </c>
      <c r="J75" t="s">
        <v>182</v>
      </c>
      <c r="K75" t="s">
        <v>131</v>
      </c>
      <c r="L75">
        <v>47.720555599999997</v>
      </c>
      <c r="M75">
        <v>-91.777777999999998</v>
      </c>
    </row>
    <row r="76" spans="1:13" x14ac:dyDescent="0.2">
      <c r="A76" t="s">
        <v>1416</v>
      </c>
      <c r="B76" t="s">
        <v>84</v>
      </c>
      <c r="C76" t="str">
        <f>_xlfn.XLOOKUP(A76,'[1]Putative species manifest'!A:A,'[1]Putative species manifest'!B:B)</f>
        <v>RICHARDSONII</v>
      </c>
      <c r="D76" t="s">
        <v>188</v>
      </c>
      <c r="E76" t="s">
        <v>84</v>
      </c>
      <c r="F76" t="s">
        <v>1408</v>
      </c>
      <c r="G76" t="s">
        <v>24</v>
      </c>
      <c r="H76" t="s">
        <v>1409</v>
      </c>
      <c r="I76" t="s">
        <v>14</v>
      </c>
      <c r="J76" t="s">
        <v>182</v>
      </c>
      <c r="K76" t="s">
        <v>131</v>
      </c>
      <c r="L76">
        <v>47.720555599999997</v>
      </c>
      <c r="M76">
        <v>-91.777777999999998</v>
      </c>
    </row>
    <row r="77" spans="1:13" x14ac:dyDescent="0.2">
      <c r="A77" t="s">
        <v>1417</v>
      </c>
      <c r="B77" t="s">
        <v>84</v>
      </c>
      <c r="C77" t="str">
        <f>_xlfn.XLOOKUP(A77,'[1]Putative species manifest'!A:A,'[1]Putative species manifest'!B:B)</f>
        <v>RICHARDSONII</v>
      </c>
      <c r="D77" t="s">
        <v>188</v>
      </c>
      <c r="E77" t="s">
        <v>84</v>
      </c>
      <c r="F77" t="s">
        <v>1408</v>
      </c>
      <c r="G77" t="s">
        <v>24</v>
      </c>
      <c r="H77" t="s">
        <v>1409</v>
      </c>
      <c r="I77" t="s">
        <v>14</v>
      </c>
      <c r="J77" t="s">
        <v>182</v>
      </c>
      <c r="K77" t="s">
        <v>131</v>
      </c>
      <c r="L77">
        <v>47.720555599999997</v>
      </c>
      <c r="M77">
        <v>-91.777777999999998</v>
      </c>
    </row>
    <row r="78" spans="1:13" x14ac:dyDescent="0.2">
      <c r="A78" t="s">
        <v>1418</v>
      </c>
      <c r="B78" t="s">
        <v>84</v>
      </c>
      <c r="C78" t="str">
        <f>_xlfn.XLOOKUP(A78,'[1]Putative species manifest'!A:A,'[1]Putative species manifest'!B:B)</f>
        <v>RICHARDSONII</v>
      </c>
      <c r="D78" t="s">
        <v>188</v>
      </c>
      <c r="E78" t="s">
        <v>84</v>
      </c>
      <c r="F78" t="s">
        <v>1408</v>
      </c>
      <c r="G78" t="s">
        <v>24</v>
      </c>
      <c r="H78" t="s">
        <v>1409</v>
      </c>
      <c r="I78" t="s">
        <v>14</v>
      </c>
      <c r="J78" t="s">
        <v>182</v>
      </c>
      <c r="K78" t="s">
        <v>131</v>
      </c>
      <c r="L78">
        <v>47.720555599999997</v>
      </c>
      <c r="M78">
        <v>-91.777777999999998</v>
      </c>
    </row>
    <row r="79" spans="1:13" x14ac:dyDescent="0.2">
      <c r="A79" t="s">
        <v>1419</v>
      </c>
      <c r="B79" t="s">
        <v>84</v>
      </c>
      <c r="C79" t="str">
        <f>_xlfn.XLOOKUP(A79,'[1]Putative species manifest'!A:A,'[1]Putative species manifest'!B:B)</f>
        <v>RICHARDSONII</v>
      </c>
      <c r="D79" t="s">
        <v>188</v>
      </c>
      <c r="E79" t="s">
        <v>84</v>
      </c>
      <c r="F79" t="s">
        <v>1408</v>
      </c>
      <c r="G79" t="s">
        <v>24</v>
      </c>
      <c r="H79" t="s">
        <v>1409</v>
      </c>
      <c r="I79" t="s">
        <v>14</v>
      </c>
      <c r="J79" t="s">
        <v>182</v>
      </c>
      <c r="K79" t="s">
        <v>131</v>
      </c>
      <c r="L79">
        <v>47.720555599999997</v>
      </c>
      <c r="M79">
        <v>-91.777777999999998</v>
      </c>
    </row>
    <row r="80" spans="1:13" x14ac:dyDescent="0.2">
      <c r="A80" t="s">
        <v>1291</v>
      </c>
      <c r="B80" t="s">
        <v>134</v>
      </c>
      <c r="C80" t="str">
        <f>_xlfn.XLOOKUP(A80,'[1]Putative species manifest'!A:A,'[1]Putative species manifest'!B:B)</f>
        <v>Heuchera glomerulata A22-1 AZ</v>
      </c>
      <c r="D80" t="s">
        <v>1520</v>
      </c>
      <c r="E80" t="s">
        <v>134</v>
      </c>
      <c r="F80" t="s">
        <v>135</v>
      </c>
      <c r="G80" t="s">
        <v>24</v>
      </c>
      <c r="H80" t="s">
        <v>136</v>
      </c>
      <c r="I80" t="s">
        <v>14</v>
      </c>
      <c r="J80" t="s">
        <v>133</v>
      </c>
      <c r="K80" t="s">
        <v>137</v>
      </c>
      <c r="L80">
        <v>32.649909399999999</v>
      </c>
      <c r="M80">
        <v>-109.81976</v>
      </c>
    </row>
    <row r="81" spans="1:13" x14ac:dyDescent="0.2">
      <c r="A81" t="s">
        <v>1517</v>
      </c>
      <c r="B81" t="s">
        <v>196</v>
      </c>
      <c r="F81" t="s">
        <v>197</v>
      </c>
      <c r="G81" t="s">
        <v>24</v>
      </c>
      <c r="H81" t="s">
        <v>198</v>
      </c>
      <c r="I81" t="s">
        <v>14</v>
      </c>
      <c r="J81" t="s">
        <v>133</v>
      </c>
      <c r="K81" t="s">
        <v>137</v>
      </c>
      <c r="L81">
        <v>32.635986099999997</v>
      </c>
      <c r="M81">
        <v>-109.82353000000001</v>
      </c>
    </row>
    <row r="82" spans="1:13" x14ac:dyDescent="0.2">
      <c r="A82" t="s">
        <v>834</v>
      </c>
      <c r="B82" t="s">
        <v>835</v>
      </c>
      <c r="C82" t="str">
        <f>_xlfn.XLOOKUP(A82,'[1]Putative species manifest'!A:A,'[1]Putative species manifest'!B:B)</f>
        <v>CALYCOSA</v>
      </c>
      <c r="D82" t="s">
        <v>244</v>
      </c>
      <c r="E82" t="s">
        <v>50</v>
      </c>
      <c r="F82" t="s">
        <v>836</v>
      </c>
      <c r="G82" t="s">
        <v>24</v>
      </c>
      <c r="H82" t="s">
        <v>837</v>
      </c>
      <c r="I82" t="s">
        <v>14</v>
      </c>
      <c r="J82" t="s">
        <v>73</v>
      </c>
      <c r="K82" t="s">
        <v>74</v>
      </c>
      <c r="L82">
        <v>34.580710000000003</v>
      </c>
      <c r="M82">
        <v>-88.192537000000002</v>
      </c>
    </row>
    <row r="83" spans="1:13" x14ac:dyDescent="0.2">
      <c r="A83" t="s">
        <v>838</v>
      </c>
      <c r="B83" t="s">
        <v>835</v>
      </c>
      <c r="C83" t="str">
        <f>_xlfn.XLOOKUP(A83,'[1]Putative species manifest'!A:A,'[1]Putative species manifest'!B:B)</f>
        <v>CALYCOSA</v>
      </c>
      <c r="D83" t="s">
        <v>244</v>
      </c>
      <c r="E83" t="s">
        <v>50</v>
      </c>
      <c r="F83" t="s">
        <v>836</v>
      </c>
      <c r="G83" t="s">
        <v>24</v>
      </c>
      <c r="H83" t="s">
        <v>837</v>
      </c>
      <c r="I83" t="s">
        <v>14</v>
      </c>
      <c r="J83" t="s">
        <v>73</v>
      </c>
      <c r="K83" t="s">
        <v>74</v>
      </c>
      <c r="L83">
        <v>34.580710000000003</v>
      </c>
      <c r="M83">
        <v>-88.192537000000002</v>
      </c>
    </row>
    <row r="84" spans="1:13" x14ac:dyDescent="0.2">
      <c r="A84" t="s">
        <v>839</v>
      </c>
      <c r="B84" t="s">
        <v>835</v>
      </c>
      <c r="C84" t="str">
        <f>_xlfn.XLOOKUP(A84,'[1]Putative species manifest'!A:A,'[1]Putative species manifest'!B:B)</f>
        <v>CALYCOSA</v>
      </c>
      <c r="D84" t="s">
        <v>244</v>
      </c>
      <c r="E84" t="s">
        <v>50</v>
      </c>
      <c r="F84" t="s">
        <v>836</v>
      </c>
      <c r="G84" t="s">
        <v>24</v>
      </c>
      <c r="H84" t="s">
        <v>837</v>
      </c>
      <c r="I84" t="s">
        <v>14</v>
      </c>
      <c r="J84" t="s">
        <v>73</v>
      </c>
      <c r="K84" t="s">
        <v>74</v>
      </c>
      <c r="L84">
        <v>34.580710000000003</v>
      </c>
      <c r="M84">
        <v>-88.192537000000002</v>
      </c>
    </row>
    <row r="85" spans="1:13" x14ac:dyDescent="0.2">
      <c r="A85" t="s">
        <v>840</v>
      </c>
      <c r="B85" t="s">
        <v>835</v>
      </c>
      <c r="C85" t="str">
        <f>_xlfn.XLOOKUP(A85,'[1]Putative species manifest'!A:A,'[1]Putative species manifest'!B:B)</f>
        <v>CALYCOSA</v>
      </c>
      <c r="D85" t="s">
        <v>244</v>
      </c>
      <c r="E85" t="s">
        <v>50</v>
      </c>
      <c r="F85" t="s">
        <v>836</v>
      </c>
      <c r="G85" t="s">
        <v>24</v>
      </c>
      <c r="H85" t="s">
        <v>837</v>
      </c>
      <c r="I85" t="s">
        <v>14</v>
      </c>
      <c r="J85" t="s">
        <v>73</v>
      </c>
      <c r="K85" t="s">
        <v>74</v>
      </c>
      <c r="L85">
        <v>34.580710000000003</v>
      </c>
      <c r="M85">
        <v>-88.192537000000002</v>
      </c>
    </row>
    <row r="86" spans="1:13" x14ac:dyDescent="0.2">
      <c r="A86" t="s">
        <v>841</v>
      </c>
      <c r="B86" t="s">
        <v>835</v>
      </c>
      <c r="C86" t="str">
        <f>_xlfn.XLOOKUP(A86,'[1]Putative species manifest'!A:A,'[1]Putative species manifest'!B:B)</f>
        <v>CALYCOSA</v>
      </c>
      <c r="D86" t="s">
        <v>244</v>
      </c>
      <c r="E86" t="s">
        <v>50</v>
      </c>
      <c r="F86" t="s">
        <v>836</v>
      </c>
      <c r="G86" t="s">
        <v>24</v>
      </c>
      <c r="H86" t="s">
        <v>837</v>
      </c>
      <c r="I86" t="s">
        <v>14</v>
      </c>
      <c r="J86" t="s">
        <v>73</v>
      </c>
      <c r="K86" t="s">
        <v>74</v>
      </c>
      <c r="L86">
        <v>34.580710000000003</v>
      </c>
      <c r="M86">
        <v>-88.192537000000002</v>
      </c>
    </row>
    <row r="87" spans="1:13" x14ac:dyDescent="0.2">
      <c r="A87" t="s">
        <v>842</v>
      </c>
      <c r="B87" t="s">
        <v>835</v>
      </c>
      <c r="C87" t="str">
        <f>_xlfn.XLOOKUP(A87,'[1]Putative species manifest'!A:A,'[1]Putative species manifest'!B:B)</f>
        <v>CALYCOSA</v>
      </c>
      <c r="D87" t="s">
        <v>244</v>
      </c>
      <c r="E87" t="s">
        <v>50</v>
      </c>
      <c r="F87" t="s">
        <v>836</v>
      </c>
      <c r="G87" t="s">
        <v>24</v>
      </c>
      <c r="H87" t="s">
        <v>837</v>
      </c>
      <c r="I87" t="s">
        <v>14</v>
      </c>
      <c r="J87" t="s">
        <v>73</v>
      </c>
      <c r="K87" t="s">
        <v>74</v>
      </c>
      <c r="L87">
        <v>34.580710000000003</v>
      </c>
      <c r="M87">
        <v>-88.192537000000002</v>
      </c>
    </row>
    <row r="88" spans="1:13" x14ac:dyDescent="0.2">
      <c r="A88" t="s">
        <v>843</v>
      </c>
      <c r="B88" t="s">
        <v>835</v>
      </c>
      <c r="C88" t="str">
        <f>_xlfn.XLOOKUP(A88,'[1]Putative species manifest'!A:A,'[1]Putative species manifest'!B:B)</f>
        <v>CALYCOSA</v>
      </c>
      <c r="D88" t="s">
        <v>244</v>
      </c>
      <c r="E88" t="s">
        <v>50</v>
      </c>
      <c r="F88" t="s">
        <v>836</v>
      </c>
      <c r="G88" t="s">
        <v>24</v>
      </c>
      <c r="H88" t="s">
        <v>837</v>
      </c>
      <c r="I88" t="s">
        <v>14</v>
      </c>
      <c r="J88" t="s">
        <v>73</v>
      </c>
      <c r="K88" t="s">
        <v>74</v>
      </c>
      <c r="L88">
        <v>34.580710000000003</v>
      </c>
      <c r="M88">
        <v>-88.192537000000002</v>
      </c>
    </row>
    <row r="89" spans="1:13" x14ac:dyDescent="0.2">
      <c r="A89" t="s">
        <v>844</v>
      </c>
      <c r="B89" t="s">
        <v>835</v>
      </c>
      <c r="C89" t="str">
        <f>_xlfn.XLOOKUP(A89,'[1]Putative species manifest'!A:A,'[1]Putative species manifest'!B:B)</f>
        <v>CALYCOSA</v>
      </c>
      <c r="D89" t="s">
        <v>244</v>
      </c>
      <c r="E89" t="s">
        <v>50</v>
      </c>
      <c r="F89" t="s">
        <v>836</v>
      </c>
      <c r="G89" t="s">
        <v>24</v>
      </c>
      <c r="H89" t="s">
        <v>837</v>
      </c>
      <c r="I89" t="s">
        <v>14</v>
      </c>
      <c r="J89" t="s">
        <v>73</v>
      </c>
      <c r="K89" t="s">
        <v>74</v>
      </c>
      <c r="L89">
        <v>34.580710000000003</v>
      </c>
      <c r="M89">
        <v>-88.192537000000002</v>
      </c>
    </row>
    <row r="90" spans="1:13" x14ac:dyDescent="0.2">
      <c r="A90" t="s">
        <v>845</v>
      </c>
      <c r="B90" t="s">
        <v>835</v>
      </c>
      <c r="C90" t="str">
        <f>_xlfn.XLOOKUP(A90,'[1]Putative species manifest'!A:A,'[1]Putative species manifest'!B:B)</f>
        <v>CALYCOSA</v>
      </c>
      <c r="D90" t="s">
        <v>244</v>
      </c>
      <c r="E90" t="s">
        <v>50</v>
      </c>
      <c r="F90" t="s">
        <v>836</v>
      </c>
      <c r="G90" t="s">
        <v>24</v>
      </c>
      <c r="H90" t="s">
        <v>837</v>
      </c>
      <c r="I90" t="s">
        <v>14</v>
      </c>
      <c r="J90" t="s">
        <v>73</v>
      </c>
      <c r="K90" t="s">
        <v>74</v>
      </c>
      <c r="L90">
        <v>34.580710000000003</v>
      </c>
      <c r="M90">
        <v>-88.192537000000002</v>
      </c>
    </row>
    <row r="91" spans="1:13" x14ac:dyDescent="0.2">
      <c r="A91" t="s">
        <v>846</v>
      </c>
      <c r="B91" t="s">
        <v>835</v>
      </c>
      <c r="C91" t="str">
        <f>_xlfn.XLOOKUP(A91,'[1]Putative species manifest'!A:A,'[1]Putative species manifest'!B:B)</f>
        <v>CALYCOSA</v>
      </c>
      <c r="D91" t="s">
        <v>244</v>
      </c>
      <c r="E91" t="s">
        <v>50</v>
      </c>
      <c r="F91" t="s">
        <v>847</v>
      </c>
      <c r="G91" t="s">
        <v>24</v>
      </c>
      <c r="H91" t="s">
        <v>848</v>
      </c>
      <c r="I91" t="s">
        <v>14</v>
      </c>
      <c r="J91" t="s">
        <v>73</v>
      </c>
      <c r="K91" t="s">
        <v>74</v>
      </c>
      <c r="L91">
        <v>34.929492500000002</v>
      </c>
      <c r="M91">
        <v>-88.191125999999997</v>
      </c>
    </row>
    <row r="92" spans="1:13" x14ac:dyDescent="0.2">
      <c r="A92" t="s">
        <v>849</v>
      </c>
      <c r="B92" t="s">
        <v>835</v>
      </c>
      <c r="C92" t="str">
        <f>_xlfn.XLOOKUP(A92,'[1]Putative species manifest'!A:A,'[1]Putative species manifest'!B:B)</f>
        <v>CALYCOSA</v>
      </c>
      <c r="D92" t="s">
        <v>244</v>
      </c>
      <c r="E92" t="s">
        <v>50</v>
      </c>
      <c r="F92" t="s">
        <v>847</v>
      </c>
      <c r="G92" t="s">
        <v>24</v>
      </c>
      <c r="H92" t="s">
        <v>850</v>
      </c>
      <c r="I92" t="s">
        <v>14</v>
      </c>
      <c r="J92" t="s">
        <v>73</v>
      </c>
      <c r="K92" t="s">
        <v>74</v>
      </c>
      <c r="L92">
        <v>34.929492500000002</v>
      </c>
      <c r="M92">
        <v>-88.191125999999997</v>
      </c>
    </row>
    <row r="93" spans="1:13" x14ac:dyDescent="0.2">
      <c r="A93" t="s">
        <v>851</v>
      </c>
      <c r="B93" t="s">
        <v>835</v>
      </c>
      <c r="C93" t="str">
        <f>_xlfn.XLOOKUP(A93,'[1]Putative species manifest'!A:A,'[1]Putative species manifest'!B:B)</f>
        <v>CALYCOSA</v>
      </c>
      <c r="D93" t="s">
        <v>244</v>
      </c>
      <c r="E93" t="s">
        <v>50</v>
      </c>
      <c r="F93" t="s">
        <v>847</v>
      </c>
      <c r="G93" t="s">
        <v>24</v>
      </c>
      <c r="H93" t="s">
        <v>850</v>
      </c>
      <c r="I93" t="s">
        <v>14</v>
      </c>
      <c r="J93" t="s">
        <v>73</v>
      </c>
      <c r="K93" t="s">
        <v>74</v>
      </c>
      <c r="L93">
        <v>34.929492500000002</v>
      </c>
      <c r="M93">
        <v>-88.191125999999997</v>
      </c>
    </row>
    <row r="94" spans="1:13" x14ac:dyDescent="0.2">
      <c r="A94" t="s">
        <v>852</v>
      </c>
      <c r="B94" t="s">
        <v>835</v>
      </c>
      <c r="C94" t="str">
        <f>_xlfn.XLOOKUP(A94,'[1]Putative species manifest'!A:A,'[1]Putative species manifest'!B:B)</f>
        <v>CALYCOSA</v>
      </c>
      <c r="D94" t="s">
        <v>244</v>
      </c>
      <c r="E94" t="s">
        <v>50</v>
      </c>
      <c r="F94" t="s">
        <v>847</v>
      </c>
      <c r="G94" t="s">
        <v>24</v>
      </c>
      <c r="H94" t="s">
        <v>850</v>
      </c>
      <c r="I94" t="s">
        <v>14</v>
      </c>
      <c r="J94" t="s">
        <v>73</v>
      </c>
      <c r="K94" t="s">
        <v>74</v>
      </c>
      <c r="L94">
        <v>34.929492500000002</v>
      </c>
      <c r="M94">
        <v>-88.191125999999997</v>
      </c>
    </row>
    <row r="95" spans="1:13" x14ac:dyDescent="0.2">
      <c r="A95" t="s">
        <v>853</v>
      </c>
      <c r="B95" t="s">
        <v>835</v>
      </c>
      <c r="C95" t="str">
        <f>_xlfn.XLOOKUP(A95,'[1]Putative species manifest'!A:A,'[1]Putative species manifest'!B:B)</f>
        <v>CALYCOSA</v>
      </c>
      <c r="D95" t="s">
        <v>244</v>
      </c>
      <c r="E95" t="s">
        <v>50</v>
      </c>
      <c r="F95" t="s">
        <v>847</v>
      </c>
      <c r="G95" t="s">
        <v>24</v>
      </c>
      <c r="H95" t="s">
        <v>850</v>
      </c>
      <c r="I95" t="s">
        <v>14</v>
      </c>
      <c r="J95" t="s">
        <v>73</v>
      </c>
      <c r="K95" t="s">
        <v>74</v>
      </c>
      <c r="L95">
        <v>34.929492500000002</v>
      </c>
      <c r="M95">
        <v>-88.191125999999997</v>
      </c>
    </row>
    <row r="96" spans="1:13" x14ac:dyDescent="0.2">
      <c r="A96" t="s">
        <v>854</v>
      </c>
      <c r="B96" t="s">
        <v>835</v>
      </c>
      <c r="C96" t="str">
        <f>_xlfn.XLOOKUP(A96,'[1]Putative species manifest'!A:A,'[1]Putative species manifest'!B:B)</f>
        <v>CALYCOSA</v>
      </c>
      <c r="D96" t="s">
        <v>244</v>
      </c>
      <c r="E96" t="s">
        <v>50</v>
      </c>
      <c r="F96" t="s">
        <v>847</v>
      </c>
      <c r="G96" t="s">
        <v>24</v>
      </c>
      <c r="H96" t="s">
        <v>850</v>
      </c>
      <c r="I96" t="s">
        <v>14</v>
      </c>
      <c r="J96" t="s">
        <v>73</v>
      </c>
      <c r="K96" t="s">
        <v>74</v>
      </c>
      <c r="L96">
        <v>34.929492500000002</v>
      </c>
      <c r="M96">
        <v>-88.191125999999997</v>
      </c>
    </row>
    <row r="97" spans="1:13" x14ac:dyDescent="0.2">
      <c r="A97" t="s">
        <v>855</v>
      </c>
      <c r="B97" t="s">
        <v>835</v>
      </c>
      <c r="C97" t="str">
        <f>_xlfn.XLOOKUP(A97,'[1]Putative species manifest'!A:A,'[1]Putative species manifest'!B:B)</f>
        <v>CALYCOSA</v>
      </c>
      <c r="D97" t="s">
        <v>244</v>
      </c>
      <c r="E97" t="s">
        <v>50</v>
      </c>
      <c r="F97" t="s">
        <v>847</v>
      </c>
      <c r="G97" t="s">
        <v>24</v>
      </c>
      <c r="H97" t="s">
        <v>850</v>
      </c>
      <c r="I97" t="s">
        <v>14</v>
      </c>
      <c r="J97" t="s">
        <v>73</v>
      </c>
      <c r="K97" t="s">
        <v>74</v>
      </c>
      <c r="L97">
        <v>34.929492500000002</v>
      </c>
      <c r="M97">
        <v>-88.191125999999997</v>
      </c>
    </row>
    <row r="98" spans="1:13" x14ac:dyDescent="0.2">
      <c r="A98" t="s">
        <v>856</v>
      </c>
      <c r="B98" t="s">
        <v>835</v>
      </c>
      <c r="C98" t="str">
        <f>_xlfn.XLOOKUP(A98,'[1]Putative species manifest'!A:A,'[1]Putative species manifest'!B:B)</f>
        <v>CALYCOSA</v>
      </c>
      <c r="D98" t="s">
        <v>244</v>
      </c>
      <c r="E98" t="s">
        <v>50</v>
      </c>
      <c r="F98" t="s">
        <v>847</v>
      </c>
      <c r="G98" t="s">
        <v>24</v>
      </c>
      <c r="H98" t="s">
        <v>850</v>
      </c>
      <c r="I98" t="s">
        <v>14</v>
      </c>
      <c r="J98" t="s">
        <v>73</v>
      </c>
      <c r="K98" t="s">
        <v>74</v>
      </c>
      <c r="L98">
        <v>34.929492500000002</v>
      </c>
      <c r="M98">
        <v>-88.191125999999997</v>
      </c>
    </row>
    <row r="99" spans="1:13" x14ac:dyDescent="0.2">
      <c r="A99" t="s">
        <v>857</v>
      </c>
      <c r="B99" t="s">
        <v>835</v>
      </c>
      <c r="C99" t="str">
        <f>_xlfn.XLOOKUP(A99,'[1]Putative species manifest'!A:A,'[1]Putative species manifest'!B:B)</f>
        <v>CALYCOSA</v>
      </c>
      <c r="D99" t="s">
        <v>244</v>
      </c>
      <c r="E99" t="s">
        <v>50</v>
      </c>
      <c r="F99" t="s">
        <v>847</v>
      </c>
      <c r="G99" t="s">
        <v>24</v>
      </c>
      <c r="H99" t="s">
        <v>850</v>
      </c>
      <c r="I99" t="s">
        <v>14</v>
      </c>
      <c r="J99" t="s">
        <v>73</v>
      </c>
      <c r="K99" t="s">
        <v>74</v>
      </c>
      <c r="L99">
        <v>34.929492500000002</v>
      </c>
      <c r="M99">
        <v>-88.191125999999997</v>
      </c>
    </row>
    <row r="100" spans="1:13" x14ac:dyDescent="0.2">
      <c r="A100" t="s">
        <v>858</v>
      </c>
      <c r="B100" t="s">
        <v>835</v>
      </c>
      <c r="C100" t="str">
        <f>_xlfn.XLOOKUP(A100,'[1]Putative species manifest'!A:A,'[1]Putative species manifest'!B:B)</f>
        <v>CALYCOSA</v>
      </c>
      <c r="D100" t="s">
        <v>244</v>
      </c>
      <c r="E100" t="s">
        <v>50</v>
      </c>
      <c r="F100" t="s">
        <v>847</v>
      </c>
      <c r="G100" t="s">
        <v>24</v>
      </c>
      <c r="H100" t="s">
        <v>850</v>
      </c>
      <c r="I100" t="s">
        <v>14</v>
      </c>
      <c r="J100" t="s">
        <v>73</v>
      </c>
      <c r="K100" t="s">
        <v>74</v>
      </c>
      <c r="L100">
        <v>34.929492500000002</v>
      </c>
      <c r="M100">
        <v>-88.191125999999997</v>
      </c>
    </row>
    <row r="101" spans="1:13" x14ac:dyDescent="0.2">
      <c r="A101" t="s">
        <v>276</v>
      </c>
      <c r="B101" t="s">
        <v>38</v>
      </c>
      <c r="C101" t="str">
        <f>_xlfn.XLOOKUP(A101,'[1]Putative species manifest'!A:A,'[1]Putative species manifest'!B:B)</f>
        <v>CALYCOSA</v>
      </c>
      <c r="D101" t="s">
        <v>249</v>
      </c>
      <c r="E101" t="s">
        <v>43</v>
      </c>
      <c r="F101" t="s">
        <v>277</v>
      </c>
      <c r="G101" t="s">
        <v>24</v>
      </c>
      <c r="H101" t="s">
        <v>278</v>
      </c>
      <c r="I101" t="s">
        <v>14</v>
      </c>
      <c r="J101" t="s">
        <v>40</v>
      </c>
      <c r="K101" t="s">
        <v>279</v>
      </c>
      <c r="L101">
        <v>32.954166700000002</v>
      </c>
      <c r="M101">
        <v>-86.447221999999996</v>
      </c>
    </row>
    <row r="102" spans="1:13" x14ac:dyDescent="0.2">
      <c r="A102" t="s">
        <v>280</v>
      </c>
      <c r="B102" t="s">
        <v>38</v>
      </c>
      <c r="C102" t="str">
        <f>_xlfn.XLOOKUP(A102,'[1]Putative species manifest'!A:A,'[1]Putative species manifest'!B:B)</f>
        <v>CALYCOSA</v>
      </c>
      <c r="D102" t="s">
        <v>249</v>
      </c>
      <c r="E102" t="s">
        <v>43</v>
      </c>
      <c r="F102" t="s">
        <v>277</v>
      </c>
      <c r="G102" t="s">
        <v>24</v>
      </c>
      <c r="H102" t="s">
        <v>278</v>
      </c>
      <c r="I102" t="s">
        <v>14</v>
      </c>
      <c r="J102" t="s">
        <v>40</v>
      </c>
      <c r="K102" t="s">
        <v>279</v>
      </c>
      <c r="L102">
        <v>32.954166700000002</v>
      </c>
      <c r="M102">
        <v>-86.447221999999996</v>
      </c>
    </row>
    <row r="103" spans="1:13" x14ac:dyDescent="0.2">
      <c r="A103" t="s">
        <v>280</v>
      </c>
      <c r="B103" t="s">
        <v>38</v>
      </c>
      <c r="C103" t="str">
        <f>_xlfn.XLOOKUP(A103,'[1]Putative species manifest'!A:A,'[1]Putative species manifest'!B:B)</f>
        <v>CALYCOSA</v>
      </c>
      <c r="D103" t="s">
        <v>249</v>
      </c>
      <c r="E103" t="s">
        <v>43</v>
      </c>
      <c r="F103" t="s">
        <v>277</v>
      </c>
      <c r="G103" t="s">
        <v>24</v>
      </c>
      <c r="H103" t="s">
        <v>278</v>
      </c>
      <c r="I103" t="s">
        <v>14</v>
      </c>
      <c r="J103" t="s">
        <v>40</v>
      </c>
      <c r="K103" t="s">
        <v>279</v>
      </c>
      <c r="L103">
        <v>32.954166700000002</v>
      </c>
      <c r="M103">
        <v>-86.447221999999996</v>
      </c>
    </row>
    <row r="104" spans="1:13" x14ac:dyDescent="0.2">
      <c r="A104" t="s">
        <v>281</v>
      </c>
      <c r="B104" t="s">
        <v>38</v>
      </c>
      <c r="C104" t="str">
        <f>_xlfn.XLOOKUP(A104,'[1]Putative species manifest'!A:A,'[1]Putative species manifest'!B:B)</f>
        <v>CALYCOSA</v>
      </c>
      <c r="D104" t="s">
        <v>249</v>
      </c>
      <c r="E104" t="s">
        <v>43</v>
      </c>
      <c r="F104" t="s">
        <v>277</v>
      </c>
      <c r="G104" t="s">
        <v>24</v>
      </c>
      <c r="H104" t="s">
        <v>278</v>
      </c>
      <c r="I104" t="s">
        <v>14</v>
      </c>
      <c r="J104" t="s">
        <v>40</v>
      </c>
      <c r="K104" t="s">
        <v>279</v>
      </c>
      <c r="L104">
        <v>32.954166700000002</v>
      </c>
      <c r="M104">
        <v>-86.447221999999996</v>
      </c>
    </row>
    <row r="105" spans="1:13" x14ac:dyDescent="0.2">
      <c r="A105" t="s">
        <v>281</v>
      </c>
      <c r="B105" t="s">
        <v>38</v>
      </c>
      <c r="C105" t="str">
        <f>_xlfn.XLOOKUP(A105,'[1]Putative species manifest'!A:A,'[1]Putative species manifest'!B:B)</f>
        <v>CALYCOSA</v>
      </c>
      <c r="D105" t="s">
        <v>249</v>
      </c>
      <c r="E105" t="s">
        <v>43</v>
      </c>
      <c r="F105" t="s">
        <v>277</v>
      </c>
      <c r="G105" t="s">
        <v>24</v>
      </c>
      <c r="H105" t="s">
        <v>278</v>
      </c>
      <c r="I105" t="s">
        <v>14</v>
      </c>
      <c r="J105" t="s">
        <v>40</v>
      </c>
      <c r="K105" t="s">
        <v>279</v>
      </c>
      <c r="L105">
        <v>32.954166700000002</v>
      </c>
      <c r="M105">
        <v>-86.447221999999996</v>
      </c>
    </row>
    <row r="106" spans="1:13" x14ac:dyDescent="0.2">
      <c r="A106" t="s">
        <v>282</v>
      </c>
      <c r="B106" t="s">
        <v>38</v>
      </c>
      <c r="C106" t="str">
        <f>_xlfn.XLOOKUP(A106,'[1]Putative species manifest'!A:A,'[1]Putative species manifest'!B:B)</f>
        <v>CALYCOSA</v>
      </c>
      <c r="D106" t="s">
        <v>249</v>
      </c>
      <c r="E106" t="s">
        <v>43</v>
      </c>
      <c r="F106" t="s">
        <v>277</v>
      </c>
      <c r="G106" t="s">
        <v>24</v>
      </c>
      <c r="H106" t="s">
        <v>278</v>
      </c>
      <c r="I106" t="s">
        <v>14</v>
      </c>
      <c r="J106" t="s">
        <v>40</v>
      </c>
      <c r="K106" t="s">
        <v>279</v>
      </c>
      <c r="L106">
        <v>32.954166700000002</v>
      </c>
      <c r="M106">
        <v>-86.447221999999996</v>
      </c>
    </row>
    <row r="107" spans="1:13" x14ac:dyDescent="0.2">
      <c r="A107" t="s">
        <v>1518</v>
      </c>
      <c r="B107" t="s">
        <v>204</v>
      </c>
      <c r="F107" t="s">
        <v>205</v>
      </c>
      <c r="G107" t="s">
        <v>24</v>
      </c>
      <c r="H107" t="s">
        <v>206</v>
      </c>
      <c r="I107" t="s">
        <v>14</v>
      </c>
      <c r="J107" t="s">
        <v>73</v>
      </c>
      <c r="K107" t="s">
        <v>74</v>
      </c>
      <c r="L107">
        <v>34.930458999999999</v>
      </c>
      <c r="M107">
        <v>-88.189256999999998</v>
      </c>
    </row>
    <row r="108" spans="1:13" x14ac:dyDescent="0.2">
      <c r="A108" t="s">
        <v>1126</v>
      </c>
      <c r="B108" t="s">
        <v>1127</v>
      </c>
      <c r="C108" t="str">
        <f>_xlfn.XLOOKUP(A108,'[1]Putative species manifest'!A:A,'[1]Putative species manifest'!B:B)</f>
        <v>HIRSUTICAULIS</v>
      </c>
      <c r="D108" t="s">
        <v>244</v>
      </c>
      <c r="E108" t="s">
        <v>101</v>
      </c>
      <c r="F108" t="s">
        <v>1128</v>
      </c>
      <c r="H108" t="s">
        <v>1129</v>
      </c>
      <c r="I108" t="s">
        <v>14</v>
      </c>
      <c r="J108" t="s">
        <v>73</v>
      </c>
      <c r="K108" t="s">
        <v>1130</v>
      </c>
      <c r="L108">
        <v>34.408321000000001</v>
      </c>
      <c r="M108">
        <v>-89.836197999999996</v>
      </c>
    </row>
    <row r="109" spans="1:13" x14ac:dyDescent="0.2">
      <c r="A109" t="s">
        <v>1131</v>
      </c>
      <c r="B109" t="s">
        <v>1127</v>
      </c>
      <c r="C109" t="str">
        <f>_xlfn.XLOOKUP(A109,'[1]Putative species manifest'!A:A,'[1]Putative species manifest'!B:B)</f>
        <v>HIRSUTICAULIS</v>
      </c>
      <c r="D109" t="s">
        <v>244</v>
      </c>
      <c r="E109" t="s">
        <v>101</v>
      </c>
      <c r="F109" t="s">
        <v>1132</v>
      </c>
      <c r="G109" t="s">
        <v>24</v>
      </c>
      <c r="H109" t="s">
        <v>1133</v>
      </c>
      <c r="I109" t="s">
        <v>14</v>
      </c>
      <c r="J109" t="s">
        <v>87</v>
      </c>
      <c r="K109" t="s">
        <v>126</v>
      </c>
      <c r="L109">
        <v>35.380564</v>
      </c>
      <c r="M109">
        <v>-88.832925000000003</v>
      </c>
    </row>
    <row r="110" spans="1:13" x14ac:dyDescent="0.2">
      <c r="A110" t="s">
        <v>1134</v>
      </c>
      <c r="B110" t="s">
        <v>1127</v>
      </c>
      <c r="C110" t="str">
        <f>_xlfn.XLOOKUP(A110,'[1]Putative species manifest'!A:A,'[1]Putative species manifest'!B:B)</f>
        <v>HIRSUTICAULIS</v>
      </c>
      <c r="D110" t="s">
        <v>244</v>
      </c>
      <c r="E110" t="s">
        <v>101</v>
      </c>
      <c r="F110" t="s">
        <v>1132</v>
      </c>
      <c r="G110" t="s">
        <v>24</v>
      </c>
      <c r="H110" t="s">
        <v>1133</v>
      </c>
      <c r="I110" t="s">
        <v>14</v>
      </c>
      <c r="J110" t="s">
        <v>87</v>
      </c>
      <c r="K110" t="s">
        <v>126</v>
      </c>
      <c r="L110">
        <v>35.380564</v>
      </c>
      <c r="M110">
        <v>-88.832925000000003</v>
      </c>
    </row>
    <row r="111" spans="1:13" x14ac:dyDescent="0.2">
      <c r="A111" t="s">
        <v>1135</v>
      </c>
      <c r="B111" t="s">
        <v>1127</v>
      </c>
      <c r="C111" t="str">
        <f>_xlfn.XLOOKUP(A111,'[1]Putative species manifest'!A:A,'[1]Putative species manifest'!B:B)</f>
        <v>HIRSUTICAULIS</v>
      </c>
      <c r="D111" t="s">
        <v>244</v>
      </c>
      <c r="E111" t="s">
        <v>101</v>
      </c>
      <c r="F111" t="s">
        <v>1132</v>
      </c>
      <c r="G111" t="s">
        <v>24</v>
      </c>
      <c r="H111" t="s">
        <v>1136</v>
      </c>
      <c r="I111" t="s">
        <v>14</v>
      </c>
      <c r="J111" t="s">
        <v>87</v>
      </c>
      <c r="K111" t="s">
        <v>126</v>
      </c>
      <c r="L111">
        <v>35.380564</v>
      </c>
      <c r="M111">
        <v>-88.832925000000003</v>
      </c>
    </row>
    <row r="112" spans="1:13" x14ac:dyDescent="0.2">
      <c r="A112" t="s">
        <v>1137</v>
      </c>
      <c r="B112" t="s">
        <v>1127</v>
      </c>
      <c r="C112" t="str">
        <f>_xlfn.XLOOKUP(A112,'[1]Putative species manifest'!A:A,'[1]Putative species manifest'!B:B)</f>
        <v>HIRSUTICAULIS</v>
      </c>
      <c r="D112" t="s">
        <v>244</v>
      </c>
      <c r="E112" t="s">
        <v>101</v>
      </c>
      <c r="F112" t="s">
        <v>1132</v>
      </c>
      <c r="G112" t="s">
        <v>24</v>
      </c>
      <c r="H112" t="s">
        <v>1133</v>
      </c>
      <c r="I112" t="s">
        <v>14</v>
      </c>
      <c r="J112" t="s">
        <v>87</v>
      </c>
      <c r="K112" t="s">
        <v>126</v>
      </c>
      <c r="L112">
        <v>35.380564</v>
      </c>
      <c r="M112">
        <v>-88.832925000000003</v>
      </c>
    </row>
    <row r="113" spans="1:13" x14ac:dyDescent="0.2">
      <c r="A113" t="s">
        <v>1138</v>
      </c>
      <c r="B113" t="s">
        <v>1127</v>
      </c>
      <c r="C113" t="str">
        <f>_xlfn.XLOOKUP(A113,'[1]Putative species manifest'!A:A,'[1]Putative species manifest'!B:B)</f>
        <v>HIRSUTICAULIS</v>
      </c>
      <c r="D113" t="s">
        <v>244</v>
      </c>
      <c r="E113" t="s">
        <v>101</v>
      </c>
      <c r="F113" t="s">
        <v>1132</v>
      </c>
      <c r="G113" t="s">
        <v>24</v>
      </c>
      <c r="H113" t="s">
        <v>1133</v>
      </c>
      <c r="I113" t="s">
        <v>14</v>
      </c>
      <c r="J113" t="s">
        <v>87</v>
      </c>
      <c r="K113" t="s">
        <v>126</v>
      </c>
      <c r="L113">
        <v>35.380564</v>
      </c>
      <c r="M113">
        <v>-88.832925000000003</v>
      </c>
    </row>
    <row r="114" spans="1:13" x14ac:dyDescent="0.2">
      <c r="A114" t="s">
        <v>1139</v>
      </c>
      <c r="B114" t="s">
        <v>1127</v>
      </c>
      <c r="C114" t="str">
        <f>_xlfn.XLOOKUP(A114,'[1]Putative species manifest'!A:A,'[1]Putative species manifest'!B:B)</f>
        <v>HIRSUTICAULIS</v>
      </c>
      <c r="D114" t="s">
        <v>244</v>
      </c>
      <c r="E114" t="s">
        <v>101</v>
      </c>
      <c r="F114" t="s">
        <v>1132</v>
      </c>
      <c r="G114" t="s">
        <v>24</v>
      </c>
      <c r="H114" t="s">
        <v>1133</v>
      </c>
      <c r="I114" t="s">
        <v>14</v>
      </c>
      <c r="J114" t="s">
        <v>87</v>
      </c>
      <c r="K114" t="s">
        <v>126</v>
      </c>
      <c r="L114">
        <v>35.380564</v>
      </c>
      <c r="M114">
        <v>-88.832925000000003</v>
      </c>
    </row>
    <row r="115" spans="1:13" x14ac:dyDescent="0.2">
      <c r="A115" t="s">
        <v>1140</v>
      </c>
      <c r="B115" t="s">
        <v>1127</v>
      </c>
      <c r="C115" t="str">
        <f>_xlfn.XLOOKUP(A115,'[1]Putative species manifest'!A:A,'[1]Putative species manifest'!B:B)</f>
        <v>HIRSUTICAULIS</v>
      </c>
      <c r="D115" t="s">
        <v>244</v>
      </c>
      <c r="E115" t="s">
        <v>101</v>
      </c>
      <c r="F115" t="s">
        <v>1132</v>
      </c>
      <c r="G115" t="s">
        <v>24</v>
      </c>
      <c r="H115" t="s">
        <v>1133</v>
      </c>
      <c r="I115" t="s">
        <v>14</v>
      </c>
      <c r="J115" t="s">
        <v>87</v>
      </c>
      <c r="K115" t="s">
        <v>126</v>
      </c>
      <c r="L115">
        <v>35.380564</v>
      </c>
      <c r="M115">
        <v>-88.832925000000003</v>
      </c>
    </row>
    <row r="116" spans="1:13" x14ac:dyDescent="0.2">
      <c r="A116" t="s">
        <v>1141</v>
      </c>
      <c r="B116" t="s">
        <v>1127</v>
      </c>
      <c r="C116" t="str">
        <f>_xlfn.XLOOKUP(A116,'[1]Putative species manifest'!A:A,'[1]Putative species manifest'!B:B)</f>
        <v>HIRSUTICAULIS</v>
      </c>
      <c r="D116" t="s">
        <v>244</v>
      </c>
      <c r="E116" t="s">
        <v>101</v>
      </c>
      <c r="F116" t="s">
        <v>1132</v>
      </c>
      <c r="G116" t="s">
        <v>24</v>
      </c>
      <c r="H116" t="s">
        <v>1133</v>
      </c>
      <c r="I116" t="s">
        <v>14</v>
      </c>
      <c r="J116" t="s">
        <v>87</v>
      </c>
      <c r="K116" t="s">
        <v>126</v>
      </c>
      <c r="L116">
        <v>35.380564</v>
      </c>
      <c r="M116">
        <v>-88.832925000000003</v>
      </c>
    </row>
    <row r="117" spans="1:13" x14ac:dyDescent="0.2">
      <c r="A117" t="s">
        <v>1142</v>
      </c>
      <c r="B117" t="s">
        <v>1127</v>
      </c>
      <c r="C117" t="str">
        <f>_xlfn.XLOOKUP(A117,'[1]Putative species manifest'!A:A,'[1]Putative species manifest'!B:B)</f>
        <v>HIRSUTICAULIS</v>
      </c>
      <c r="D117" t="s">
        <v>244</v>
      </c>
      <c r="E117" t="s">
        <v>101</v>
      </c>
      <c r="F117" t="s">
        <v>1132</v>
      </c>
      <c r="G117" t="s">
        <v>24</v>
      </c>
      <c r="H117" t="s">
        <v>1133</v>
      </c>
      <c r="I117" t="s">
        <v>14</v>
      </c>
      <c r="J117" t="s">
        <v>87</v>
      </c>
      <c r="K117" t="s">
        <v>126</v>
      </c>
      <c r="L117">
        <v>35.380564</v>
      </c>
      <c r="M117">
        <v>-88.832925000000003</v>
      </c>
    </row>
    <row r="118" spans="1:13" x14ac:dyDescent="0.2">
      <c r="A118" t="s">
        <v>1143</v>
      </c>
      <c r="B118" t="s">
        <v>1127</v>
      </c>
      <c r="C118" t="str">
        <f>_xlfn.XLOOKUP(A118,'[1]Putative species manifest'!A:A,'[1]Putative species manifest'!B:B)</f>
        <v>HIRSUTICAULIS</v>
      </c>
      <c r="D118" t="s">
        <v>244</v>
      </c>
      <c r="E118" t="s">
        <v>101</v>
      </c>
      <c r="F118" t="s">
        <v>1132</v>
      </c>
      <c r="G118" t="s">
        <v>24</v>
      </c>
      <c r="H118" t="s">
        <v>1133</v>
      </c>
      <c r="I118" t="s">
        <v>14</v>
      </c>
      <c r="J118" t="s">
        <v>87</v>
      </c>
      <c r="K118" t="s">
        <v>126</v>
      </c>
      <c r="L118">
        <v>35.380564</v>
      </c>
      <c r="M118">
        <v>-88.832925000000003</v>
      </c>
    </row>
    <row r="119" spans="1:13" x14ac:dyDescent="0.2">
      <c r="A119" t="s">
        <v>704</v>
      </c>
      <c r="B119" t="s">
        <v>38</v>
      </c>
      <c r="C119" t="str">
        <f>_xlfn.XLOOKUP(A119,'[1]Putative species manifest'!A:A,'[1]Putative species manifest'!B:B)</f>
        <v>BREVIPETALA</v>
      </c>
      <c r="D119" t="s">
        <v>244</v>
      </c>
      <c r="E119" t="s">
        <v>50</v>
      </c>
      <c r="F119" t="s">
        <v>705</v>
      </c>
      <c r="G119" t="s">
        <v>24</v>
      </c>
      <c r="H119" t="s">
        <v>706</v>
      </c>
      <c r="I119" t="s">
        <v>14</v>
      </c>
      <c r="J119" t="s">
        <v>87</v>
      </c>
      <c r="K119" t="s">
        <v>88</v>
      </c>
      <c r="L119">
        <v>36.036791999999998</v>
      </c>
      <c r="M119">
        <v>-87.415363999999997</v>
      </c>
    </row>
    <row r="120" spans="1:13" x14ac:dyDescent="0.2">
      <c r="A120" t="s">
        <v>711</v>
      </c>
      <c r="B120" t="s">
        <v>38</v>
      </c>
      <c r="C120" t="str">
        <f>_xlfn.XLOOKUP(A120,'[1]Putative species manifest'!A:A,'[1]Putative species manifest'!B:B)</f>
        <v>BREVIPETALA</v>
      </c>
      <c r="D120" t="s">
        <v>244</v>
      </c>
      <c r="E120" t="s">
        <v>50</v>
      </c>
      <c r="F120" t="s">
        <v>705</v>
      </c>
      <c r="G120" t="s">
        <v>24</v>
      </c>
      <c r="H120" t="s">
        <v>706</v>
      </c>
      <c r="I120" t="s">
        <v>14</v>
      </c>
      <c r="J120" t="s">
        <v>87</v>
      </c>
      <c r="K120" t="s">
        <v>88</v>
      </c>
      <c r="L120">
        <v>36.036791999999998</v>
      </c>
      <c r="M120">
        <v>-87.415363999999997</v>
      </c>
    </row>
    <row r="121" spans="1:13" x14ac:dyDescent="0.2">
      <c r="A121" t="s">
        <v>707</v>
      </c>
      <c r="B121" t="s">
        <v>38</v>
      </c>
      <c r="C121" t="str">
        <f>_xlfn.XLOOKUP(A121,'[1]Putative species manifest'!A:A,'[1]Putative species manifest'!B:B)</f>
        <v>BREVIPETALA</v>
      </c>
      <c r="D121" t="s">
        <v>244</v>
      </c>
      <c r="E121" t="s">
        <v>50</v>
      </c>
      <c r="F121" t="s">
        <v>705</v>
      </c>
      <c r="G121" t="s">
        <v>24</v>
      </c>
      <c r="H121" t="s">
        <v>706</v>
      </c>
      <c r="I121" t="s">
        <v>14</v>
      </c>
      <c r="J121" t="s">
        <v>87</v>
      </c>
      <c r="K121" t="s">
        <v>88</v>
      </c>
      <c r="L121">
        <v>36.036791999999998</v>
      </c>
      <c r="M121">
        <v>-87.415363999999997</v>
      </c>
    </row>
    <row r="122" spans="1:13" x14ac:dyDescent="0.2">
      <c r="A122" t="s">
        <v>708</v>
      </c>
      <c r="B122" t="s">
        <v>38</v>
      </c>
      <c r="C122" t="str">
        <f>_xlfn.XLOOKUP(A122,'[1]Putative species manifest'!A:A,'[1]Putative species manifest'!B:B)</f>
        <v>BREVIPETALA</v>
      </c>
      <c r="D122" t="s">
        <v>244</v>
      </c>
      <c r="E122" t="s">
        <v>50</v>
      </c>
      <c r="F122" t="s">
        <v>705</v>
      </c>
      <c r="G122" t="s">
        <v>24</v>
      </c>
      <c r="H122" t="s">
        <v>706</v>
      </c>
      <c r="I122" t="s">
        <v>14</v>
      </c>
      <c r="J122" t="s">
        <v>87</v>
      </c>
      <c r="K122" t="s">
        <v>88</v>
      </c>
      <c r="L122">
        <v>36.036791999999998</v>
      </c>
      <c r="M122">
        <v>-87.415363999999997</v>
      </c>
    </row>
    <row r="123" spans="1:13" x14ac:dyDescent="0.2">
      <c r="A123" t="s">
        <v>709</v>
      </c>
      <c r="B123" t="s">
        <v>38</v>
      </c>
      <c r="C123" t="str">
        <f>_xlfn.XLOOKUP(A123,'[1]Putative species manifest'!A:A,'[1]Putative species manifest'!B:B)</f>
        <v>BREVIPETALA</v>
      </c>
      <c r="D123" t="s">
        <v>244</v>
      </c>
      <c r="E123" t="s">
        <v>50</v>
      </c>
      <c r="F123" t="s">
        <v>705</v>
      </c>
      <c r="G123" t="s">
        <v>24</v>
      </c>
      <c r="H123" t="s">
        <v>706</v>
      </c>
      <c r="I123" t="s">
        <v>14</v>
      </c>
      <c r="J123" t="s">
        <v>87</v>
      </c>
      <c r="K123" t="s">
        <v>88</v>
      </c>
      <c r="L123">
        <v>36.036791999999998</v>
      </c>
      <c r="M123">
        <v>-87.415363999999997</v>
      </c>
    </row>
    <row r="124" spans="1:13" x14ac:dyDescent="0.2">
      <c r="A124" t="s">
        <v>710</v>
      </c>
      <c r="B124" t="s">
        <v>38</v>
      </c>
      <c r="C124" t="str">
        <f>_xlfn.XLOOKUP(A124,'[1]Putative species manifest'!A:A,'[1]Putative species manifest'!B:B)</f>
        <v>BREVIPETALA</v>
      </c>
      <c r="D124" t="s">
        <v>244</v>
      </c>
      <c r="E124" t="s">
        <v>50</v>
      </c>
      <c r="F124" t="s">
        <v>705</v>
      </c>
      <c r="G124" t="s">
        <v>24</v>
      </c>
      <c r="H124" t="s">
        <v>706</v>
      </c>
      <c r="I124" t="s">
        <v>14</v>
      </c>
      <c r="J124" t="s">
        <v>87</v>
      </c>
      <c r="K124" t="s">
        <v>88</v>
      </c>
      <c r="L124">
        <v>36.036791999999998</v>
      </c>
      <c r="M124">
        <v>-87.415363999999997</v>
      </c>
    </row>
    <row r="125" spans="1:13" x14ac:dyDescent="0.2">
      <c r="A125" t="s">
        <v>242</v>
      </c>
      <c r="B125" t="s">
        <v>243</v>
      </c>
      <c r="C125" t="str">
        <f>_xlfn.XLOOKUP(A125,'[1]Putative species manifest'!A:A,'[1]Putative species manifest'!B:B)</f>
        <v>BREVIPETALA</v>
      </c>
      <c r="D125" t="s">
        <v>244</v>
      </c>
      <c r="E125" t="s">
        <v>50</v>
      </c>
      <c r="F125" t="s">
        <v>245</v>
      </c>
      <c r="G125" t="s">
        <v>24</v>
      </c>
      <c r="H125" t="s">
        <v>246</v>
      </c>
      <c r="I125" t="s">
        <v>14</v>
      </c>
      <c r="J125" t="s">
        <v>87</v>
      </c>
      <c r="K125" t="s">
        <v>88</v>
      </c>
      <c r="L125">
        <v>36.036791999999998</v>
      </c>
      <c r="M125">
        <v>-87.328511000000006</v>
      </c>
    </row>
    <row r="126" spans="1:13" x14ac:dyDescent="0.2">
      <c r="A126" t="s">
        <v>683</v>
      </c>
      <c r="B126" t="s">
        <v>38</v>
      </c>
      <c r="C126" t="str">
        <f>_xlfn.XLOOKUP(A126,'[1]Putative species manifest'!A:A,'[1]Putative species manifest'!B:B)</f>
        <v>BREVIPETALA</v>
      </c>
      <c r="D126" t="s">
        <v>244</v>
      </c>
      <c r="E126" t="s">
        <v>50</v>
      </c>
      <c r="F126" t="s">
        <v>245</v>
      </c>
      <c r="G126" t="s">
        <v>24</v>
      </c>
      <c r="H126" t="s">
        <v>246</v>
      </c>
      <c r="I126" t="s">
        <v>14</v>
      </c>
      <c r="J126" t="s">
        <v>87</v>
      </c>
      <c r="K126" t="s">
        <v>88</v>
      </c>
      <c r="L126">
        <v>36.036791999999998</v>
      </c>
      <c r="M126">
        <v>-87.328511000000006</v>
      </c>
    </row>
    <row r="127" spans="1:13" x14ac:dyDescent="0.2">
      <c r="A127" t="s">
        <v>247</v>
      </c>
      <c r="B127" t="s">
        <v>243</v>
      </c>
      <c r="C127" t="str">
        <f>_xlfn.XLOOKUP(A127,'[1]Putative species manifest'!A:A,'[1]Putative species manifest'!B:B)</f>
        <v>BREVIPETALA</v>
      </c>
      <c r="D127" t="s">
        <v>244</v>
      </c>
      <c r="E127" t="s">
        <v>50</v>
      </c>
      <c r="F127" t="s">
        <v>245</v>
      </c>
      <c r="G127" t="s">
        <v>24</v>
      </c>
      <c r="H127" t="s">
        <v>246</v>
      </c>
      <c r="I127" t="s">
        <v>14</v>
      </c>
      <c r="J127" t="s">
        <v>87</v>
      </c>
      <c r="K127" t="s">
        <v>88</v>
      </c>
      <c r="L127">
        <v>36.036791999999998</v>
      </c>
      <c r="M127">
        <v>-87.328511000000006</v>
      </c>
    </row>
    <row r="128" spans="1:13" x14ac:dyDescent="0.2">
      <c r="A128" t="s">
        <v>684</v>
      </c>
      <c r="B128" t="s">
        <v>38</v>
      </c>
      <c r="C128" t="str">
        <f>_xlfn.XLOOKUP(A128,'[1]Putative species manifest'!A:A,'[1]Putative species manifest'!B:B)</f>
        <v>BREVIPETALA</v>
      </c>
      <c r="D128" t="s">
        <v>244</v>
      </c>
      <c r="E128" t="s">
        <v>50</v>
      </c>
      <c r="F128" t="s">
        <v>245</v>
      </c>
      <c r="G128" t="s">
        <v>24</v>
      </c>
      <c r="H128" t="s">
        <v>246</v>
      </c>
      <c r="I128" t="s">
        <v>14</v>
      </c>
      <c r="J128" t="s">
        <v>87</v>
      </c>
      <c r="K128" t="s">
        <v>88</v>
      </c>
      <c r="L128">
        <v>36.036791999999998</v>
      </c>
      <c r="M128">
        <v>-87.328511000000006</v>
      </c>
    </row>
    <row r="129" spans="1:13" x14ac:dyDescent="0.2">
      <c r="A129" t="s">
        <v>685</v>
      </c>
      <c r="B129" t="s">
        <v>38</v>
      </c>
      <c r="C129" t="str">
        <f>_xlfn.XLOOKUP(A129,'[1]Putative species manifest'!A:A,'[1]Putative species manifest'!B:B)</f>
        <v>BREVIPETALA</v>
      </c>
      <c r="D129" t="s">
        <v>244</v>
      </c>
      <c r="E129" t="s">
        <v>50</v>
      </c>
      <c r="F129" t="s">
        <v>245</v>
      </c>
      <c r="G129" t="s">
        <v>24</v>
      </c>
      <c r="H129" t="s">
        <v>246</v>
      </c>
      <c r="I129" t="s">
        <v>14</v>
      </c>
      <c r="J129" t="s">
        <v>87</v>
      </c>
      <c r="K129" t="s">
        <v>88</v>
      </c>
      <c r="L129">
        <v>36.036791999999998</v>
      </c>
      <c r="M129">
        <v>-87.328511000000006</v>
      </c>
    </row>
    <row r="130" spans="1:13" x14ac:dyDescent="0.2">
      <c r="A130" t="s">
        <v>686</v>
      </c>
      <c r="B130" t="s">
        <v>38</v>
      </c>
      <c r="C130" t="str">
        <f>_xlfn.XLOOKUP(A130,'[1]Putative species manifest'!A:A,'[1]Putative species manifest'!B:B)</f>
        <v>BREVIPETALA</v>
      </c>
      <c r="D130" t="s">
        <v>244</v>
      </c>
      <c r="E130" t="s">
        <v>50</v>
      </c>
      <c r="F130" t="s">
        <v>245</v>
      </c>
      <c r="G130" t="s">
        <v>24</v>
      </c>
      <c r="H130" t="s">
        <v>246</v>
      </c>
      <c r="I130" t="s">
        <v>14</v>
      </c>
      <c r="J130" t="s">
        <v>87</v>
      </c>
      <c r="K130" t="s">
        <v>88</v>
      </c>
      <c r="L130">
        <v>36.036791999999998</v>
      </c>
      <c r="M130">
        <v>-87.328511000000006</v>
      </c>
    </row>
    <row r="131" spans="1:13" x14ac:dyDescent="0.2">
      <c r="A131" t="s">
        <v>687</v>
      </c>
      <c r="B131" t="s">
        <v>38</v>
      </c>
      <c r="C131" t="str">
        <f>_xlfn.XLOOKUP(A131,'[1]Putative species manifest'!A:A,'[1]Putative species manifest'!B:B)</f>
        <v>BREVIPETALA</v>
      </c>
      <c r="D131" t="s">
        <v>244</v>
      </c>
      <c r="E131" t="s">
        <v>50</v>
      </c>
      <c r="F131" t="s">
        <v>245</v>
      </c>
      <c r="G131" t="s">
        <v>24</v>
      </c>
      <c r="H131" t="s">
        <v>246</v>
      </c>
      <c r="I131" t="s">
        <v>14</v>
      </c>
      <c r="J131" t="s">
        <v>87</v>
      </c>
      <c r="K131" t="s">
        <v>88</v>
      </c>
      <c r="L131">
        <v>36.036791999999998</v>
      </c>
      <c r="M131">
        <v>-87.328511000000006</v>
      </c>
    </row>
    <row r="132" spans="1:13" x14ac:dyDescent="0.2">
      <c r="A132" t="s">
        <v>688</v>
      </c>
      <c r="B132" t="s">
        <v>38</v>
      </c>
      <c r="C132" t="str">
        <f>_xlfn.XLOOKUP(A132,'[1]Putative species manifest'!A:A,'[1]Putative species manifest'!B:B)</f>
        <v>BREVIPETALA</v>
      </c>
      <c r="D132" t="s">
        <v>244</v>
      </c>
      <c r="E132" t="s">
        <v>50</v>
      </c>
      <c r="F132" t="s">
        <v>245</v>
      </c>
      <c r="G132" t="s">
        <v>24</v>
      </c>
      <c r="H132" t="s">
        <v>246</v>
      </c>
      <c r="I132" t="s">
        <v>14</v>
      </c>
      <c r="J132" t="s">
        <v>87</v>
      </c>
      <c r="K132" t="s">
        <v>88</v>
      </c>
      <c r="L132">
        <v>36.036791999999998</v>
      </c>
      <c r="M132">
        <v>-87.328511000000006</v>
      </c>
    </row>
    <row r="133" spans="1:13" x14ac:dyDescent="0.2">
      <c r="A133" t="s">
        <v>689</v>
      </c>
      <c r="B133" t="s">
        <v>38</v>
      </c>
      <c r="C133" t="str">
        <f>_xlfn.XLOOKUP(A133,'[1]Putative species manifest'!A:A,'[1]Putative species manifest'!B:B)</f>
        <v>BREVIPETALA</v>
      </c>
      <c r="D133" t="s">
        <v>244</v>
      </c>
      <c r="E133" t="s">
        <v>50</v>
      </c>
      <c r="F133" t="s">
        <v>245</v>
      </c>
      <c r="G133" t="s">
        <v>24</v>
      </c>
      <c r="H133" t="s">
        <v>246</v>
      </c>
      <c r="I133" t="s">
        <v>14</v>
      </c>
      <c r="J133" t="s">
        <v>87</v>
      </c>
      <c r="K133" t="s">
        <v>88</v>
      </c>
      <c r="L133">
        <v>36.036791999999998</v>
      </c>
      <c r="M133">
        <v>-87.328511000000006</v>
      </c>
    </row>
    <row r="134" spans="1:13" x14ac:dyDescent="0.2">
      <c r="A134" t="s">
        <v>690</v>
      </c>
      <c r="B134" t="s">
        <v>38</v>
      </c>
      <c r="C134" t="str">
        <f>_xlfn.XLOOKUP(A134,'[1]Putative species manifest'!A:A,'[1]Putative species manifest'!B:B)</f>
        <v>BREVIPETALA</v>
      </c>
      <c r="D134" t="s">
        <v>244</v>
      </c>
      <c r="E134" t="s">
        <v>50</v>
      </c>
      <c r="F134" t="s">
        <v>245</v>
      </c>
      <c r="G134" t="s">
        <v>24</v>
      </c>
      <c r="H134" t="s">
        <v>246</v>
      </c>
      <c r="I134" t="s">
        <v>14</v>
      </c>
      <c r="J134" t="s">
        <v>87</v>
      </c>
      <c r="K134" t="s">
        <v>88</v>
      </c>
      <c r="L134">
        <v>36.036791999999998</v>
      </c>
      <c r="M134">
        <v>-87.328511000000006</v>
      </c>
    </row>
    <row r="135" spans="1:13" x14ac:dyDescent="0.2">
      <c r="A135" t="s">
        <v>691</v>
      </c>
      <c r="B135" t="s">
        <v>38</v>
      </c>
      <c r="C135" t="str">
        <f>_xlfn.XLOOKUP(A135,'[1]Putative species manifest'!A:A,'[1]Putative species manifest'!B:B)</f>
        <v>BREVIPETALA</v>
      </c>
      <c r="D135" t="s">
        <v>244</v>
      </c>
      <c r="E135" t="s">
        <v>50</v>
      </c>
      <c r="F135" t="s">
        <v>692</v>
      </c>
      <c r="G135" t="s">
        <v>24</v>
      </c>
      <c r="H135" t="s">
        <v>693</v>
      </c>
      <c r="I135" t="s">
        <v>14</v>
      </c>
      <c r="J135" t="s">
        <v>87</v>
      </c>
      <c r="K135" t="s">
        <v>88</v>
      </c>
      <c r="L135">
        <v>36.311858000000001</v>
      </c>
      <c r="M135">
        <v>-87.307933000000006</v>
      </c>
    </row>
    <row r="136" spans="1:13" x14ac:dyDescent="0.2">
      <c r="A136" t="s">
        <v>694</v>
      </c>
      <c r="B136" t="s">
        <v>38</v>
      </c>
      <c r="C136" t="str">
        <f>_xlfn.XLOOKUP(A136,'[1]Putative species manifest'!A:A,'[1]Putative species manifest'!B:B)</f>
        <v>BREVIPETALA</v>
      </c>
      <c r="D136" t="s">
        <v>244</v>
      </c>
      <c r="E136" t="s">
        <v>50</v>
      </c>
      <c r="F136" t="s">
        <v>692</v>
      </c>
      <c r="G136" t="s">
        <v>24</v>
      </c>
      <c r="H136" t="s">
        <v>695</v>
      </c>
      <c r="I136" t="s">
        <v>14</v>
      </c>
      <c r="J136" t="s">
        <v>87</v>
      </c>
      <c r="K136" t="s">
        <v>88</v>
      </c>
      <c r="L136">
        <v>36.311858000000001</v>
      </c>
      <c r="M136">
        <v>-87.307933000000006</v>
      </c>
    </row>
    <row r="137" spans="1:13" x14ac:dyDescent="0.2">
      <c r="A137" t="s">
        <v>696</v>
      </c>
      <c r="B137" t="s">
        <v>38</v>
      </c>
      <c r="C137" t="str">
        <f>_xlfn.XLOOKUP(A137,'[1]Putative species manifest'!A:A,'[1]Putative species manifest'!B:B)</f>
        <v>BREVIPETALA</v>
      </c>
      <c r="D137" t="s">
        <v>244</v>
      </c>
      <c r="E137" t="s">
        <v>50</v>
      </c>
      <c r="F137" t="s">
        <v>692</v>
      </c>
      <c r="G137" t="s">
        <v>24</v>
      </c>
      <c r="H137" t="s">
        <v>695</v>
      </c>
      <c r="I137" t="s">
        <v>14</v>
      </c>
      <c r="J137" t="s">
        <v>87</v>
      </c>
      <c r="K137" t="s">
        <v>88</v>
      </c>
      <c r="L137">
        <v>36.311858000000001</v>
      </c>
      <c r="M137">
        <v>-87.307933000000006</v>
      </c>
    </row>
    <row r="138" spans="1:13" x14ac:dyDescent="0.2">
      <c r="A138" t="s">
        <v>697</v>
      </c>
      <c r="B138" t="s">
        <v>38</v>
      </c>
      <c r="C138" t="str">
        <f>_xlfn.XLOOKUP(A138,'[1]Putative species manifest'!A:A,'[1]Putative species manifest'!B:B)</f>
        <v>BREVIPETALA</v>
      </c>
      <c r="D138" t="s">
        <v>244</v>
      </c>
      <c r="E138" t="s">
        <v>50</v>
      </c>
      <c r="F138" t="s">
        <v>692</v>
      </c>
      <c r="G138" t="s">
        <v>24</v>
      </c>
      <c r="H138" t="s">
        <v>695</v>
      </c>
      <c r="I138" t="s">
        <v>14</v>
      </c>
      <c r="J138" t="s">
        <v>87</v>
      </c>
      <c r="K138" t="s">
        <v>88</v>
      </c>
      <c r="L138">
        <v>36.311858000000001</v>
      </c>
      <c r="M138">
        <v>-87.307933000000006</v>
      </c>
    </row>
    <row r="139" spans="1:13" x14ac:dyDescent="0.2">
      <c r="A139" t="s">
        <v>698</v>
      </c>
      <c r="B139" t="s">
        <v>38</v>
      </c>
      <c r="C139" t="str">
        <f>_xlfn.XLOOKUP(A139,'[1]Putative species manifest'!A:A,'[1]Putative species manifest'!B:B)</f>
        <v>BREVIPETALA</v>
      </c>
      <c r="D139" t="s">
        <v>244</v>
      </c>
      <c r="E139" t="s">
        <v>50</v>
      </c>
      <c r="F139" t="s">
        <v>692</v>
      </c>
      <c r="G139" t="s">
        <v>24</v>
      </c>
      <c r="H139" t="s">
        <v>695</v>
      </c>
      <c r="I139" t="s">
        <v>14</v>
      </c>
      <c r="J139" t="s">
        <v>87</v>
      </c>
      <c r="K139" t="s">
        <v>88</v>
      </c>
      <c r="L139">
        <v>36.311858000000001</v>
      </c>
      <c r="M139">
        <v>-87.307933000000006</v>
      </c>
    </row>
    <row r="140" spans="1:13" x14ac:dyDescent="0.2">
      <c r="A140" t="s">
        <v>699</v>
      </c>
      <c r="B140" t="s">
        <v>38</v>
      </c>
      <c r="C140" t="str">
        <f>_xlfn.XLOOKUP(A140,'[1]Putative species manifest'!A:A,'[1]Putative species manifest'!B:B)</f>
        <v>BREVIPETALA</v>
      </c>
      <c r="D140" t="s">
        <v>244</v>
      </c>
      <c r="E140" t="s">
        <v>50</v>
      </c>
      <c r="F140" t="s">
        <v>692</v>
      </c>
      <c r="G140" t="s">
        <v>24</v>
      </c>
      <c r="H140" t="s">
        <v>695</v>
      </c>
      <c r="I140" t="s">
        <v>14</v>
      </c>
      <c r="J140" t="s">
        <v>87</v>
      </c>
      <c r="K140" t="s">
        <v>88</v>
      </c>
      <c r="L140">
        <v>36.311858000000001</v>
      </c>
      <c r="M140">
        <v>-87.307933000000006</v>
      </c>
    </row>
    <row r="141" spans="1:13" x14ac:dyDescent="0.2">
      <c r="A141" t="s">
        <v>700</v>
      </c>
      <c r="B141" t="s">
        <v>38</v>
      </c>
      <c r="C141" t="str">
        <f>_xlfn.XLOOKUP(A141,'[1]Putative species manifest'!A:A,'[1]Putative species manifest'!B:B)</f>
        <v>BREVIPETALA</v>
      </c>
      <c r="D141" t="s">
        <v>244</v>
      </c>
      <c r="E141" t="s">
        <v>50</v>
      </c>
      <c r="F141" t="s">
        <v>692</v>
      </c>
      <c r="G141" t="s">
        <v>24</v>
      </c>
      <c r="H141" t="s">
        <v>695</v>
      </c>
      <c r="I141" t="s">
        <v>14</v>
      </c>
      <c r="J141" t="s">
        <v>87</v>
      </c>
      <c r="K141" t="s">
        <v>88</v>
      </c>
      <c r="L141">
        <v>36.311858000000001</v>
      </c>
      <c r="M141">
        <v>-87.307933000000006</v>
      </c>
    </row>
    <row r="142" spans="1:13" x14ac:dyDescent="0.2">
      <c r="A142" t="s">
        <v>701</v>
      </c>
      <c r="B142" t="s">
        <v>38</v>
      </c>
      <c r="C142" t="str">
        <f>_xlfn.XLOOKUP(A142,'[1]Putative species manifest'!A:A,'[1]Putative species manifest'!B:B)</f>
        <v>BREVIPETALA</v>
      </c>
      <c r="D142" t="s">
        <v>244</v>
      </c>
      <c r="E142" t="s">
        <v>50</v>
      </c>
      <c r="F142" t="s">
        <v>692</v>
      </c>
      <c r="G142" t="s">
        <v>24</v>
      </c>
      <c r="H142" t="s">
        <v>695</v>
      </c>
      <c r="I142" t="s">
        <v>14</v>
      </c>
      <c r="J142" t="s">
        <v>87</v>
      </c>
      <c r="K142" t="s">
        <v>88</v>
      </c>
      <c r="L142">
        <v>36.311858000000001</v>
      </c>
      <c r="M142">
        <v>-87.307933000000006</v>
      </c>
    </row>
    <row r="143" spans="1:13" x14ac:dyDescent="0.2">
      <c r="A143" t="s">
        <v>702</v>
      </c>
      <c r="B143" t="s">
        <v>38</v>
      </c>
      <c r="C143" t="str">
        <f>_xlfn.XLOOKUP(A143,'[1]Putative species manifest'!A:A,'[1]Putative species manifest'!B:B)</f>
        <v>BREVIPETALA</v>
      </c>
      <c r="D143" t="s">
        <v>244</v>
      </c>
      <c r="E143" t="s">
        <v>50</v>
      </c>
      <c r="F143" t="s">
        <v>692</v>
      </c>
      <c r="G143" t="s">
        <v>24</v>
      </c>
      <c r="H143" t="s">
        <v>695</v>
      </c>
      <c r="I143" t="s">
        <v>14</v>
      </c>
      <c r="J143" t="s">
        <v>87</v>
      </c>
      <c r="K143" t="s">
        <v>88</v>
      </c>
      <c r="L143">
        <v>36.311858000000001</v>
      </c>
      <c r="M143">
        <v>-87.307933000000006</v>
      </c>
    </row>
    <row r="144" spans="1:13" x14ac:dyDescent="0.2">
      <c r="A144" t="s">
        <v>703</v>
      </c>
      <c r="B144" t="s">
        <v>38</v>
      </c>
      <c r="C144" t="str">
        <f>_xlfn.XLOOKUP(A144,'[1]Putative species manifest'!A:A,'[1]Putative species manifest'!B:B)</f>
        <v>BREVIPETALA</v>
      </c>
      <c r="D144" t="s">
        <v>244</v>
      </c>
      <c r="E144" t="s">
        <v>50</v>
      </c>
      <c r="F144" t="s">
        <v>692</v>
      </c>
      <c r="G144" t="s">
        <v>24</v>
      </c>
      <c r="H144" t="s">
        <v>695</v>
      </c>
      <c r="I144" t="s">
        <v>14</v>
      </c>
      <c r="J144" t="s">
        <v>87</v>
      </c>
      <c r="K144" t="s">
        <v>88</v>
      </c>
      <c r="L144">
        <v>36.311858000000001</v>
      </c>
      <c r="M144">
        <v>-87.307933000000006</v>
      </c>
    </row>
    <row r="145" spans="1:13" x14ac:dyDescent="0.2">
      <c r="A145" t="s">
        <v>372</v>
      </c>
      <c r="B145" t="s">
        <v>38</v>
      </c>
      <c r="C145" t="str">
        <f>_xlfn.XLOOKUP(A145,'[1]Putative species manifest'!A:A,'[1]Putative species manifest'!B:B)</f>
        <v>BREVIPETALA</v>
      </c>
      <c r="D145" t="s">
        <v>244</v>
      </c>
      <c r="E145" t="s">
        <v>50</v>
      </c>
      <c r="F145" t="s">
        <v>373</v>
      </c>
      <c r="G145" t="s">
        <v>24</v>
      </c>
      <c r="H145" t="s">
        <v>374</v>
      </c>
      <c r="I145" t="s">
        <v>14</v>
      </c>
      <c r="J145" t="s">
        <v>66</v>
      </c>
      <c r="K145" t="s">
        <v>163</v>
      </c>
      <c r="L145">
        <v>37.204169</v>
      </c>
      <c r="M145">
        <v>-86.736069000000001</v>
      </c>
    </row>
    <row r="146" spans="1:13" x14ac:dyDescent="0.2">
      <c r="A146" t="s">
        <v>1308</v>
      </c>
      <c r="B146" t="s">
        <v>156</v>
      </c>
      <c r="C146" t="str">
        <f>_xlfn.XLOOKUP(A146,'[1]Putative species manifest'!A:A,'[1]Putative species manifest'!B:B)</f>
        <v>Heuchera missouriensis A37-5 KY</v>
      </c>
      <c r="D146" t="s">
        <v>1520</v>
      </c>
      <c r="E146" t="s">
        <v>156</v>
      </c>
      <c r="F146" t="s">
        <v>161</v>
      </c>
      <c r="G146" t="s">
        <v>24</v>
      </c>
      <c r="H146" t="s">
        <v>162</v>
      </c>
      <c r="I146" t="s">
        <v>14</v>
      </c>
      <c r="J146" t="s">
        <v>66</v>
      </c>
      <c r="K146" t="s">
        <v>163</v>
      </c>
      <c r="L146">
        <v>37.204169</v>
      </c>
      <c r="M146">
        <v>-86.736069000000001</v>
      </c>
    </row>
    <row r="147" spans="1:13" x14ac:dyDescent="0.2">
      <c r="A147" t="s">
        <v>1047</v>
      </c>
      <c r="B147" t="s">
        <v>100</v>
      </c>
      <c r="C147" t="str">
        <f>_xlfn.XLOOKUP(A147,'[1]Putative species manifest'!A:A,'[1]Putative species manifest'!B:B)</f>
        <v>HIRSUTICAULIS</v>
      </c>
      <c r="D147" t="s">
        <v>244</v>
      </c>
      <c r="E147" t="s">
        <v>101</v>
      </c>
      <c r="F147" t="s">
        <v>1048</v>
      </c>
      <c r="G147" t="s">
        <v>24</v>
      </c>
      <c r="H147" t="s">
        <v>1049</v>
      </c>
      <c r="I147" t="s">
        <v>14</v>
      </c>
      <c r="J147" t="s">
        <v>66</v>
      </c>
      <c r="K147" t="s">
        <v>155</v>
      </c>
      <c r="L147">
        <v>36.888572000000003</v>
      </c>
      <c r="M147">
        <v>-86.832992000000004</v>
      </c>
    </row>
    <row r="148" spans="1:13" x14ac:dyDescent="0.2">
      <c r="A148" t="s">
        <v>1050</v>
      </c>
      <c r="B148" t="s">
        <v>100</v>
      </c>
      <c r="C148" t="str">
        <f>_xlfn.XLOOKUP(A148,'[1]Putative species manifest'!A:A,'[1]Putative species manifest'!B:B)</f>
        <v>HIRSUTICAULIS</v>
      </c>
      <c r="D148" t="s">
        <v>244</v>
      </c>
      <c r="E148" t="s">
        <v>101</v>
      </c>
      <c r="F148" t="s">
        <v>1048</v>
      </c>
      <c r="G148" t="s">
        <v>24</v>
      </c>
      <c r="H148" t="s">
        <v>1051</v>
      </c>
      <c r="I148" t="s">
        <v>14</v>
      </c>
      <c r="J148" t="s">
        <v>66</v>
      </c>
      <c r="K148" t="s">
        <v>155</v>
      </c>
      <c r="L148">
        <v>36.888572000000003</v>
      </c>
      <c r="M148">
        <v>-86.832992000000004</v>
      </c>
    </row>
    <row r="149" spans="1:13" x14ac:dyDescent="0.2">
      <c r="A149" t="s">
        <v>1055</v>
      </c>
      <c r="B149" t="s">
        <v>100</v>
      </c>
      <c r="C149" t="str">
        <f>_xlfn.XLOOKUP(A149,'[1]Putative species manifest'!A:A,'[1]Putative species manifest'!B:B)</f>
        <v>HIRSUTICAULIS</v>
      </c>
      <c r="D149" t="s">
        <v>244</v>
      </c>
      <c r="E149" t="s">
        <v>101</v>
      </c>
      <c r="F149" t="s">
        <v>1056</v>
      </c>
      <c r="G149" t="s">
        <v>24</v>
      </c>
      <c r="H149" t="s">
        <v>1057</v>
      </c>
      <c r="I149" t="s">
        <v>14</v>
      </c>
      <c r="J149" t="s">
        <v>66</v>
      </c>
      <c r="K149" t="s">
        <v>202</v>
      </c>
      <c r="L149">
        <v>36.847206</v>
      </c>
      <c r="M149">
        <v>-88.072117000000006</v>
      </c>
    </row>
    <row r="150" spans="1:13" x14ac:dyDescent="0.2">
      <c r="A150" t="s">
        <v>1058</v>
      </c>
      <c r="B150" t="s">
        <v>100</v>
      </c>
      <c r="C150" t="str">
        <f>_xlfn.XLOOKUP(A150,'[1]Putative species manifest'!A:A,'[1]Putative species manifest'!B:B)</f>
        <v>HIRSUTICAULIS</v>
      </c>
      <c r="D150" t="s">
        <v>244</v>
      </c>
      <c r="E150" t="s">
        <v>101</v>
      </c>
      <c r="F150" t="s">
        <v>1056</v>
      </c>
      <c r="G150" t="s">
        <v>24</v>
      </c>
      <c r="H150" t="s">
        <v>1057</v>
      </c>
      <c r="I150" t="s">
        <v>14</v>
      </c>
      <c r="J150" t="s">
        <v>66</v>
      </c>
      <c r="K150" t="s">
        <v>202</v>
      </c>
      <c r="L150">
        <v>36.847206</v>
      </c>
      <c r="M150">
        <v>-88.072117000000006</v>
      </c>
    </row>
    <row r="151" spans="1:13" x14ac:dyDescent="0.2">
      <c r="A151" t="s">
        <v>1059</v>
      </c>
      <c r="B151" t="s">
        <v>100</v>
      </c>
      <c r="C151" t="str">
        <f>_xlfn.XLOOKUP(A151,'[1]Putative species manifest'!A:A,'[1]Putative species manifest'!B:B)</f>
        <v>HIRSUTICAULIS</v>
      </c>
      <c r="D151" t="s">
        <v>244</v>
      </c>
      <c r="E151" t="s">
        <v>101</v>
      </c>
      <c r="F151" t="s">
        <v>1056</v>
      </c>
      <c r="G151" t="s">
        <v>24</v>
      </c>
      <c r="H151" t="s">
        <v>1057</v>
      </c>
      <c r="I151" t="s">
        <v>14</v>
      </c>
      <c r="J151" t="s">
        <v>66</v>
      </c>
      <c r="K151" t="s">
        <v>202</v>
      </c>
      <c r="L151">
        <v>36.847206</v>
      </c>
      <c r="M151">
        <v>-88.072117000000006</v>
      </c>
    </row>
    <row r="152" spans="1:13" x14ac:dyDescent="0.2">
      <c r="A152" t="s">
        <v>1060</v>
      </c>
      <c r="B152" t="s">
        <v>100</v>
      </c>
      <c r="C152" t="str">
        <f>_xlfn.XLOOKUP(A152,'[1]Putative species manifest'!A:A,'[1]Putative species manifest'!B:B)</f>
        <v>HIRSUTICAULIS</v>
      </c>
      <c r="D152" t="s">
        <v>244</v>
      </c>
      <c r="E152" t="s">
        <v>101</v>
      </c>
      <c r="F152" t="s">
        <v>1056</v>
      </c>
      <c r="G152" t="s">
        <v>24</v>
      </c>
      <c r="H152" t="s">
        <v>1057</v>
      </c>
      <c r="I152" t="s">
        <v>14</v>
      </c>
      <c r="J152" t="s">
        <v>66</v>
      </c>
      <c r="K152" t="s">
        <v>202</v>
      </c>
      <c r="L152">
        <v>36.847206</v>
      </c>
      <c r="M152">
        <v>-88.072117000000006</v>
      </c>
    </row>
    <row r="153" spans="1:13" x14ac:dyDescent="0.2">
      <c r="A153" t="s">
        <v>1061</v>
      </c>
      <c r="B153" t="s">
        <v>100</v>
      </c>
      <c r="C153" t="str">
        <f>_xlfn.XLOOKUP(A153,'[1]Putative species manifest'!A:A,'[1]Putative species manifest'!B:B)</f>
        <v>HIRSUTICAULIS</v>
      </c>
      <c r="D153" t="s">
        <v>244</v>
      </c>
      <c r="E153" t="s">
        <v>101</v>
      </c>
      <c r="F153" t="s">
        <v>1056</v>
      </c>
      <c r="G153" t="s">
        <v>24</v>
      </c>
      <c r="H153" t="s">
        <v>1057</v>
      </c>
      <c r="I153" t="s">
        <v>14</v>
      </c>
      <c r="J153" t="s">
        <v>66</v>
      </c>
      <c r="K153" t="s">
        <v>202</v>
      </c>
      <c r="L153">
        <v>36.847206</v>
      </c>
      <c r="M153">
        <v>-88.072117000000006</v>
      </c>
    </row>
    <row r="154" spans="1:13" x14ac:dyDescent="0.2">
      <c r="A154" t="s">
        <v>1062</v>
      </c>
      <c r="B154" t="s">
        <v>100</v>
      </c>
      <c r="C154" t="str">
        <f>_xlfn.XLOOKUP(A154,'[1]Putative species manifest'!A:A,'[1]Putative species manifest'!B:B)</f>
        <v>HIRSUTICAULIS</v>
      </c>
      <c r="D154" t="s">
        <v>244</v>
      </c>
      <c r="E154" t="s">
        <v>101</v>
      </c>
      <c r="F154" t="s">
        <v>1056</v>
      </c>
      <c r="G154" t="s">
        <v>24</v>
      </c>
      <c r="H154" t="s">
        <v>1057</v>
      </c>
      <c r="I154" t="s">
        <v>14</v>
      </c>
      <c r="J154" t="s">
        <v>66</v>
      </c>
      <c r="K154" t="s">
        <v>202</v>
      </c>
      <c r="L154">
        <v>36.847206</v>
      </c>
      <c r="M154">
        <v>-88.072117000000006</v>
      </c>
    </row>
    <row r="155" spans="1:13" x14ac:dyDescent="0.2">
      <c r="A155" t="s">
        <v>1063</v>
      </c>
      <c r="B155" t="s">
        <v>100</v>
      </c>
      <c r="C155" t="str">
        <f>_xlfn.XLOOKUP(A155,'[1]Putative species manifest'!A:A,'[1]Putative species manifest'!B:B)</f>
        <v>HIRSUTICAULIS</v>
      </c>
      <c r="D155" t="s">
        <v>244</v>
      </c>
      <c r="E155" t="s">
        <v>101</v>
      </c>
      <c r="F155" t="s">
        <v>1056</v>
      </c>
      <c r="G155" t="s">
        <v>24</v>
      </c>
      <c r="H155" t="s">
        <v>1057</v>
      </c>
      <c r="I155" t="s">
        <v>14</v>
      </c>
      <c r="J155" t="s">
        <v>66</v>
      </c>
      <c r="K155" t="s">
        <v>202</v>
      </c>
      <c r="L155">
        <v>36.847206</v>
      </c>
      <c r="M155">
        <v>-88.072117000000006</v>
      </c>
    </row>
    <row r="156" spans="1:13" x14ac:dyDescent="0.2">
      <c r="A156" t="s">
        <v>1064</v>
      </c>
      <c r="B156" t="s">
        <v>100</v>
      </c>
      <c r="C156" t="str">
        <f>_xlfn.XLOOKUP(A156,'[1]Putative species manifest'!A:A,'[1]Putative species manifest'!B:B)</f>
        <v>HIRSUTICAULIS</v>
      </c>
      <c r="D156" t="s">
        <v>244</v>
      </c>
      <c r="E156" t="s">
        <v>101</v>
      </c>
      <c r="F156" t="s">
        <v>1056</v>
      </c>
      <c r="G156" t="s">
        <v>24</v>
      </c>
      <c r="H156" t="s">
        <v>1057</v>
      </c>
      <c r="I156" t="s">
        <v>14</v>
      </c>
      <c r="J156" t="s">
        <v>66</v>
      </c>
      <c r="K156" t="s">
        <v>202</v>
      </c>
      <c r="L156">
        <v>36.847206</v>
      </c>
      <c r="M156">
        <v>-88.072117000000006</v>
      </c>
    </row>
    <row r="157" spans="1:13" x14ac:dyDescent="0.2">
      <c r="A157" t="s">
        <v>1065</v>
      </c>
      <c r="B157" t="s">
        <v>100</v>
      </c>
      <c r="C157" t="str">
        <f>_xlfn.XLOOKUP(A157,'[1]Putative species manifest'!A:A,'[1]Putative species manifest'!B:B)</f>
        <v>HIRSUTICAULIS</v>
      </c>
      <c r="D157" t="s">
        <v>244</v>
      </c>
      <c r="E157" t="s">
        <v>101</v>
      </c>
      <c r="F157" t="s">
        <v>1056</v>
      </c>
      <c r="G157" t="s">
        <v>24</v>
      </c>
      <c r="H157" t="s">
        <v>1057</v>
      </c>
      <c r="I157" t="s">
        <v>14</v>
      </c>
      <c r="J157" t="s">
        <v>66</v>
      </c>
      <c r="K157" t="s">
        <v>202</v>
      </c>
      <c r="L157">
        <v>36.847206</v>
      </c>
      <c r="M157">
        <v>-88.072117000000006</v>
      </c>
    </row>
    <row r="158" spans="1:13" x14ac:dyDescent="0.2">
      <c r="A158" t="s">
        <v>1066</v>
      </c>
      <c r="B158" t="s">
        <v>100</v>
      </c>
      <c r="C158" t="str">
        <f>_xlfn.XLOOKUP(A158,'[1]Putative species manifest'!A:A,'[1]Putative species manifest'!B:B)</f>
        <v>HIRSUTICAULIS</v>
      </c>
      <c r="D158" t="s">
        <v>244</v>
      </c>
      <c r="E158" t="s">
        <v>101</v>
      </c>
      <c r="F158" t="s">
        <v>1056</v>
      </c>
      <c r="G158" t="s">
        <v>24</v>
      </c>
      <c r="H158" t="s">
        <v>1057</v>
      </c>
      <c r="I158" t="s">
        <v>14</v>
      </c>
      <c r="J158" t="s">
        <v>66</v>
      </c>
      <c r="K158" t="s">
        <v>202</v>
      </c>
      <c r="L158">
        <v>36.847206</v>
      </c>
      <c r="M158">
        <v>-88.072117000000006</v>
      </c>
    </row>
    <row r="159" spans="1:13" x14ac:dyDescent="0.2">
      <c r="A159" t="s">
        <v>1067</v>
      </c>
      <c r="B159" t="s">
        <v>100</v>
      </c>
      <c r="C159" t="str">
        <f>_xlfn.XLOOKUP(A159,'[1]Putative species manifest'!A:A,'[1]Putative species manifest'!B:B)</f>
        <v>HIRSUTICAULIS</v>
      </c>
      <c r="D159" t="s">
        <v>244</v>
      </c>
      <c r="E159" t="s">
        <v>101</v>
      </c>
      <c r="F159" t="s">
        <v>1056</v>
      </c>
      <c r="G159" t="s">
        <v>24</v>
      </c>
      <c r="H159" t="s">
        <v>1057</v>
      </c>
      <c r="I159" t="s">
        <v>14</v>
      </c>
      <c r="J159" t="s">
        <v>66</v>
      </c>
      <c r="K159" t="s">
        <v>202</v>
      </c>
      <c r="L159">
        <v>36.847206</v>
      </c>
      <c r="M159">
        <v>-88.072117000000006</v>
      </c>
    </row>
    <row r="160" spans="1:13" x14ac:dyDescent="0.2">
      <c r="A160" t="s">
        <v>338</v>
      </c>
      <c r="B160" t="s">
        <v>38</v>
      </c>
      <c r="C160" t="str">
        <f>_xlfn.XLOOKUP(A160,'[1]Putative species manifest'!A:A,'[1]Putative species manifest'!B:B)</f>
        <v>CALYCOSA</v>
      </c>
      <c r="D160" t="s">
        <v>339</v>
      </c>
      <c r="E160" t="s">
        <v>38</v>
      </c>
      <c r="F160" t="s">
        <v>340</v>
      </c>
      <c r="G160" t="s">
        <v>24</v>
      </c>
      <c r="H160" t="s">
        <v>341</v>
      </c>
      <c r="I160" t="s">
        <v>14</v>
      </c>
      <c r="J160" t="s">
        <v>55</v>
      </c>
      <c r="K160" t="s">
        <v>29</v>
      </c>
      <c r="L160">
        <v>34.728888900000001</v>
      </c>
      <c r="M160">
        <v>-84.082778000000005</v>
      </c>
    </row>
    <row r="161" spans="1:13" x14ac:dyDescent="0.2">
      <c r="A161" t="s">
        <v>342</v>
      </c>
      <c r="B161" t="s">
        <v>38</v>
      </c>
      <c r="C161" t="str">
        <f>_xlfn.XLOOKUP(A161,'[1]Putative species manifest'!A:A,'[1]Putative species manifest'!B:B)</f>
        <v>CALYCOSA</v>
      </c>
      <c r="D161" t="s">
        <v>339</v>
      </c>
      <c r="E161" t="s">
        <v>38</v>
      </c>
      <c r="F161" t="s">
        <v>340</v>
      </c>
      <c r="G161" t="s">
        <v>24</v>
      </c>
      <c r="H161" t="s">
        <v>341</v>
      </c>
      <c r="I161" t="s">
        <v>14</v>
      </c>
      <c r="J161" t="s">
        <v>55</v>
      </c>
      <c r="K161" t="s">
        <v>29</v>
      </c>
      <c r="L161">
        <v>34.728888900000001</v>
      </c>
      <c r="M161">
        <v>-84.082778000000005</v>
      </c>
    </row>
    <row r="162" spans="1:13" x14ac:dyDescent="0.2">
      <c r="A162" t="s">
        <v>342</v>
      </c>
      <c r="B162" t="s">
        <v>38</v>
      </c>
      <c r="C162" t="str">
        <f>_xlfn.XLOOKUP(A162,'[1]Putative species manifest'!A:A,'[1]Putative species manifest'!B:B)</f>
        <v>CALYCOSA</v>
      </c>
      <c r="D162" t="s">
        <v>339</v>
      </c>
      <c r="E162" t="s">
        <v>38</v>
      </c>
      <c r="F162" t="s">
        <v>340</v>
      </c>
      <c r="G162" t="s">
        <v>24</v>
      </c>
      <c r="H162" t="s">
        <v>341</v>
      </c>
      <c r="I162" t="s">
        <v>14</v>
      </c>
      <c r="J162" t="s">
        <v>55</v>
      </c>
      <c r="K162" t="s">
        <v>29</v>
      </c>
      <c r="L162">
        <v>34.728888900000001</v>
      </c>
      <c r="M162">
        <v>-84.082778000000005</v>
      </c>
    </row>
    <row r="163" spans="1:13" x14ac:dyDescent="0.2">
      <c r="A163" t="s">
        <v>343</v>
      </c>
      <c r="B163" t="s">
        <v>38</v>
      </c>
      <c r="C163" t="str">
        <f>_xlfn.XLOOKUP(A163,'[1]Putative species manifest'!A:A,'[1]Putative species manifest'!B:B)</f>
        <v>CALYCOSA</v>
      </c>
      <c r="D163" t="s">
        <v>339</v>
      </c>
      <c r="E163" t="s">
        <v>38</v>
      </c>
      <c r="F163" t="s">
        <v>340</v>
      </c>
      <c r="G163" t="s">
        <v>24</v>
      </c>
      <c r="H163" t="s">
        <v>341</v>
      </c>
      <c r="I163" t="s">
        <v>14</v>
      </c>
      <c r="J163" t="s">
        <v>55</v>
      </c>
      <c r="K163" t="s">
        <v>29</v>
      </c>
      <c r="L163">
        <v>34.728888900000001</v>
      </c>
      <c r="M163">
        <v>-84.082778000000005</v>
      </c>
    </row>
    <row r="164" spans="1:13" x14ac:dyDescent="0.2">
      <c r="A164" t="s">
        <v>344</v>
      </c>
      <c r="B164" t="s">
        <v>38</v>
      </c>
      <c r="C164" t="str">
        <f>_xlfn.XLOOKUP(A164,'[1]Putative species manifest'!A:A,'[1]Putative species manifest'!B:B)</f>
        <v>CALYCOSA</v>
      </c>
      <c r="D164" t="s">
        <v>339</v>
      </c>
      <c r="E164" t="s">
        <v>38</v>
      </c>
      <c r="F164" t="s">
        <v>340</v>
      </c>
      <c r="G164" t="s">
        <v>24</v>
      </c>
      <c r="H164" t="s">
        <v>341</v>
      </c>
      <c r="I164" t="s">
        <v>14</v>
      </c>
      <c r="J164" t="s">
        <v>55</v>
      </c>
      <c r="K164" t="s">
        <v>29</v>
      </c>
      <c r="L164">
        <v>34.728888900000001</v>
      </c>
      <c r="M164">
        <v>-84.082778000000005</v>
      </c>
    </row>
    <row r="165" spans="1:13" x14ac:dyDescent="0.2">
      <c r="A165" t="s">
        <v>345</v>
      </c>
      <c r="B165" t="s">
        <v>38</v>
      </c>
      <c r="C165" t="str">
        <f>_xlfn.XLOOKUP(A165,'[1]Putative species manifest'!A:A,'[1]Putative species manifest'!B:B)</f>
        <v>CALYCOSA</v>
      </c>
      <c r="D165" t="s">
        <v>339</v>
      </c>
      <c r="E165" t="s">
        <v>38</v>
      </c>
      <c r="F165" t="s">
        <v>340</v>
      </c>
      <c r="G165" t="s">
        <v>24</v>
      </c>
      <c r="H165" t="s">
        <v>341</v>
      </c>
      <c r="I165" t="s">
        <v>14</v>
      </c>
      <c r="J165" t="s">
        <v>55</v>
      </c>
      <c r="K165" t="s">
        <v>29</v>
      </c>
      <c r="L165">
        <v>34.728888900000001</v>
      </c>
      <c r="M165">
        <v>-84.082778000000005</v>
      </c>
    </row>
    <row r="166" spans="1:13" x14ac:dyDescent="0.2">
      <c r="A166" t="s">
        <v>1016</v>
      </c>
      <c r="B166" t="s">
        <v>100</v>
      </c>
      <c r="C166" t="str">
        <f>_xlfn.XLOOKUP(A166,'[1]Putative species manifest'!A:A,'[1]Putative species manifest'!B:B)</f>
        <v>HIRSUTICAULIS</v>
      </c>
      <c r="D166" t="s">
        <v>306</v>
      </c>
      <c r="E166" t="s">
        <v>101</v>
      </c>
      <c r="F166" t="s">
        <v>1017</v>
      </c>
      <c r="G166" t="s">
        <v>24</v>
      </c>
      <c r="H166" t="s">
        <v>1018</v>
      </c>
      <c r="I166" t="s">
        <v>14</v>
      </c>
      <c r="J166" t="s">
        <v>106</v>
      </c>
      <c r="K166" t="s">
        <v>29</v>
      </c>
      <c r="L166">
        <v>37.573552999999997</v>
      </c>
      <c r="M166">
        <v>-89.439867000000007</v>
      </c>
    </row>
    <row r="167" spans="1:13" x14ac:dyDescent="0.2">
      <c r="A167" t="s">
        <v>1019</v>
      </c>
      <c r="B167" t="s">
        <v>100</v>
      </c>
      <c r="C167" t="str">
        <f>_xlfn.XLOOKUP(A167,'[1]Putative species manifest'!A:A,'[1]Putative species manifest'!B:B)</f>
        <v>HIRSUTICAULIS</v>
      </c>
      <c r="D167" t="s">
        <v>306</v>
      </c>
      <c r="E167" t="s">
        <v>101</v>
      </c>
      <c r="F167" t="s">
        <v>1017</v>
      </c>
      <c r="G167" t="s">
        <v>24</v>
      </c>
      <c r="H167" t="s">
        <v>1020</v>
      </c>
      <c r="I167" t="s">
        <v>14</v>
      </c>
      <c r="J167" t="s">
        <v>106</v>
      </c>
      <c r="K167" t="s">
        <v>29</v>
      </c>
      <c r="L167">
        <v>37.573552999999997</v>
      </c>
      <c r="M167">
        <v>-89.439867000000007</v>
      </c>
    </row>
    <row r="168" spans="1:13" x14ac:dyDescent="0.2">
      <c r="A168" t="s">
        <v>1021</v>
      </c>
      <c r="B168" t="s">
        <v>100</v>
      </c>
      <c r="C168" t="str">
        <f>_xlfn.XLOOKUP(A168,'[1]Putative species manifest'!A:A,'[1]Putative species manifest'!B:B)</f>
        <v>HIRSUTICAULIS</v>
      </c>
      <c r="D168" t="s">
        <v>306</v>
      </c>
      <c r="E168" t="s">
        <v>101</v>
      </c>
      <c r="F168" t="s">
        <v>1017</v>
      </c>
      <c r="G168" t="s">
        <v>24</v>
      </c>
      <c r="H168" t="s">
        <v>1018</v>
      </c>
      <c r="I168" t="s">
        <v>14</v>
      </c>
      <c r="J168" t="s">
        <v>106</v>
      </c>
      <c r="K168" t="s">
        <v>29</v>
      </c>
      <c r="L168">
        <v>37.573552999999997</v>
      </c>
      <c r="M168">
        <v>-89.439867000000007</v>
      </c>
    </row>
    <row r="169" spans="1:13" x14ac:dyDescent="0.2">
      <c r="A169" t="s">
        <v>1106</v>
      </c>
      <c r="B169" t="s">
        <v>100</v>
      </c>
      <c r="C169" t="str">
        <f>_xlfn.XLOOKUP(A169,'[1]Putative species manifest'!A:A,'[1]Putative species manifest'!B:B)</f>
        <v>HIRSUTICAULIS</v>
      </c>
      <c r="D169" t="s">
        <v>306</v>
      </c>
      <c r="E169" t="s">
        <v>101</v>
      </c>
      <c r="F169" t="s">
        <v>1107</v>
      </c>
      <c r="G169" t="s">
        <v>24</v>
      </c>
      <c r="H169" t="s">
        <v>1108</v>
      </c>
      <c r="I169" t="s">
        <v>14</v>
      </c>
      <c r="J169" t="s">
        <v>114</v>
      </c>
      <c r="K169" t="s">
        <v>170</v>
      </c>
      <c r="L169">
        <v>36.966256000000001</v>
      </c>
      <c r="M169">
        <v>-90.234138999999999</v>
      </c>
    </row>
    <row r="170" spans="1:13" x14ac:dyDescent="0.2">
      <c r="A170" t="s">
        <v>1109</v>
      </c>
      <c r="B170" t="s">
        <v>100</v>
      </c>
      <c r="C170" t="str">
        <f>_xlfn.XLOOKUP(A170,'[1]Putative species manifest'!A:A,'[1]Putative species manifest'!B:B)</f>
        <v>HIRSUTICAULIS</v>
      </c>
      <c r="D170" t="s">
        <v>306</v>
      </c>
      <c r="E170" t="s">
        <v>101</v>
      </c>
      <c r="F170" t="s">
        <v>1107</v>
      </c>
      <c r="G170" t="s">
        <v>24</v>
      </c>
      <c r="H170" t="s">
        <v>1110</v>
      </c>
      <c r="I170" t="s">
        <v>14</v>
      </c>
      <c r="J170" t="s">
        <v>114</v>
      </c>
      <c r="K170" t="s">
        <v>170</v>
      </c>
      <c r="L170">
        <v>36.966256000000001</v>
      </c>
      <c r="M170">
        <v>-90.234138999999999</v>
      </c>
    </row>
    <row r="171" spans="1:13" x14ac:dyDescent="0.2">
      <c r="A171" t="s">
        <v>1111</v>
      </c>
      <c r="B171" t="s">
        <v>100</v>
      </c>
      <c r="C171" t="str">
        <f>_xlfn.XLOOKUP(A171,'[1]Putative species manifest'!A:A,'[1]Putative species manifest'!B:B)</f>
        <v>HIRSUTICAULIS</v>
      </c>
      <c r="D171" t="s">
        <v>306</v>
      </c>
      <c r="E171" t="s">
        <v>101</v>
      </c>
      <c r="F171" t="s">
        <v>1107</v>
      </c>
      <c r="G171" t="s">
        <v>24</v>
      </c>
      <c r="H171" t="s">
        <v>1112</v>
      </c>
      <c r="I171" t="s">
        <v>14</v>
      </c>
      <c r="J171" t="s">
        <v>114</v>
      </c>
      <c r="K171" t="s">
        <v>170</v>
      </c>
      <c r="L171">
        <v>36.966256000000001</v>
      </c>
      <c r="M171">
        <v>-90.234138999999999</v>
      </c>
    </row>
    <row r="172" spans="1:13" x14ac:dyDescent="0.2">
      <c r="A172" t="s">
        <v>1452</v>
      </c>
      <c r="B172" t="s">
        <v>84</v>
      </c>
      <c r="C172" t="str">
        <f>_xlfn.XLOOKUP(A172,'[1]Putative species manifest'!A:A,'[1]Putative species manifest'!B:B)</f>
        <v>RICHARDSONII</v>
      </c>
      <c r="D172" t="s">
        <v>306</v>
      </c>
      <c r="E172" t="s">
        <v>107</v>
      </c>
      <c r="F172" t="s">
        <v>1453</v>
      </c>
      <c r="H172" t="s">
        <v>80</v>
      </c>
      <c r="I172" t="s">
        <v>14</v>
      </c>
      <c r="J172" t="s">
        <v>114</v>
      </c>
      <c r="K172" t="s">
        <v>69</v>
      </c>
      <c r="L172">
        <v>38.454585999999999</v>
      </c>
      <c r="M172">
        <v>-90.623699999999999</v>
      </c>
    </row>
    <row r="173" spans="1:13" x14ac:dyDescent="0.2">
      <c r="A173" t="s">
        <v>1454</v>
      </c>
      <c r="B173" t="s">
        <v>84</v>
      </c>
      <c r="C173" t="str">
        <f>_xlfn.XLOOKUP(A173,'[1]Putative species manifest'!A:A,'[1]Putative species manifest'!B:B)</f>
        <v>RICHARDSONII</v>
      </c>
      <c r="D173" t="s">
        <v>306</v>
      </c>
      <c r="E173" t="s">
        <v>107</v>
      </c>
      <c r="F173" t="s">
        <v>1453</v>
      </c>
      <c r="H173" t="s">
        <v>80</v>
      </c>
      <c r="I173" t="s">
        <v>14</v>
      </c>
      <c r="J173" t="s">
        <v>114</v>
      </c>
      <c r="K173" t="s">
        <v>69</v>
      </c>
      <c r="L173">
        <v>38.454585999999999</v>
      </c>
      <c r="M173">
        <v>-90.623699999999999</v>
      </c>
    </row>
    <row r="174" spans="1:13" x14ac:dyDescent="0.2">
      <c r="A174" t="s">
        <v>1455</v>
      </c>
      <c r="B174" t="s">
        <v>84</v>
      </c>
      <c r="C174" t="str">
        <f>_xlfn.XLOOKUP(A174,'[1]Putative species manifest'!A:A,'[1]Putative species manifest'!B:B)</f>
        <v>RICHARDSONII</v>
      </c>
      <c r="D174" t="s">
        <v>306</v>
      </c>
      <c r="E174" t="s">
        <v>107</v>
      </c>
      <c r="F174" t="s">
        <v>1453</v>
      </c>
      <c r="H174" t="s">
        <v>80</v>
      </c>
      <c r="I174" t="s">
        <v>14</v>
      </c>
      <c r="J174" t="s">
        <v>114</v>
      </c>
      <c r="K174" t="s">
        <v>69</v>
      </c>
      <c r="L174">
        <v>38.454585999999999</v>
      </c>
      <c r="M174">
        <v>-90.623699999999999</v>
      </c>
    </row>
    <row r="175" spans="1:13" x14ac:dyDescent="0.2">
      <c r="A175" t="s">
        <v>1456</v>
      </c>
      <c r="B175" t="s">
        <v>84</v>
      </c>
      <c r="C175" t="str">
        <f>_xlfn.XLOOKUP(A175,'[1]Putative species manifest'!A:A,'[1]Putative species manifest'!B:B)</f>
        <v>RICHARDSONII</v>
      </c>
      <c r="D175" t="s">
        <v>306</v>
      </c>
      <c r="E175" t="s">
        <v>107</v>
      </c>
      <c r="F175" t="s">
        <v>1453</v>
      </c>
      <c r="H175" t="s">
        <v>80</v>
      </c>
      <c r="I175" t="s">
        <v>14</v>
      </c>
      <c r="J175" t="s">
        <v>114</v>
      </c>
      <c r="K175" t="s">
        <v>69</v>
      </c>
      <c r="L175">
        <v>38.454585999999999</v>
      </c>
      <c r="M175">
        <v>-90.623699999999999</v>
      </c>
    </row>
    <row r="176" spans="1:13" x14ac:dyDescent="0.2">
      <c r="A176" t="s">
        <v>1385</v>
      </c>
      <c r="B176" t="s">
        <v>84</v>
      </c>
      <c r="C176" t="str">
        <f>_xlfn.XLOOKUP(A176,'[1]Putative species manifest'!A:A,'[1]Putative species manifest'!B:B)</f>
        <v>RICHARDSONII</v>
      </c>
      <c r="D176" t="s">
        <v>306</v>
      </c>
      <c r="E176" t="s">
        <v>107</v>
      </c>
      <c r="F176" t="s">
        <v>1386</v>
      </c>
      <c r="H176" t="s">
        <v>80</v>
      </c>
      <c r="I176" t="s">
        <v>14</v>
      </c>
      <c r="J176" t="s">
        <v>106</v>
      </c>
      <c r="K176" t="s">
        <v>183</v>
      </c>
      <c r="L176">
        <v>38.630682999999998</v>
      </c>
      <c r="M176">
        <v>-90.265731000000002</v>
      </c>
    </row>
    <row r="177" spans="1:13" x14ac:dyDescent="0.2">
      <c r="A177" t="s">
        <v>1387</v>
      </c>
      <c r="B177" t="s">
        <v>84</v>
      </c>
      <c r="C177" t="str">
        <f>_xlfn.XLOOKUP(A177,'[1]Putative species manifest'!A:A,'[1]Putative species manifest'!B:B)</f>
        <v>RICHARDSONII</v>
      </c>
      <c r="D177" t="s">
        <v>306</v>
      </c>
      <c r="E177" t="s">
        <v>107</v>
      </c>
      <c r="F177" t="s">
        <v>1386</v>
      </c>
      <c r="H177" t="s">
        <v>80</v>
      </c>
      <c r="I177" t="s">
        <v>14</v>
      </c>
      <c r="J177" t="s">
        <v>106</v>
      </c>
      <c r="K177" t="s">
        <v>183</v>
      </c>
      <c r="L177">
        <v>38.630682999999998</v>
      </c>
      <c r="M177">
        <v>-90.265731000000002</v>
      </c>
    </row>
    <row r="178" spans="1:13" x14ac:dyDescent="0.2">
      <c r="A178" t="s">
        <v>1388</v>
      </c>
      <c r="B178" t="s">
        <v>84</v>
      </c>
      <c r="C178" t="str">
        <f>_xlfn.XLOOKUP(A178,'[1]Putative species manifest'!A:A,'[1]Putative species manifest'!B:B)</f>
        <v>RICHARDSONII</v>
      </c>
      <c r="D178" t="s">
        <v>306</v>
      </c>
      <c r="E178" t="s">
        <v>107</v>
      </c>
      <c r="F178" t="s">
        <v>1386</v>
      </c>
      <c r="H178" t="s">
        <v>80</v>
      </c>
      <c r="I178" t="s">
        <v>14</v>
      </c>
      <c r="J178" t="s">
        <v>106</v>
      </c>
      <c r="K178" t="s">
        <v>183</v>
      </c>
      <c r="L178">
        <v>38.630682999999998</v>
      </c>
      <c r="M178">
        <v>-90.265731000000002</v>
      </c>
    </row>
    <row r="179" spans="1:13" x14ac:dyDescent="0.2">
      <c r="A179" t="s">
        <v>1424</v>
      </c>
      <c r="B179" t="s">
        <v>84</v>
      </c>
      <c r="C179" t="str">
        <f>_xlfn.XLOOKUP(A179,'[1]Putative species manifest'!A:A,'[1]Putative species manifest'!B:B)</f>
        <v>RICHARDSONII</v>
      </c>
      <c r="D179" t="s">
        <v>306</v>
      </c>
      <c r="E179" t="s">
        <v>107</v>
      </c>
      <c r="F179" t="s">
        <v>1425</v>
      </c>
      <c r="G179" t="s">
        <v>24</v>
      </c>
      <c r="H179" t="s">
        <v>1426</v>
      </c>
      <c r="I179" t="s">
        <v>14</v>
      </c>
      <c r="J179" t="s">
        <v>114</v>
      </c>
      <c r="K179" t="s">
        <v>1077</v>
      </c>
      <c r="L179">
        <v>38.830368999999997</v>
      </c>
      <c r="M179">
        <v>-92.283972000000006</v>
      </c>
    </row>
    <row r="180" spans="1:13" x14ac:dyDescent="0.2">
      <c r="A180" t="s">
        <v>1427</v>
      </c>
      <c r="B180" t="s">
        <v>84</v>
      </c>
      <c r="C180" t="str">
        <f>_xlfn.XLOOKUP(A180,'[1]Putative species manifest'!A:A,'[1]Putative species manifest'!B:B)</f>
        <v>RICHARDSONII</v>
      </c>
      <c r="D180" t="s">
        <v>306</v>
      </c>
      <c r="E180" t="s">
        <v>107</v>
      </c>
      <c r="F180" t="s">
        <v>1425</v>
      </c>
      <c r="G180" t="s">
        <v>24</v>
      </c>
      <c r="H180" t="s">
        <v>1426</v>
      </c>
      <c r="I180" t="s">
        <v>14</v>
      </c>
      <c r="J180" t="s">
        <v>114</v>
      </c>
      <c r="K180" t="s">
        <v>1077</v>
      </c>
      <c r="L180">
        <v>38.830368999999997</v>
      </c>
      <c r="M180">
        <v>-92.283972000000006</v>
      </c>
    </row>
    <row r="181" spans="1:13" x14ac:dyDescent="0.2">
      <c r="A181" t="s">
        <v>1428</v>
      </c>
      <c r="B181" t="s">
        <v>84</v>
      </c>
      <c r="C181" t="str">
        <f>_xlfn.XLOOKUP(A181,'[1]Putative species manifest'!A:A,'[1]Putative species manifest'!B:B)</f>
        <v>RICHARDSONII</v>
      </c>
      <c r="D181" t="s">
        <v>306</v>
      </c>
      <c r="E181" t="s">
        <v>107</v>
      </c>
      <c r="F181" t="s">
        <v>1425</v>
      </c>
      <c r="G181" t="s">
        <v>24</v>
      </c>
      <c r="H181" t="s">
        <v>1426</v>
      </c>
      <c r="I181" t="s">
        <v>14</v>
      </c>
      <c r="J181" t="s">
        <v>114</v>
      </c>
      <c r="K181" t="s">
        <v>1077</v>
      </c>
      <c r="L181">
        <v>38.830368999999997</v>
      </c>
      <c r="M181">
        <v>-92.283972000000006</v>
      </c>
    </row>
    <row r="182" spans="1:13" x14ac:dyDescent="0.2">
      <c r="A182" t="s">
        <v>1429</v>
      </c>
      <c r="B182" t="s">
        <v>84</v>
      </c>
      <c r="C182" t="str">
        <f>_xlfn.XLOOKUP(A182,'[1]Putative species manifest'!A:A,'[1]Putative species manifest'!B:B)</f>
        <v>RICHARDSONII</v>
      </c>
      <c r="D182" t="s">
        <v>306</v>
      </c>
      <c r="E182" t="s">
        <v>107</v>
      </c>
      <c r="F182" t="s">
        <v>1425</v>
      </c>
      <c r="G182" t="s">
        <v>24</v>
      </c>
      <c r="H182" t="s">
        <v>1426</v>
      </c>
      <c r="I182" t="s">
        <v>14</v>
      </c>
      <c r="J182" t="s">
        <v>114</v>
      </c>
      <c r="K182" t="s">
        <v>1077</v>
      </c>
      <c r="L182">
        <v>38.830368999999997</v>
      </c>
      <c r="M182">
        <v>-92.283972000000006</v>
      </c>
    </row>
    <row r="183" spans="1:13" x14ac:dyDescent="0.2">
      <c r="A183" t="s">
        <v>1430</v>
      </c>
      <c r="B183" t="s">
        <v>84</v>
      </c>
      <c r="C183" t="str">
        <f>_xlfn.XLOOKUP(A183,'[1]Putative species manifest'!A:A,'[1]Putative species manifest'!B:B)</f>
        <v>RICHARDSONII</v>
      </c>
      <c r="D183" t="s">
        <v>306</v>
      </c>
      <c r="E183" t="s">
        <v>107</v>
      </c>
      <c r="F183" t="s">
        <v>1425</v>
      </c>
      <c r="G183" t="s">
        <v>24</v>
      </c>
      <c r="H183" t="s">
        <v>1426</v>
      </c>
      <c r="I183" t="s">
        <v>14</v>
      </c>
      <c r="J183" t="s">
        <v>114</v>
      </c>
      <c r="K183" t="s">
        <v>1077</v>
      </c>
      <c r="L183">
        <v>38.830368999999997</v>
      </c>
      <c r="M183">
        <v>-92.283972000000006</v>
      </c>
    </row>
    <row r="184" spans="1:13" x14ac:dyDescent="0.2">
      <c r="A184" t="s">
        <v>1431</v>
      </c>
      <c r="B184" t="s">
        <v>84</v>
      </c>
      <c r="C184" t="str">
        <f>_xlfn.XLOOKUP(A184,'[1]Putative species manifest'!A:A,'[1]Putative species manifest'!B:B)</f>
        <v>RICHARDSONII</v>
      </c>
      <c r="D184" t="s">
        <v>306</v>
      </c>
      <c r="E184" t="s">
        <v>107</v>
      </c>
      <c r="F184" t="s">
        <v>1425</v>
      </c>
      <c r="G184" t="s">
        <v>24</v>
      </c>
      <c r="H184" t="s">
        <v>1426</v>
      </c>
      <c r="I184" t="s">
        <v>14</v>
      </c>
      <c r="J184" t="s">
        <v>114</v>
      </c>
      <c r="K184" t="s">
        <v>1077</v>
      </c>
      <c r="L184">
        <v>38.830368999999997</v>
      </c>
      <c r="M184">
        <v>-92.283972000000006</v>
      </c>
    </row>
    <row r="185" spans="1:13" x14ac:dyDescent="0.2">
      <c r="A185" t="s">
        <v>1432</v>
      </c>
      <c r="B185" t="s">
        <v>84</v>
      </c>
      <c r="C185" t="str">
        <f>_xlfn.XLOOKUP(A185,'[1]Putative species manifest'!A:A,'[1]Putative species manifest'!B:B)</f>
        <v>RICHARDSONII</v>
      </c>
      <c r="D185" t="s">
        <v>188</v>
      </c>
      <c r="E185" t="s">
        <v>84</v>
      </c>
      <c r="F185" t="s">
        <v>1425</v>
      </c>
      <c r="G185" t="s">
        <v>24</v>
      </c>
      <c r="H185" t="s">
        <v>1426</v>
      </c>
      <c r="I185" t="s">
        <v>14</v>
      </c>
      <c r="J185" t="s">
        <v>114</v>
      </c>
      <c r="K185" t="s">
        <v>1077</v>
      </c>
      <c r="L185">
        <v>38.830368999999997</v>
      </c>
      <c r="M185">
        <v>-92.283972000000006</v>
      </c>
    </row>
    <row r="186" spans="1:13" x14ac:dyDescent="0.2">
      <c r="A186" t="s">
        <v>1433</v>
      </c>
      <c r="B186" t="s">
        <v>84</v>
      </c>
      <c r="C186" t="str">
        <f>_xlfn.XLOOKUP(A186,'[1]Putative species manifest'!A:A,'[1]Putative species manifest'!B:B)</f>
        <v>RICHARDSONII</v>
      </c>
      <c r="D186" t="s">
        <v>188</v>
      </c>
      <c r="E186" t="s">
        <v>84</v>
      </c>
      <c r="F186" t="s">
        <v>1425</v>
      </c>
      <c r="G186" t="s">
        <v>24</v>
      </c>
      <c r="H186" t="s">
        <v>1426</v>
      </c>
      <c r="I186" t="s">
        <v>14</v>
      </c>
      <c r="J186" t="s">
        <v>114</v>
      </c>
      <c r="K186" t="s">
        <v>1077</v>
      </c>
      <c r="L186">
        <v>38.830368999999997</v>
      </c>
      <c r="M186">
        <v>-92.283972000000006</v>
      </c>
    </row>
    <row r="187" spans="1:13" x14ac:dyDescent="0.2">
      <c r="A187" t="s">
        <v>1434</v>
      </c>
      <c r="B187" t="s">
        <v>84</v>
      </c>
      <c r="C187" t="str">
        <f>_xlfn.XLOOKUP(A187,'[1]Putative species manifest'!A:A,'[1]Putative species manifest'!B:B)</f>
        <v>RICHARDSONII</v>
      </c>
      <c r="D187" t="s">
        <v>188</v>
      </c>
      <c r="E187" t="s">
        <v>84</v>
      </c>
      <c r="F187" t="s">
        <v>1425</v>
      </c>
      <c r="G187" t="s">
        <v>24</v>
      </c>
      <c r="H187" t="s">
        <v>1426</v>
      </c>
      <c r="I187" t="s">
        <v>14</v>
      </c>
      <c r="J187" t="s">
        <v>114</v>
      </c>
      <c r="K187" t="s">
        <v>1077</v>
      </c>
      <c r="L187">
        <v>38.830368999999997</v>
      </c>
      <c r="M187">
        <v>-92.283972000000006</v>
      </c>
    </row>
    <row r="188" spans="1:13" x14ac:dyDescent="0.2">
      <c r="A188" t="s">
        <v>1435</v>
      </c>
      <c r="B188" t="s">
        <v>84</v>
      </c>
      <c r="C188" t="str">
        <f>_xlfn.XLOOKUP(A188,'[1]Putative species manifest'!A:A,'[1]Putative species manifest'!B:B)</f>
        <v>RICHARDSONII</v>
      </c>
      <c r="D188" t="s">
        <v>188</v>
      </c>
      <c r="E188" t="s">
        <v>84</v>
      </c>
      <c r="F188" t="s">
        <v>1425</v>
      </c>
      <c r="G188" t="s">
        <v>24</v>
      </c>
      <c r="H188" t="s">
        <v>1426</v>
      </c>
      <c r="I188" t="s">
        <v>14</v>
      </c>
      <c r="J188" t="s">
        <v>114</v>
      </c>
      <c r="K188" t="s">
        <v>1077</v>
      </c>
      <c r="L188">
        <v>38.830368999999997</v>
      </c>
      <c r="M188">
        <v>-92.283972000000006</v>
      </c>
    </row>
    <row r="189" spans="1:13" x14ac:dyDescent="0.2">
      <c r="A189" t="s">
        <v>946</v>
      </c>
      <c r="B189" t="s">
        <v>100</v>
      </c>
      <c r="C189" t="str">
        <f>_xlfn.XLOOKUP(A189,'[1]Putative species manifest'!A:A,'[1]Putative species manifest'!B:B)</f>
        <v>HIRSUTICAULIS</v>
      </c>
      <c r="D189" t="s">
        <v>313</v>
      </c>
      <c r="E189" t="s">
        <v>101</v>
      </c>
      <c r="F189" t="s">
        <v>947</v>
      </c>
      <c r="G189" t="s">
        <v>24</v>
      </c>
      <c r="H189" t="s">
        <v>948</v>
      </c>
      <c r="I189" t="s">
        <v>14</v>
      </c>
      <c r="J189" t="s">
        <v>54</v>
      </c>
      <c r="K189" t="s">
        <v>23</v>
      </c>
      <c r="L189">
        <v>36.065466999999998</v>
      </c>
      <c r="M189">
        <v>-94.138549999999995</v>
      </c>
    </row>
    <row r="190" spans="1:13" x14ac:dyDescent="0.2">
      <c r="A190" t="s">
        <v>949</v>
      </c>
      <c r="B190" t="s">
        <v>100</v>
      </c>
      <c r="C190" t="str">
        <f>_xlfn.XLOOKUP(A190,'[1]Putative species manifest'!A:A,'[1]Putative species manifest'!B:B)</f>
        <v>HIRSUTICAULIS</v>
      </c>
      <c r="D190" t="s">
        <v>313</v>
      </c>
      <c r="E190" t="s">
        <v>101</v>
      </c>
      <c r="F190" t="s">
        <v>947</v>
      </c>
      <c r="G190" t="s">
        <v>24</v>
      </c>
      <c r="H190" t="s">
        <v>948</v>
      </c>
      <c r="I190" t="s">
        <v>14</v>
      </c>
      <c r="J190" t="s">
        <v>54</v>
      </c>
      <c r="K190" t="s">
        <v>23</v>
      </c>
      <c r="L190">
        <v>36.065466999999998</v>
      </c>
      <c r="M190">
        <v>-94.138549999999995</v>
      </c>
    </row>
    <row r="191" spans="1:13" x14ac:dyDescent="0.2">
      <c r="A191" t="s">
        <v>950</v>
      </c>
      <c r="B191" t="s">
        <v>100</v>
      </c>
      <c r="C191" t="str">
        <f>_xlfn.XLOOKUP(A191,'[1]Putative species manifest'!A:A,'[1]Putative species manifest'!B:B)</f>
        <v>HIRSUTICAULIS</v>
      </c>
      <c r="D191" t="s">
        <v>313</v>
      </c>
      <c r="E191" t="s">
        <v>101</v>
      </c>
      <c r="F191" t="s">
        <v>947</v>
      </c>
      <c r="G191" t="s">
        <v>24</v>
      </c>
      <c r="H191" t="s">
        <v>948</v>
      </c>
      <c r="I191" t="s">
        <v>14</v>
      </c>
      <c r="J191" t="s">
        <v>54</v>
      </c>
      <c r="K191" t="s">
        <v>23</v>
      </c>
      <c r="L191">
        <v>36.065466999999998</v>
      </c>
      <c r="M191">
        <v>-94.138549999999995</v>
      </c>
    </row>
    <row r="192" spans="1:13" x14ac:dyDescent="0.2">
      <c r="A192" t="s">
        <v>951</v>
      </c>
      <c r="B192" t="s">
        <v>100</v>
      </c>
      <c r="C192" t="str">
        <f>_xlfn.XLOOKUP(A192,'[1]Putative species manifest'!A:A,'[1]Putative species manifest'!B:B)</f>
        <v>HIRSUTICAULIS</v>
      </c>
      <c r="D192" t="s">
        <v>313</v>
      </c>
      <c r="E192" t="s">
        <v>101</v>
      </c>
      <c r="F192" t="s">
        <v>947</v>
      </c>
      <c r="G192" t="s">
        <v>24</v>
      </c>
      <c r="H192" t="s">
        <v>948</v>
      </c>
      <c r="I192" t="s">
        <v>14</v>
      </c>
      <c r="J192" t="s">
        <v>54</v>
      </c>
      <c r="K192" t="s">
        <v>23</v>
      </c>
      <c r="L192">
        <v>36.065466999999998</v>
      </c>
      <c r="M192">
        <v>-94.138549999999995</v>
      </c>
    </row>
    <row r="193" spans="1:13" x14ac:dyDescent="0.2">
      <c r="A193" t="s">
        <v>952</v>
      </c>
      <c r="B193" t="s">
        <v>100</v>
      </c>
      <c r="C193" t="str">
        <f>_xlfn.XLOOKUP(A193,'[1]Putative species manifest'!A:A,'[1]Putative species manifest'!B:B)</f>
        <v>HIRSUTICAULIS</v>
      </c>
      <c r="D193" t="s">
        <v>313</v>
      </c>
      <c r="E193" t="s">
        <v>101</v>
      </c>
      <c r="F193" t="s">
        <v>947</v>
      </c>
      <c r="G193" t="s">
        <v>24</v>
      </c>
      <c r="H193" t="s">
        <v>948</v>
      </c>
      <c r="I193" t="s">
        <v>14</v>
      </c>
      <c r="J193" t="s">
        <v>54</v>
      </c>
      <c r="K193" t="s">
        <v>23</v>
      </c>
      <c r="L193">
        <v>36.065466999999998</v>
      </c>
      <c r="M193">
        <v>-94.138549999999995</v>
      </c>
    </row>
    <row r="194" spans="1:13" x14ac:dyDescent="0.2">
      <c r="A194" t="s">
        <v>953</v>
      </c>
      <c r="B194" t="s">
        <v>100</v>
      </c>
      <c r="C194" t="str">
        <f>_xlfn.XLOOKUP(A194,'[1]Putative species manifest'!A:A,'[1]Putative species manifest'!B:B)</f>
        <v>HIRSUTICAULIS</v>
      </c>
      <c r="D194" t="s">
        <v>313</v>
      </c>
      <c r="E194" t="s">
        <v>101</v>
      </c>
      <c r="F194" t="s">
        <v>947</v>
      </c>
      <c r="G194" t="s">
        <v>24</v>
      </c>
      <c r="H194" t="s">
        <v>948</v>
      </c>
      <c r="I194" t="s">
        <v>14</v>
      </c>
      <c r="J194" t="s">
        <v>54</v>
      </c>
      <c r="K194" t="s">
        <v>23</v>
      </c>
      <c r="L194">
        <v>36.065466999999998</v>
      </c>
      <c r="M194">
        <v>-94.138549999999995</v>
      </c>
    </row>
    <row r="195" spans="1:13" x14ac:dyDescent="0.2">
      <c r="A195" t="s">
        <v>954</v>
      </c>
      <c r="B195" t="s">
        <v>100</v>
      </c>
      <c r="C195" t="str">
        <f>_xlfn.XLOOKUP(A195,'[1]Putative species manifest'!A:A,'[1]Putative species manifest'!B:B)</f>
        <v>HIRSUTICAULIS</v>
      </c>
      <c r="D195" t="s">
        <v>313</v>
      </c>
      <c r="E195" t="s">
        <v>101</v>
      </c>
      <c r="F195" t="s">
        <v>947</v>
      </c>
      <c r="G195" t="s">
        <v>24</v>
      </c>
      <c r="H195" t="s">
        <v>948</v>
      </c>
      <c r="I195" t="s">
        <v>14</v>
      </c>
      <c r="J195" t="s">
        <v>54</v>
      </c>
      <c r="K195" t="s">
        <v>23</v>
      </c>
      <c r="L195">
        <v>36.065466999999998</v>
      </c>
      <c r="M195">
        <v>-94.138549999999995</v>
      </c>
    </row>
    <row r="196" spans="1:13" x14ac:dyDescent="0.2">
      <c r="A196" t="s">
        <v>955</v>
      </c>
      <c r="B196" t="s">
        <v>100</v>
      </c>
      <c r="C196" t="str">
        <f>_xlfn.XLOOKUP(A196,'[1]Putative species manifest'!A:A,'[1]Putative species manifest'!B:B)</f>
        <v>HIRSUTICAULIS</v>
      </c>
      <c r="D196" t="s">
        <v>313</v>
      </c>
      <c r="E196" t="s">
        <v>101</v>
      </c>
      <c r="F196" t="s">
        <v>947</v>
      </c>
      <c r="G196" t="s">
        <v>24</v>
      </c>
      <c r="H196" t="s">
        <v>948</v>
      </c>
      <c r="I196" t="s">
        <v>14</v>
      </c>
      <c r="J196" t="s">
        <v>54</v>
      </c>
      <c r="K196" t="s">
        <v>23</v>
      </c>
      <c r="L196">
        <v>36.065466999999998</v>
      </c>
      <c r="M196">
        <v>-94.138549999999995</v>
      </c>
    </row>
    <row r="197" spans="1:13" x14ac:dyDescent="0.2">
      <c r="A197" t="s">
        <v>956</v>
      </c>
      <c r="B197" t="s">
        <v>100</v>
      </c>
      <c r="C197" t="str">
        <f>_xlfn.XLOOKUP(A197,'[1]Putative species manifest'!A:A,'[1]Putative species manifest'!B:B)</f>
        <v>HIRSUTICAULIS</v>
      </c>
      <c r="D197" t="s">
        <v>313</v>
      </c>
      <c r="E197" t="s">
        <v>101</v>
      </c>
      <c r="F197" t="s">
        <v>947</v>
      </c>
      <c r="G197" t="s">
        <v>24</v>
      </c>
      <c r="H197" t="s">
        <v>948</v>
      </c>
      <c r="I197" t="s">
        <v>14</v>
      </c>
      <c r="J197" t="s">
        <v>54</v>
      </c>
      <c r="K197" t="s">
        <v>23</v>
      </c>
      <c r="L197">
        <v>36.065466999999998</v>
      </c>
      <c r="M197">
        <v>-94.138549999999995</v>
      </c>
    </row>
    <row r="198" spans="1:13" x14ac:dyDescent="0.2">
      <c r="A198" t="s">
        <v>957</v>
      </c>
      <c r="B198" t="s">
        <v>100</v>
      </c>
      <c r="C198" t="str">
        <f>_xlfn.XLOOKUP(A198,'[1]Putative species manifest'!A:A,'[1]Putative species manifest'!B:B)</f>
        <v>HIRSUTICAULIS</v>
      </c>
      <c r="D198" t="s">
        <v>313</v>
      </c>
      <c r="E198" t="s">
        <v>101</v>
      </c>
      <c r="F198" t="s">
        <v>947</v>
      </c>
      <c r="G198" t="s">
        <v>24</v>
      </c>
      <c r="H198" t="s">
        <v>948</v>
      </c>
      <c r="I198" t="s">
        <v>14</v>
      </c>
      <c r="J198" t="s">
        <v>54</v>
      </c>
      <c r="K198" t="s">
        <v>23</v>
      </c>
      <c r="L198">
        <v>36.065466999999998</v>
      </c>
      <c r="M198">
        <v>-94.138549999999995</v>
      </c>
    </row>
    <row r="199" spans="1:13" x14ac:dyDescent="0.2">
      <c r="A199" t="s">
        <v>958</v>
      </c>
      <c r="B199" t="s">
        <v>100</v>
      </c>
      <c r="C199" t="str">
        <f>_xlfn.XLOOKUP(A199,'[1]Putative species manifest'!A:A,'[1]Putative species manifest'!B:B)</f>
        <v>HIRSUTICAULIS</v>
      </c>
      <c r="D199" t="s">
        <v>313</v>
      </c>
      <c r="E199" t="s">
        <v>101</v>
      </c>
      <c r="F199" t="s">
        <v>104</v>
      </c>
      <c r="G199" t="s">
        <v>24</v>
      </c>
      <c r="H199" t="s">
        <v>959</v>
      </c>
      <c r="I199" t="s">
        <v>14</v>
      </c>
      <c r="J199" t="s">
        <v>54</v>
      </c>
      <c r="K199" t="s">
        <v>23</v>
      </c>
      <c r="L199">
        <v>35.994785999999998</v>
      </c>
      <c r="M199">
        <v>-94.132508000000001</v>
      </c>
    </row>
    <row r="200" spans="1:13" x14ac:dyDescent="0.2">
      <c r="A200" t="s">
        <v>960</v>
      </c>
      <c r="B200" t="s">
        <v>100</v>
      </c>
      <c r="C200" t="str">
        <f>_xlfn.XLOOKUP(A200,'[1]Putative species manifest'!A:A,'[1]Putative species manifest'!B:B)</f>
        <v>HIRSUTICAULIS</v>
      </c>
      <c r="D200" t="s">
        <v>313</v>
      </c>
      <c r="E200" t="s">
        <v>101</v>
      </c>
      <c r="F200" t="s">
        <v>104</v>
      </c>
      <c r="G200" t="s">
        <v>24</v>
      </c>
      <c r="H200" t="s">
        <v>961</v>
      </c>
      <c r="I200" t="s">
        <v>14</v>
      </c>
      <c r="J200" t="s">
        <v>54</v>
      </c>
      <c r="K200" t="s">
        <v>23</v>
      </c>
      <c r="L200">
        <v>35.994785999999998</v>
      </c>
      <c r="M200">
        <v>-94.132508000000001</v>
      </c>
    </row>
    <row r="201" spans="1:13" x14ac:dyDescent="0.2">
      <c r="A201" t="s">
        <v>962</v>
      </c>
      <c r="B201" t="s">
        <v>100</v>
      </c>
      <c r="C201" t="str">
        <f>_xlfn.XLOOKUP(A201,'[1]Putative species manifest'!A:A,'[1]Putative species manifest'!B:B)</f>
        <v>HIRSUTICAULIS</v>
      </c>
      <c r="D201" t="s">
        <v>313</v>
      </c>
      <c r="E201" t="s">
        <v>101</v>
      </c>
      <c r="F201" t="s">
        <v>104</v>
      </c>
      <c r="G201" t="s">
        <v>24</v>
      </c>
      <c r="H201" t="s">
        <v>105</v>
      </c>
      <c r="I201" t="s">
        <v>14</v>
      </c>
      <c r="J201" t="s">
        <v>54</v>
      </c>
      <c r="K201" t="s">
        <v>23</v>
      </c>
      <c r="L201">
        <v>35.994785999999998</v>
      </c>
      <c r="M201">
        <v>-94.132508000000001</v>
      </c>
    </row>
    <row r="202" spans="1:13" x14ac:dyDescent="0.2">
      <c r="A202" t="s">
        <v>963</v>
      </c>
      <c r="B202" t="s">
        <v>100</v>
      </c>
      <c r="C202" t="str">
        <f>_xlfn.XLOOKUP(A202,'[1]Putative species manifest'!A:A,'[1]Putative species manifest'!B:B)</f>
        <v>HIRSUTICAULIS</v>
      </c>
      <c r="D202" t="s">
        <v>313</v>
      </c>
      <c r="E202" t="s">
        <v>101</v>
      </c>
      <c r="F202" t="s">
        <v>104</v>
      </c>
      <c r="G202" t="s">
        <v>24</v>
      </c>
      <c r="H202" t="s">
        <v>105</v>
      </c>
      <c r="I202" t="s">
        <v>14</v>
      </c>
      <c r="J202" t="s">
        <v>54</v>
      </c>
      <c r="K202" t="s">
        <v>23</v>
      </c>
      <c r="L202">
        <v>35.994785999999998</v>
      </c>
      <c r="M202">
        <v>-94.132508000000001</v>
      </c>
    </row>
    <row r="203" spans="1:13" x14ac:dyDescent="0.2">
      <c r="A203" t="s">
        <v>964</v>
      </c>
      <c r="B203" t="s">
        <v>100</v>
      </c>
      <c r="C203" t="str">
        <f>_xlfn.XLOOKUP(A203,'[1]Putative species manifest'!A:A,'[1]Putative species manifest'!B:B)</f>
        <v>HIRSUTICAULIS</v>
      </c>
      <c r="D203" t="s">
        <v>313</v>
      </c>
      <c r="E203" t="s">
        <v>101</v>
      </c>
      <c r="F203" t="s">
        <v>104</v>
      </c>
      <c r="G203" t="s">
        <v>24</v>
      </c>
      <c r="H203" t="s">
        <v>105</v>
      </c>
      <c r="I203" t="s">
        <v>14</v>
      </c>
      <c r="J203" t="s">
        <v>54</v>
      </c>
      <c r="K203" t="s">
        <v>23</v>
      </c>
      <c r="L203">
        <v>35.994785999999998</v>
      </c>
      <c r="M203">
        <v>-94.132508000000001</v>
      </c>
    </row>
    <row r="204" spans="1:13" x14ac:dyDescent="0.2">
      <c r="A204" t="s">
        <v>965</v>
      </c>
      <c r="B204" t="s">
        <v>100</v>
      </c>
      <c r="C204" t="str">
        <f>_xlfn.XLOOKUP(A204,'[1]Putative species manifest'!A:A,'[1]Putative species manifest'!B:B)</f>
        <v>HIRSUTICAULIS</v>
      </c>
      <c r="D204" t="s">
        <v>313</v>
      </c>
      <c r="E204" t="s">
        <v>101</v>
      </c>
      <c r="F204" t="s">
        <v>104</v>
      </c>
      <c r="G204" t="s">
        <v>24</v>
      </c>
      <c r="H204" t="s">
        <v>105</v>
      </c>
      <c r="I204" t="s">
        <v>14</v>
      </c>
      <c r="J204" t="s">
        <v>54</v>
      </c>
      <c r="K204" t="s">
        <v>23</v>
      </c>
      <c r="L204">
        <v>35.994785999999998</v>
      </c>
      <c r="M204">
        <v>-94.132508000000001</v>
      </c>
    </row>
    <row r="205" spans="1:13" x14ac:dyDescent="0.2">
      <c r="A205" t="s">
        <v>966</v>
      </c>
      <c r="B205" t="s">
        <v>100</v>
      </c>
      <c r="C205" t="str">
        <f>_xlfn.XLOOKUP(A205,'[1]Putative species manifest'!A:A,'[1]Putative species manifest'!B:B)</f>
        <v>HIRSUTICAULIS</v>
      </c>
      <c r="D205" t="s">
        <v>313</v>
      </c>
      <c r="E205" t="s">
        <v>101</v>
      </c>
      <c r="F205" t="s">
        <v>104</v>
      </c>
      <c r="G205" t="s">
        <v>24</v>
      </c>
      <c r="H205" t="s">
        <v>105</v>
      </c>
      <c r="I205" t="s">
        <v>14</v>
      </c>
      <c r="J205" t="s">
        <v>54</v>
      </c>
      <c r="K205" t="s">
        <v>23</v>
      </c>
      <c r="L205">
        <v>35.994785999999998</v>
      </c>
      <c r="M205">
        <v>-94.132508000000001</v>
      </c>
    </row>
    <row r="206" spans="1:13" x14ac:dyDescent="0.2">
      <c r="A206" t="s">
        <v>967</v>
      </c>
      <c r="B206" t="s">
        <v>100</v>
      </c>
      <c r="C206" t="str">
        <f>_xlfn.XLOOKUP(A206,'[1]Putative species manifest'!A:A,'[1]Putative species manifest'!B:B)</f>
        <v>HIRSUTICAULIS</v>
      </c>
      <c r="D206" t="s">
        <v>313</v>
      </c>
      <c r="E206" t="s">
        <v>101</v>
      </c>
      <c r="F206" t="s">
        <v>104</v>
      </c>
      <c r="G206" t="s">
        <v>24</v>
      </c>
      <c r="H206" t="s">
        <v>105</v>
      </c>
      <c r="I206" t="s">
        <v>14</v>
      </c>
      <c r="J206" t="s">
        <v>54</v>
      </c>
      <c r="K206" t="s">
        <v>23</v>
      </c>
      <c r="L206">
        <v>35.994785999999998</v>
      </c>
      <c r="M206">
        <v>-94.132508000000001</v>
      </c>
    </row>
    <row r="207" spans="1:13" x14ac:dyDescent="0.2">
      <c r="A207" t="s">
        <v>968</v>
      </c>
      <c r="B207" t="s">
        <v>100</v>
      </c>
      <c r="C207" t="str">
        <f>_xlfn.XLOOKUP(A207,'[1]Putative species manifest'!A:A,'[1]Putative species manifest'!B:B)</f>
        <v>HIRSUTICAULIS</v>
      </c>
      <c r="D207" t="s">
        <v>313</v>
      </c>
      <c r="E207" t="s">
        <v>101</v>
      </c>
      <c r="F207" t="s">
        <v>969</v>
      </c>
      <c r="G207" t="s">
        <v>24</v>
      </c>
      <c r="H207" t="s">
        <v>970</v>
      </c>
      <c r="I207" t="s">
        <v>14</v>
      </c>
      <c r="J207" t="s">
        <v>54</v>
      </c>
      <c r="K207" t="s">
        <v>23</v>
      </c>
      <c r="L207">
        <v>35.996721999999998</v>
      </c>
      <c r="M207">
        <v>-94.129067000000006</v>
      </c>
    </row>
    <row r="208" spans="1:13" x14ac:dyDescent="0.2">
      <c r="A208" t="s">
        <v>971</v>
      </c>
      <c r="B208" t="s">
        <v>100</v>
      </c>
      <c r="C208" t="str">
        <f>_xlfn.XLOOKUP(A208,'[1]Putative species manifest'!A:A,'[1]Putative species manifest'!B:B)</f>
        <v>HIRSUTICAULIS</v>
      </c>
      <c r="D208" t="s">
        <v>313</v>
      </c>
      <c r="E208" t="s">
        <v>101</v>
      </c>
      <c r="F208" t="s">
        <v>969</v>
      </c>
      <c r="G208" t="s">
        <v>24</v>
      </c>
      <c r="H208" t="s">
        <v>972</v>
      </c>
      <c r="I208" t="s">
        <v>14</v>
      </c>
      <c r="J208" t="s">
        <v>54</v>
      </c>
      <c r="K208" t="s">
        <v>23</v>
      </c>
      <c r="L208">
        <v>35.996721999999998</v>
      </c>
      <c r="M208">
        <v>-94.129067000000006</v>
      </c>
    </row>
    <row r="209" spans="1:13" x14ac:dyDescent="0.2">
      <c r="A209" t="s">
        <v>973</v>
      </c>
      <c r="B209" t="s">
        <v>100</v>
      </c>
      <c r="C209" t="str">
        <f>_xlfn.XLOOKUP(A209,'[1]Putative species manifest'!A:A,'[1]Putative species manifest'!B:B)</f>
        <v>HIRSUTICAULIS</v>
      </c>
      <c r="D209" t="s">
        <v>313</v>
      </c>
      <c r="E209" t="s">
        <v>101</v>
      </c>
      <c r="F209" t="s">
        <v>969</v>
      </c>
      <c r="G209" t="s">
        <v>24</v>
      </c>
      <c r="H209" t="s">
        <v>974</v>
      </c>
      <c r="I209" t="s">
        <v>14</v>
      </c>
      <c r="J209" t="s">
        <v>54</v>
      </c>
      <c r="K209" t="s">
        <v>23</v>
      </c>
      <c r="L209">
        <v>35.996721999999998</v>
      </c>
      <c r="M209">
        <v>-94.129067000000006</v>
      </c>
    </row>
    <row r="210" spans="1:13" x14ac:dyDescent="0.2">
      <c r="A210" t="s">
        <v>975</v>
      </c>
      <c r="B210" t="s">
        <v>100</v>
      </c>
      <c r="C210" t="str">
        <f>_xlfn.XLOOKUP(A210,'[1]Putative species manifest'!A:A,'[1]Putative species manifest'!B:B)</f>
        <v>HIRSUTICAULIS</v>
      </c>
      <c r="D210" t="s">
        <v>313</v>
      </c>
      <c r="E210" t="s">
        <v>101</v>
      </c>
      <c r="F210" t="s">
        <v>969</v>
      </c>
      <c r="G210" t="s">
        <v>24</v>
      </c>
      <c r="H210" t="s">
        <v>970</v>
      </c>
      <c r="I210" t="s">
        <v>14</v>
      </c>
      <c r="J210" t="s">
        <v>54</v>
      </c>
      <c r="K210" t="s">
        <v>23</v>
      </c>
      <c r="L210">
        <v>35.996721999999998</v>
      </c>
      <c r="M210">
        <v>-94.129067000000006</v>
      </c>
    </row>
    <row r="211" spans="1:13" x14ac:dyDescent="0.2">
      <c r="A211" t="s">
        <v>976</v>
      </c>
      <c r="B211" t="s">
        <v>100</v>
      </c>
      <c r="C211" t="str">
        <f>_xlfn.XLOOKUP(A211,'[1]Putative species manifest'!A:A,'[1]Putative species manifest'!B:B)</f>
        <v>HIRSUTICAULIS</v>
      </c>
      <c r="D211" t="s">
        <v>313</v>
      </c>
      <c r="E211" t="s">
        <v>101</v>
      </c>
      <c r="F211" t="s">
        <v>969</v>
      </c>
      <c r="G211" t="s">
        <v>24</v>
      </c>
      <c r="H211" t="s">
        <v>977</v>
      </c>
      <c r="I211" t="s">
        <v>14</v>
      </c>
      <c r="J211" t="s">
        <v>54</v>
      </c>
      <c r="K211" t="s">
        <v>23</v>
      </c>
      <c r="L211">
        <v>35.996721999999998</v>
      </c>
      <c r="M211">
        <v>-94.129067000000006</v>
      </c>
    </row>
    <row r="212" spans="1:13" x14ac:dyDescent="0.2">
      <c r="A212" t="s">
        <v>930</v>
      </c>
      <c r="B212" t="s">
        <v>100</v>
      </c>
      <c r="C212" t="str">
        <f>_xlfn.XLOOKUP(A212,'[1]Putative species manifest'!A:A,'[1]Putative species manifest'!B:B)</f>
        <v>HIRSUTICAULIS</v>
      </c>
      <c r="D212" t="s">
        <v>306</v>
      </c>
      <c r="E212" t="s">
        <v>101</v>
      </c>
      <c r="F212" t="s">
        <v>931</v>
      </c>
      <c r="G212" t="s">
        <v>24</v>
      </c>
      <c r="H212" t="s">
        <v>932</v>
      </c>
      <c r="I212" t="s">
        <v>14</v>
      </c>
      <c r="J212" t="s">
        <v>54</v>
      </c>
      <c r="K212" t="s">
        <v>158</v>
      </c>
      <c r="L212">
        <v>35.304633000000003</v>
      </c>
      <c r="M212">
        <v>-93.165575000000004</v>
      </c>
    </row>
    <row r="213" spans="1:13" x14ac:dyDescent="0.2">
      <c r="A213" t="s">
        <v>890</v>
      </c>
      <c r="B213" t="s">
        <v>100</v>
      </c>
      <c r="C213" t="str">
        <f>_xlfn.XLOOKUP(A213,'[1]Putative species manifest'!A:A,'[1]Putative species manifest'!B:B)</f>
        <v>HIRSUTICAULIS</v>
      </c>
      <c r="D213" t="s">
        <v>306</v>
      </c>
      <c r="E213" t="s">
        <v>101</v>
      </c>
      <c r="F213" t="s">
        <v>891</v>
      </c>
      <c r="G213" t="s">
        <v>24</v>
      </c>
      <c r="H213" t="s">
        <v>892</v>
      </c>
      <c r="I213" t="s">
        <v>14</v>
      </c>
      <c r="J213" t="s">
        <v>54</v>
      </c>
      <c r="K213" t="s">
        <v>201</v>
      </c>
      <c r="L213">
        <v>35.074283000000001</v>
      </c>
      <c r="M213">
        <v>-92.538005999999996</v>
      </c>
    </row>
    <row r="214" spans="1:13" x14ac:dyDescent="0.2">
      <c r="A214" t="s">
        <v>893</v>
      </c>
      <c r="B214" t="s">
        <v>100</v>
      </c>
      <c r="C214" t="str">
        <f>_xlfn.XLOOKUP(A214,'[1]Putative species manifest'!A:A,'[1]Putative species manifest'!B:B)</f>
        <v>HIRSUTICAULIS</v>
      </c>
      <c r="D214" t="s">
        <v>306</v>
      </c>
      <c r="E214" t="s">
        <v>101</v>
      </c>
      <c r="F214" t="s">
        <v>891</v>
      </c>
      <c r="G214" t="s">
        <v>24</v>
      </c>
      <c r="H214" t="s">
        <v>894</v>
      </c>
      <c r="I214" t="s">
        <v>14</v>
      </c>
      <c r="J214" t="s">
        <v>54</v>
      </c>
      <c r="K214" t="s">
        <v>201</v>
      </c>
      <c r="L214">
        <v>35.074283000000001</v>
      </c>
      <c r="M214">
        <v>-92.538005999999996</v>
      </c>
    </row>
    <row r="215" spans="1:13" x14ac:dyDescent="0.2">
      <c r="A215" t="s">
        <v>895</v>
      </c>
      <c r="B215" t="s">
        <v>100</v>
      </c>
      <c r="C215" t="str">
        <f>_xlfn.XLOOKUP(A215,'[1]Putative species manifest'!A:A,'[1]Putative species manifest'!B:B)</f>
        <v>HIRSUTICAULIS</v>
      </c>
      <c r="D215" t="s">
        <v>306</v>
      </c>
      <c r="E215" t="s">
        <v>101</v>
      </c>
      <c r="F215" t="s">
        <v>891</v>
      </c>
      <c r="G215" t="s">
        <v>24</v>
      </c>
      <c r="H215" t="s">
        <v>896</v>
      </c>
      <c r="I215" t="s">
        <v>14</v>
      </c>
      <c r="J215" t="s">
        <v>54</v>
      </c>
      <c r="K215" t="s">
        <v>201</v>
      </c>
      <c r="L215">
        <v>35.074283000000001</v>
      </c>
      <c r="M215">
        <v>-92.538005999999996</v>
      </c>
    </row>
    <row r="216" spans="1:13" x14ac:dyDescent="0.2">
      <c r="A216" t="s">
        <v>897</v>
      </c>
      <c r="B216" t="s">
        <v>100</v>
      </c>
      <c r="C216" t="str">
        <f>_xlfn.XLOOKUP(A216,'[1]Putative species manifest'!A:A,'[1]Putative species manifest'!B:B)</f>
        <v>HIRSUTICAULIS</v>
      </c>
      <c r="D216" t="s">
        <v>306</v>
      </c>
      <c r="E216" t="s">
        <v>101</v>
      </c>
      <c r="F216" t="s">
        <v>891</v>
      </c>
      <c r="G216" t="s">
        <v>24</v>
      </c>
      <c r="H216" t="s">
        <v>894</v>
      </c>
      <c r="I216" t="s">
        <v>14</v>
      </c>
      <c r="J216" t="s">
        <v>54</v>
      </c>
      <c r="K216" t="s">
        <v>201</v>
      </c>
      <c r="L216">
        <v>35.074283000000001</v>
      </c>
      <c r="M216">
        <v>-92.538005999999996</v>
      </c>
    </row>
    <row r="217" spans="1:13" x14ac:dyDescent="0.2">
      <c r="A217" t="s">
        <v>898</v>
      </c>
      <c r="B217" t="s">
        <v>100</v>
      </c>
      <c r="C217" t="str">
        <f>_xlfn.XLOOKUP(A217,'[1]Putative species manifest'!A:A,'[1]Putative species manifest'!B:B)</f>
        <v>HIRSUTICAULIS</v>
      </c>
      <c r="D217" t="s">
        <v>306</v>
      </c>
      <c r="E217" t="s">
        <v>101</v>
      </c>
      <c r="F217" t="s">
        <v>891</v>
      </c>
      <c r="G217" t="s">
        <v>24</v>
      </c>
      <c r="H217" t="s">
        <v>894</v>
      </c>
      <c r="I217" t="s">
        <v>14</v>
      </c>
      <c r="J217" t="s">
        <v>54</v>
      </c>
      <c r="K217" t="s">
        <v>201</v>
      </c>
      <c r="L217">
        <v>35.074283000000001</v>
      </c>
      <c r="M217">
        <v>-92.538005999999996</v>
      </c>
    </row>
    <row r="218" spans="1:13" x14ac:dyDescent="0.2">
      <c r="A218" t="s">
        <v>899</v>
      </c>
      <c r="B218" t="s">
        <v>100</v>
      </c>
      <c r="C218" t="str">
        <f>_xlfn.XLOOKUP(A218,'[1]Putative species manifest'!A:A,'[1]Putative species manifest'!B:B)</f>
        <v>HIRSUTICAULIS</v>
      </c>
      <c r="D218" t="s">
        <v>306</v>
      </c>
      <c r="E218" t="s">
        <v>101</v>
      </c>
      <c r="F218" t="s">
        <v>891</v>
      </c>
      <c r="G218" t="s">
        <v>24</v>
      </c>
      <c r="H218" t="s">
        <v>894</v>
      </c>
      <c r="I218" t="s">
        <v>14</v>
      </c>
      <c r="J218" t="s">
        <v>54</v>
      </c>
      <c r="K218" t="s">
        <v>201</v>
      </c>
      <c r="L218">
        <v>35.074283000000001</v>
      </c>
      <c r="M218">
        <v>-92.538005999999996</v>
      </c>
    </row>
    <row r="219" spans="1:13" x14ac:dyDescent="0.2">
      <c r="A219" t="s">
        <v>900</v>
      </c>
      <c r="B219" t="s">
        <v>100</v>
      </c>
      <c r="C219" t="str">
        <f>_xlfn.XLOOKUP(A219,'[1]Putative species manifest'!A:A,'[1]Putative species manifest'!B:B)</f>
        <v>HIRSUTICAULIS</v>
      </c>
      <c r="D219" t="s">
        <v>306</v>
      </c>
      <c r="E219" t="s">
        <v>101</v>
      </c>
      <c r="F219" t="s">
        <v>891</v>
      </c>
      <c r="G219" t="s">
        <v>24</v>
      </c>
      <c r="H219" t="s">
        <v>894</v>
      </c>
      <c r="I219" t="s">
        <v>14</v>
      </c>
      <c r="J219" t="s">
        <v>54</v>
      </c>
      <c r="K219" t="s">
        <v>201</v>
      </c>
      <c r="L219">
        <v>35.074283000000001</v>
      </c>
      <c r="M219">
        <v>-92.538005999999996</v>
      </c>
    </row>
    <row r="220" spans="1:13" x14ac:dyDescent="0.2">
      <c r="A220" t="s">
        <v>901</v>
      </c>
      <c r="B220" t="s">
        <v>100</v>
      </c>
      <c r="C220" t="str">
        <f>_xlfn.XLOOKUP(A220,'[1]Putative species manifest'!A:A,'[1]Putative species manifest'!B:B)</f>
        <v>HIRSUTICAULIS</v>
      </c>
      <c r="D220" t="s">
        <v>306</v>
      </c>
      <c r="E220" t="s">
        <v>101</v>
      </c>
      <c r="F220" t="s">
        <v>891</v>
      </c>
      <c r="G220" t="s">
        <v>24</v>
      </c>
      <c r="H220" t="s">
        <v>894</v>
      </c>
      <c r="I220" t="s">
        <v>14</v>
      </c>
      <c r="J220" t="s">
        <v>54</v>
      </c>
      <c r="K220" t="s">
        <v>201</v>
      </c>
      <c r="L220">
        <v>35.074283000000001</v>
      </c>
      <c r="M220">
        <v>-92.538005999999996</v>
      </c>
    </row>
    <row r="221" spans="1:13" x14ac:dyDescent="0.2">
      <c r="A221" t="s">
        <v>902</v>
      </c>
      <c r="B221" t="s">
        <v>100</v>
      </c>
      <c r="C221" t="str">
        <f>_xlfn.XLOOKUP(A221,'[1]Putative species manifest'!A:A,'[1]Putative species manifest'!B:B)</f>
        <v>HIRSUTICAULIS</v>
      </c>
      <c r="D221" t="s">
        <v>306</v>
      </c>
      <c r="E221" t="s">
        <v>101</v>
      </c>
      <c r="F221" t="s">
        <v>891</v>
      </c>
      <c r="G221" t="s">
        <v>24</v>
      </c>
      <c r="H221" t="s">
        <v>894</v>
      </c>
      <c r="I221" t="s">
        <v>14</v>
      </c>
      <c r="J221" t="s">
        <v>54</v>
      </c>
      <c r="K221" t="s">
        <v>201</v>
      </c>
      <c r="L221">
        <v>35.074283000000001</v>
      </c>
      <c r="M221">
        <v>-92.538005999999996</v>
      </c>
    </row>
    <row r="222" spans="1:13" x14ac:dyDescent="0.2">
      <c r="A222" t="s">
        <v>903</v>
      </c>
      <c r="B222" t="s">
        <v>100</v>
      </c>
      <c r="C222" t="str">
        <f>_xlfn.XLOOKUP(A222,'[1]Putative species manifest'!A:A,'[1]Putative species manifest'!B:B)</f>
        <v>HIRSUTICAULIS</v>
      </c>
      <c r="D222" t="s">
        <v>306</v>
      </c>
      <c r="E222" t="s">
        <v>101</v>
      </c>
      <c r="F222" t="s">
        <v>891</v>
      </c>
      <c r="G222" t="s">
        <v>24</v>
      </c>
      <c r="H222" t="s">
        <v>894</v>
      </c>
      <c r="I222" t="s">
        <v>14</v>
      </c>
      <c r="J222" t="s">
        <v>54</v>
      </c>
      <c r="K222" t="s">
        <v>201</v>
      </c>
      <c r="L222">
        <v>35.074283000000001</v>
      </c>
      <c r="M222">
        <v>-92.538005999999996</v>
      </c>
    </row>
    <row r="223" spans="1:13" x14ac:dyDescent="0.2">
      <c r="A223" t="s">
        <v>904</v>
      </c>
      <c r="B223" t="s">
        <v>100</v>
      </c>
      <c r="C223" t="str">
        <f>_xlfn.XLOOKUP(A223,'[1]Putative species manifest'!A:A,'[1]Putative species manifest'!B:B)</f>
        <v>HIRSUTICAULIS</v>
      </c>
      <c r="D223" t="s">
        <v>306</v>
      </c>
      <c r="E223" t="s">
        <v>101</v>
      </c>
      <c r="F223" t="s">
        <v>891</v>
      </c>
      <c r="G223" t="s">
        <v>24</v>
      </c>
      <c r="H223" t="s">
        <v>894</v>
      </c>
      <c r="I223" t="s">
        <v>14</v>
      </c>
      <c r="J223" t="s">
        <v>54</v>
      </c>
      <c r="K223" t="s">
        <v>201</v>
      </c>
      <c r="L223">
        <v>35.074283000000001</v>
      </c>
      <c r="M223">
        <v>-92.538005999999996</v>
      </c>
    </row>
    <row r="224" spans="1:13" x14ac:dyDescent="0.2">
      <c r="A224" t="s">
        <v>905</v>
      </c>
      <c r="B224" t="s">
        <v>100</v>
      </c>
      <c r="C224" t="str">
        <f>_xlfn.XLOOKUP(A224,'[1]Putative species manifest'!A:A,'[1]Putative species manifest'!B:B)</f>
        <v>HIRSUTICAULIS</v>
      </c>
      <c r="D224" t="s">
        <v>306</v>
      </c>
      <c r="E224" t="s">
        <v>101</v>
      </c>
      <c r="F224" t="s">
        <v>891</v>
      </c>
      <c r="G224" t="s">
        <v>24</v>
      </c>
      <c r="H224" t="s">
        <v>894</v>
      </c>
      <c r="I224" t="s">
        <v>14</v>
      </c>
      <c r="J224" t="s">
        <v>54</v>
      </c>
      <c r="K224" t="s">
        <v>201</v>
      </c>
      <c r="L224">
        <v>35.074283000000001</v>
      </c>
      <c r="M224">
        <v>-92.538005999999996</v>
      </c>
    </row>
    <row r="225" spans="1:13" x14ac:dyDescent="0.2">
      <c r="A225" t="s">
        <v>1519</v>
      </c>
      <c r="B225" t="s">
        <v>207</v>
      </c>
      <c r="F225" t="s">
        <v>208</v>
      </c>
      <c r="G225" t="s">
        <v>24</v>
      </c>
      <c r="H225" t="s">
        <v>209</v>
      </c>
      <c r="I225" t="s">
        <v>14</v>
      </c>
      <c r="J225" t="s">
        <v>55</v>
      </c>
      <c r="K225" t="s">
        <v>210</v>
      </c>
      <c r="L225">
        <v>34.677222200000003</v>
      </c>
      <c r="M225">
        <v>-84</v>
      </c>
    </row>
    <row r="226" spans="1:13" x14ac:dyDescent="0.2">
      <c r="A226" t="s">
        <v>1288</v>
      </c>
      <c r="B226" t="s">
        <v>122</v>
      </c>
      <c r="C226" t="str">
        <f>_xlfn.XLOOKUP(A226,'[1]Putative species manifest'!A:A,'[1]Putative species manifest'!B:B)</f>
        <v>Heuchera caroliniana A50-1 SC</v>
      </c>
      <c r="D226" t="s">
        <v>320</v>
      </c>
      <c r="E226" t="s">
        <v>122</v>
      </c>
      <c r="F226" t="s">
        <v>128</v>
      </c>
      <c r="G226" t="s">
        <v>24</v>
      </c>
      <c r="H226" t="s">
        <v>129</v>
      </c>
      <c r="I226" t="s">
        <v>14</v>
      </c>
      <c r="J226" t="s">
        <v>85</v>
      </c>
      <c r="K226" t="s">
        <v>58</v>
      </c>
      <c r="L226">
        <v>34.993338000000001</v>
      </c>
      <c r="M226">
        <v>-80.081078000000005</v>
      </c>
    </row>
    <row r="227" spans="1:13" x14ac:dyDescent="0.2">
      <c r="A227" t="s">
        <v>1289</v>
      </c>
      <c r="B227" t="s">
        <v>122</v>
      </c>
      <c r="C227" t="str">
        <f>_xlfn.XLOOKUP(A227,'[1]Putative species manifest'!A:A,'[1]Putative species manifest'!B:B)</f>
        <v>Heuchera caroliniana A50-2 SC</v>
      </c>
      <c r="D227" t="s">
        <v>320</v>
      </c>
      <c r="E227" t="s">
        <v>122</v>
      </c>
      <c r="F227" t="s">
        <v>128</v>
      </c>
      <c r="G227" t="s">
        <v>24</v>
      </c>
      <c r="H227" t="s">
        <v>129</v>
      </c>
      <c r="I227" t="s">
        <v>14</v>
      </c>
      <c r="J227" t="s">
        <v>85</v>
      </c>
      <c r="K227" t="s">
        <v>58</v>
      </c>
      <c r="L227">
        <v>34.993338000000001</v>
      </c>
      <c r="M227">
        <v>-80.081078000000005</v>
      </c>
    </row>
    <row r="228" spans="1:13" x14ac:dyDescent="0.2">
      <c r="A228" t="s">
        <v>1290</v>
      </c>
      <c r="B228" t="s">
        <v>122</v>
      </c>
      <c r="C228" t="str">
        <f>_xlfn.XLOOKUP(A228,'[1]Putative species manifest'!A:A,'[1]Putative species manifest'!B:B)</f>
        <v>Heuchera caroliniana A50-4 SC</v>
      </c>
      <c r="D228" t="s">
        <v>320</v>
      </c>
      <c r="E228" t="s">
        <v>122</v>
      </c>
      <c r="F228" t="s">
        <v>128</v>
      </c>
      <c r="G228" t="s">
        <v>24</v>
      </c>
      <c r="H228" t="s">
        <v>129</v>
      </c>
      <c r="I228" t="s">
        <v>14</v>
      </c>
      <c r="J228" t="s">
        <v>85</v>
      </c>
      <c r="K228" t="s">
        <v>58</v>
      </c>
      <c r="L228">
        <v>34.993338000000001</v>
      </c>
      <c r="M228">
        <v>-80.081078000000005</v>
      </c>
    </row>
    <row r="229" spans="1:13" x14ac:dyDescent="0.2">
      <c r="A229" t="s">
        <v>261</v>
      </c>
      <c r="B229" t="s">
        <v>38</v>
      </c>
      <c r="C229" t="str">
        <f>_xlfn.XLOOKUP(A229,'[1]Putative species manifest'!A:A,'[1]Putative species manifest'!B:B)</f>
        <v>CALYCOSA</v>
      </c>
      <c r="D229" t="s">
        <v>249</v>
      </c>
      <c r="E229" t="s">
        <v>43</v>
      </c>
      <c r="F229" t="s">
        <v>262</v>
      </c>
      <c r="H229" t="s">
        <v>80</v>
      </c>
      <c r="I229" t="s">
        <v>14</v>
      </c>
      <c r="J229" t="s">
        <v>40</v>
      </c>
      <c r="K229" t="s">
        <v>257</v>
      </c>
      <c r="L229">
        <v>33.693964000000001</v>
      </c>
      <c r="M229">
        <v>-85.559439999999995</v>
      </c>
    </row>
    <row r="230" spans="1:13" x14ac:dyDescent="0.2">
      <c r="A230" t="s">
        <v>263</v>
      </c>
      <c r="B230" t="s">
        <v>38</v>
      </c>
      <c r="C230" t="str">
        <f>_xlfn.XLOOKUP(A230,'[1]Putative species manifest'!A:A,'[1]Putative species manifest'!B:B)</f>
        <v>CALYCOSA</v>
      </c>
      <c r="D230" t="s">
        <v>249</v>
      </c>
      <c r="E230" t="s">
        <v>43</v>
      </c>
      <c r="F230" t="s">
        <v>262</v>
      </c>
      <c r="H230" t="s">
        <v>80</v>
      </c>
      <c r="I230" t="s">
        <v>14</v>
      </c>
      <c r="J230" t="s">
        <v>40</v>
      </c>
      <c r="K230" t="s">
        <v>257</v>
      </c>
      <c r="L230">
        <v>33.693964000000001</v>
      </c>
      <c r="M230">
        <v>-85.559439999999995</v>
      </c>
    </row>
    <row r="231" spans="1:13" x14ac:dyDescent="0.2">
      <c r="A231" t="s">
        <v>264</v>
      </c>
      <c r="B231" t="s">
        <v>38</v>
      </c>
      <c r="C231" t="str">
        <f>_xlfn.XLOOKUP(A231,'[1]Putative species manifest'!A:A,'[1]Putative species manifest'!B:B)</f>
        <v>CALYCOSA</v>
      </c>
      <c r="D231" t="s">
        <v>249</v>
      </c>
      <c r="E231" t="s">
        <v>43</v>
      </c>
      <c r="F231" t="s">
        <v>262</v>
      </c>
      <c r="H231" t="s">
        <v>80</v>
      </c>
      <c r="I231" t="s">
        <v>14</v>
      </c>
      <c r="J231" t="s">
        <v>40</v>
      </c>
      <c r="K231" t="s">
        <v>257</v>
      </c>
      <c r="L231">
        <v>33.693964000000001</v>
      </c>
      <c r="M231">
        <v>-85.559439999999995</v>
      </c>
    </row>
    <row r="232" spans="1:13" x14ac:dyDescent="0.2">
      <c r="A232" t="s">
        <v>265</v>
      </c>
      <c r="B232" t="s">
        <v>38</v>
      </c>
      <c r="C232" t="str">
        <f>_xlfn.XLOOKUP(A232,'[1]Putative species manifest'!A:A,'[1]Putative species manifest'!B:B)</f>
        <v>CALYCOSA</v>
      </c>
      <c r="D232" t="s">
        <v>249</v>
      </c>
      <c r="E232" t="s">
        <v>43</v>
      </c>
      <c r="F232" t="s">
        <v>262</v>
      </c>
      <c r="H232" t="s">
        <v>80</v>
      </c>
      <c r="I232" t="s">
        <v>14</v>
      </c>
      <c r="J232" t="s">
        <v>40</v>
      </c>
      <c r="K232" t="s">
        <v>257</v>
      </c>
      <c r="L232">
        <v>33.693964000000001</v>
      </c>
      <c r="M232">
        <v>-85.559439999999995</v>
      </c>
    </row>
    <row r="233" spans="1:13" x14ac:dyDescent="0.2">
      <c r="A233" t="s">
        <v>266</v>
      </c>
      <c r="B233" t="s">
        <v>38</v>
      </c>
      <c r="C233" t="str">
        <f>_xlfn.XLOOKUP(A233,'[1]Putative species manifest'!A:A,'[1]Putative species manifest'!B:B)</f>
        <v>CALYCOSA</v>
      </c>
      <c r="D233" t="s">
        <v>249</v>
      </c>
      <c r="E233" t="s">
        <v>43</v>
      </c>
      <c r="F233" t="s">
        <v>262</v>
      </c>
      <c r="H233" t="s">
        <v>80</v>
      </c>
      <c r="I233" t="s">
        <v>14</v>
      </c>
      <c r="J233" t="s">
        <v>40</v>
      </c>
      <c r="K233" t="s">
        <v>257</v>
      </c>
      <c r="L233">
        <v>33.693964000000001</v>
      </c>
      <c r="M233">
        <v>-85.559439999999995</v>
      </c>
    </row>
    <row r="234" spans="1:13" x14ac:dyDescent="0.2">
      <c r="A234" t="s">
        <v>267</v>
      </c>
      <c r="B234" t="s">
        <v>38</v>
      </c>
      <c r="C234" t="str">
        <f>_xlfn.XLOOKUP(A234,'[1]Putative species manifest'!A:A,'[1]Putative species manifest'!B:B)</f>
        <v>CALYCOSA</v>
      </c>
      <c r="D234" t="s">
        <v>249</v>
      </c>
      <c r="E234" t="s">
        <v>43</v>
      </c>
      <c r="F234" t="s">
        <v>262</v>
      </c>
      <c r="H234" t="s">
        <v>80</v>
      </c>
      <c r="I234" t="s">
        <v>14</v>
      </c>
      <c r="J234" t="s">
        <v>40</v>
      </c>
      <c r="K234" t="s">
        <v>257</v>
      </c>
      <c r="L234">
        <v>33.693964000000001</v>
      </c>
      <c r="M234">
        <v>-85.559439999999995</v>
      </c>
    </row>
    <row r="235" spans="1:13" x14ac:dyDescent="0.2">
      <c r="A235" t="s">
        <v>268</v>
      </c>
      <c r="B235" t="s">
        <v>38</v>
      </c>
      <c r="C235" t="str">
        <f>_xlfn.XLOOKUP(A235,'[1]Putative species manifest'!A:A,'[1]Putative species manifest'!B:B)</f>
        <v>CALYCOSA</v>
      </c>
      <c r="D235" t="s">
        <v>249</v>
      </c>
      <c r="E235" t="s">
        <v>43</v>
      </c>
      <c r="F235" t="s">
        <v>262</v>
      </c>
      <c r="H235" t="s">
        <v>80</v>
      </c>
      <c r="I235" t="s">
        <v>14</v>
      </c>
      <c r="J235" t="s">
        <v>40</v>
      </c>
      <c r="K235" t="s">
        <v>257</v>
      </c>
      <c r="L235">
        <v>33.693964000000001</v>
      </c>
      <c r="M235">
        <v>-85.559439999999995</v>
      </c>
    </row>
    <row r="236" spans="1:13" x14ac:dyDescent="0.2">
      <c r="A236" t="s">
        <v>269</v>
      </c>
      <c r="B236" t="s">
        <v>38</v>
      </c>
      <c r="C236" t="str">
        <f>_xlfn.XLOOKUP(A236,'[1]Putative species manifest'!A:A,'[1]Putative species manifest'!B:B)</f>
        <v>CALYCOSA</v>
      </c>
      <c r="D236" t="s">
        <v>249</v>
      </c>
      <c r="E236" t="s">
        <v>43</v>
      </c>
      <c r="F236" t="s">
        <v>262</v>
      </c>
      <c r="H236" t="s">
        <v>80</v>
      </c>
      <c r="I236" t="s">
        <v>14</v>
      </c>
      <c r="J236" t="s">
        <v>40</v>
      </c>
      <c r="K236" t="s">
        <v>257</v>
      </c>
      <c r="L236">
        <v>33.693964000000001</v>
      </c>
      <c r="M236">
        <v>-85.559439999999995</v>
      </c>
    </row>
    <row r="237" spans="1:13" x14ac:dyDescent="0.2">
      <c r="A237" t="s">
        <v>270</v>
      </c>
      <c r="B237" t="s">
        <v>38</v>
      </c>
      <c r="C237" t="str">
        <f>_xlfn.XLOOKUP(A237,'[1]Putative species manifest'!A:A,'[1]Putative species manifest'!B:B)</f>
        <v>CALYCOSA</v>
      </c>
      <c r="D237" t="s">
        <v>249</v>
      </c>
      <c r="E237" t="s">
        <v>43</v>
      </c>
      <c r="F237" t="s">
        <v>262</v>
      </c>
      <c r="H237" t="s">
        <v>80</v>
      </c>
      <c r="I237" t="s">
        <v>14</v>
      </c>
      <c r="J237" t="s">
        <v>40</v>
      </c>
      <c r="K237" t="s">
        <v>257</v>
      </c>
      <c r="L237">
        <v>33.693964000000001</v>
      </c>
      <c r="M237">
        <v>-85.559439999999995</v>
      </c>
    </row>
    <row r="238" spans="1:13" x14ac:dyDescent="0.2">
      <c r="A238" t="s">
        <v>271</v>
      </c>
      <c r="B238" t="s">
        <v>38</v>
      </c>
      <c r="C238" t="str">
        <f>_xlfn.XLOOKUP(A238,'[1]Putative species manifest'!A:A,'[1]Putative species manifest'!B:B)</f>
        <v>CALYCOSA</v>
      </c>
      <c r="D238" t="s">
        <v>249</v>
      </c>
      <c r="E238" t="s">
        <v>43</v>
      </c>
      <c r="F238" t="s">
        <v>262</v>
      </c>
      <c r="H238" t="s">
        <v>80</v>
      </c>
      <c r="I238" t="s">
        <v>14</v>
      </c>
      <c r="J238" t="s">
        <v>40</v>
      </c>
      <c r="K238" t="s">
        <v>257</v>
      </c>
      <c r="L238">
        <v>33.693964000000001</v>
      </c>
      <c r="M238">
        <v>-85.559439999999995</v>
      </c>
    </row>
    <row r="239" spans="1:13" x14ac:dyDescent="0.2">
      <c r="A239" t="s">
        <v>301</v>
      </c>
      <c r="B239" t="s">
        <v>38</v>
      </c>
      <c r="C239" t="str">
        <f>_xlfn.XLOOKUP(A239,'[1]Putative species manifest'!A:A,'[1]Putative species manifest'!B:B)</f>
        <v>CALYCOSA</v>
      </c>
      <c r="D239" t="s">
        <v>249</v>
      </c>
      <c r="E239" t="s">
        <v>43</v>
      </c>
      <c r="F239" t="s">
        <v>302</v>
      </c>
      <c r="H239" t="s">
        <v>80</v>
      </c>
      <c r="I239" t="s">
        <v>14</v>
      </c>
      <c r="J239" t="s">
        <v>40</v>
      </c>
      <c r="K239" t="s">
        <v>300</v>
      </c>
      <c r="L239">
        <v>33.369118999999998</v>
      </c>
      <c r="M239">
        <v>-86.659482999999994</v>
      </c>
    </row>
    <row r="240" spans="1:13" x14ac:dyDescent="0.2">
      <c r="A240" t="s">
        <v>303</v>
      </c>
      <c r="B240" t="s">
        <v>38</v>
      </c>
      <c r="C240" t="str">
        <f>_xlfn.XLOOKUP(A240,'[1]Putative species manifest'!A:A,'[1]Putative species manifest'!B:B)</f>
        <v>CALYCOSA</v>
      </c>
      <c r="D240" t="s">
        <v>249</v>
      </c>
      <c r="E240" t="s">
        <v>43</v>
      </c>
      <c r="F240" t="s">
        <v>302</v>
      </c>
      <c r="H240" t="s">
        <v>80</v>
      </c>
      <c r="I240" t="s">
        <v>14</v>
      </c>
      <c r="J240" t="s">
        <v>40</v>
      </c>
      <c r="K240" t="s">
        <v>300</v>
      </c>
      <c r="L240">
        <v>33.369118999999998</v>
      </c>
      <c r="M240">
        <v>-86.659482999999994</v>
      </c>
    </row>
    <row r="241" spans="1:13" x14ac:dyDescent="0.2">
      <c r="A241" t="s">
        <v>304</v>
      </c>
      <c r="B241" t="s">
        <v>38</v>
      </c>
      <c r="C241" t="str">
        <f>_xlfn.XLOOKUP(A241,'[1]Putative species manifest'!A:A,'[1]Putative species manifest'!B:B)</f>
        <v>CALYCOSA</v>
      </c>
      <c r="D241" t="s">
        <v>249</v>
      </c>
      <c r="E241" t="s">
        <v>43</v>
      </c>
      <c r="F241" t="s">
        <v>302</v>
      </c>
      <c r="H241" t="s">
        <v>80</v>
      </c>
      <c r="I241" t="s">
        <v>14</v>
      </c>
      <c r="J241" t="s">
        <v>40</v>
      </c>
      <c r="K241" t="s">
        <v>300</v>
      </c>
      <c r="L241">
        <v>33.369118999999998</v>
      </c>
      <c r="M241">
        <v>-86.659482999999994</v>
      </c>
    </row>
    <row r="242" spans="1:13" x14ac:dyDescent="0.2">
      <c r="A242" t="s">
        <v>862</v>
      </c>
      <c r="B242" t="s">
        <v>97</v>
      </c>
      <c r="C242" t="str">
        <f>_xlfn.XLOOKUP(A242,'[1]Putative species manifest'!A:A,'[1]Putative species manifest'!B:B)</f>
        <v>HETERADENIA</v>
      </c>
      <c r="D242" t="s">
        <v>339</v>
      </c>
      <c r="E242" t="s">
        <v>98</v>
      </c>
      <c r="F242" t="s">
        <v>863</v>
      </c>
      <c r="G242" t="s">
        <v>24</v>
      </c>
      <c r="H242" t="s">
        <v>864</v>
      </c>
      <c r="I242" t="s">
        <v>14</v>
      </c>
      <c r="J242" t="s">
        <v>87</v>
      </c>
      <c r="K242" t="s">
        <v>92</v>
      </c>
      <c r="L242">
        <v>35.099617600000002</v>
      </c>
      <c r="M242">
        <v>-84.555909</v>
      </c>
    </row>
    <row r="243" spans="1:13" x14ac:dyDescent="0.2">
      <c r="A243" t="s">
        <v>865</v>
      </c>
      <c r="B243" t="s">
        <v>97</v>
      </c>
      <c r="C243" t="str">
        <f>_xlfn.XLOOKUP(A243,'[1]Putative species manifest'!A:A,'[1]Putative species manifest'!B:B)</f>
        <v>HETERADENIA</v>
      </c>
      <c r="D243" t="s">
        <v>339</v>
      </c>
      <c r="E243" t="s">
        <v>98</v>
      </c>
      <c r="F243" t="s">
        <v>863</v>
      </c>
      <c r="G243" t="s">
        <v>24</v>
      </c>
      <c r="H243" t="s">
        <v>864</v>
      </c>
      <c r="I243" t="s">
        <v>14</v>
      </c>
      <c r="J243" t="s">
        <v>87</v>
      </c>
      <c r="K243" t="s">
        <v>92</v>
      </c>
      <c r="L243">
        <v>35.099617600000002</v>
      </c>
      <c r="M243">
        <v>-84.555909</v>
      </c>
    </row>
    <row r="244" spans="1:13" x14ac:dyDescent="0.2">
      <c r="A244" t="s">
        <v>866</v>
      </c>
      <c r="B244" t="s">
        <v>97</v>
      </c>
      <c r="C244" t="str">
        <f>_xlfn.XLOOKUP(A244,'[1]Putative species manifest'!A:A,'[1]Putative species manifest'!B:B)</f>
        <v>HETERADENIA</v>
      </c>
      <c r="D244" t="s">
        <v>339</v>
      </c>
      <c r="E244" t="s">
        <v>98</v>
      </c>
      <c r="F244" t="s">
        <v>863</v>
      </c>
      <c r="G244" t="s">
        <v>24</v>
      </c>
      <c r="H244" t="s">
        <v>864</v>
      </c>
      <c r="I244" t="s">
        <v>14</v>
      </c>
      <c r="J244" t="s">
        <v>87</v>
      </c>
      <c r="K244" t="s">
        <v>92</v>
      </c>
      <c r="L244">
        <v>35.099617600000002</v>
      </c>
      <c r="M244">
        <v>-84.555909</v>
      </c>
    </row>
    <row r="245" spans="1:13" x14ac:dyDescent="0.2">
      <c r="A245" t="s">
        <v>867</v>
      </c>
      <c r="B245" t="s">
        <v>97</v>
      </c>
      <c r="C245" t="str">
        <f>_xlfn.XLOOKUP(A245,'[1]Putative species manifest'!A:A,'[1]Putative species manifest'!B:B)</f>
        <v>HETERADENIA</v>
      </c>
      <c r="D245" t="s">
        <v>339</v>
      </c>
      <c r="E245" t="s">
        <v>98</v>
      </c>
      <c r="F245" t="s">
        <v>863</v>
      </c>
      <c r="G245" t="s">
        <v>24</v>
      </c>
      <c r="H245" t="s">
        <v>864</v>
      </c>
      <c r="I245" t="s">
        <v>14</v>
      </c>
      <c r="J245" t="s">
        <v>87</v>
      </c>
      <c r="K245" t="s">
        <v>92</v>
      </c>
      <c r="L245">
        <v>35.099617600000002</v>
      </c>
      <c r="M245">
        <v>-84.555909</v>
      </c>
    </row>
    <row r="246" spans="1:13" x14ac:dyDescent="0.2">
      <c r="A246" t="s">
        <v>868</v>
      </c>
      <c r="B246" t="s">
        <v>97</v>
      </c>
      <c r="C246" t="str">
        <f>_xlfn.XLOOKUP(A246,'[1]Putative species manifest'!A:A,'[1]Putative species manifest'!B:B)</f>
        <v>HETERADENIA</v>
      </c>
      <c r="D246" t="s">
        <v>339</v>
      </c>
      <c r="E246" t="s">
        <v>98</v>
      </c>
      <c r="F246" t="s">
        <v>863</v>
      </c>
      <c r="G246" t="s">
        <v>24</v>
      </c>
      <c r="H246" t="s">
        <v>864</v>
      </c>
      <c r="I246" t="s">
        <v>14</v>
      </c>
      <c r="J246" t="s">
        <v>87</v>
      </c>
      <c r="K246" t="s">
        <v>92</v>
      </c>
      <c r="L246">
        <v>35.099617600000002</v>
      </c>
      <c r="M246">
        <v>-84.555909</v>
      </c>
    </row>
    <row r="247" spans="1:13" x14ac:dyDescent="0.2">
      <c r="A247" t="s">
        <v>869</v>
      </c>
      <c r="B247" t="s">
        <v>97</v>
      </c>
      <c r="C247" t="str">
        <f>_xlfn.XLOOKUP(A247,'[1]Putative species manifest'!A:A,'[1]Putative species manifest'!B:B)</f>
        <v>HETERADENIA</v>
      </c>
      <c r="D247" t="s">
        <v>339</v>
      </c>
      <c r="E247" t="s">
        <v>98</v>
      </c>
      <c r="F247" t="s">
        <v>863</v>
      </c>
      <c r="G247" t="s">
        <v>24</v>
      </c>
      <c r="H247" t="s">
        <v>864</v>
      </c>
      <c r="I247" t="s">
        <v>14</v>
      </c>
      <c r="J247" t="s">
        <v>87</v>
      </c>
      <c r="K247" t="s">
        <v>92</v>
      </c>
      <c r="L247">
        <v>35.099617600000002</v>
      </c>
      <c r="M247">
        <v>-84.555909</v>
      </c>
    </row>
    <row r="248" spans="1:13" x14ac:dyDescent="0.2">
      <c r="A248" t="s">
        <v>422</v>
      </c>
      <c r="B248" t="s">
        <v>38</v>
      </c>
      <c r="C248" t="str">
        <f>_xlfn.XLOOKUP(A248,'[1]Putative species manifest'!A:A,'[1]Putative species manifest'!B:B)</f>
        <v>AMERICANA</v>
      </c>
      <c r="D248" t="s">
        <v>339</v>
      </c>
      <c r="E248" t="s">
        <v>38</v>
      </c>
      <c r="F248" t="s">
        <v>423</v>
      </c>
      <c r="H248" t="s">
        <v>80</v>
      </c>
      <c r="I248" t="s">
        <v>14</v>
      </c>
      <c r="J248" t="s">
        <v>75</v>
      </c>
      <c r="K248" t="s">
        <v>157</v>
      </c>
      <c r="L248">
        <v>35.123052700000002</v>
      </c>
      <c r="M248">
        <v>-83.989822700000005</v>
      </c>
    </row>
    <row r="249" spans="1:13" x14ac:dyDescent="0.2">
      <c r="A249" t="s">
        <v>424</v>
      </c>
      <c r="B249" t="s">
        <v>38</v>
      </c>
      <c r="C249" t="str">
        <f>_xlfn.XLOOKUP(A249,'[1]Putative species manifest'!A:A,'[1]Putative species manifest'!B:B)</f>
        <v>AMERICANA</v>
      </c>
      <c r="D249" t="s">
        <v>339</v>
      </c>
      <c r="E249" t="s">
        <v>38</v>
      </c>
      <c r="F249" t="s">
        <v>423</v>
      </c>
      <c r="H249" t="s">
        <v>80</v>
      </c>
      <c r="I249" t="s">
        <v>14</v>
      </c>
      <c r="J249" t="s">
        <v>75</v>
      </c>
      <c r="K249" t="s">
        <v>157</v>
      </c>
      <c r="L249">
        <v>35.123052700000002</v>
      </c>
      <c r="M249">
        <v>-83.989822700000005</v>
      </c>
    </row>
    <row r="250" spans="1:13" x14ac:dyDescent="0.2">
      <c r="A250" t="s">
        <v>425</v>
      </c>
      <c r="B250" t="s">
        <v>38</v>
      </c>
      <c r="C250" t="str">
        <f>_xlfn.XLOOKUP(A250,'[1]Putative species manifest'!A:A,'[1]Putative species manifest'!B:B)</f>
        <v>AMERICANA</v>
      </c>
      <c r="D250" t="s">
        <v>339</v>
      </c>
      <c r="E250" t="s">
        <v>38</v>
      </c>
      <c r="F250" t="s">
        <v>423</v>
      </c>
      <c r="H250" t="s">
        <v>80</v>
      </c>
      <c r="I250" t="s">
        <v>14</v>
      </c>
      <c r="J250" t="s">
        <v>75</v>
      </c>
      <c r="K250" t="s">
        <v>157</v>
      </c>
      <c r="L250">
        <v>35.123052700000002</v>
      </c>
      <c r="M250">
        <v>-83.989822700000005</v>
      </c>
    </row>
    <row r="251" spans="1:13" x14ac:dyDescent="0.2">
      <c r="A251" t="s">
        <v>426</v>
      </c>
      <c r="B251" t="s">
        <v>38</v>
      </c>
      <c r="C251" t="str">
        <f>_xlfn.XLOOKUP(A251,'[1]Putative species manifest'!A:A,'[1]Putative species manifest'!B:B)</f>
        <v>AMERICANA</v>
      </c>
      <c r="D251" t="s">
        <v>339</v>
      </c>
      <c r="E251" t="s">
        <v>38</v>
      </c>
      <c r="F251" t="s">
        <v>423</v>
      </c>
      <c r="H251" t="s">
        <v>80</v>
      </c>
      <c r="I251" t="s">
        <v>14</v>
      </c>
      <c r="J251" t="s">
        <v>75</v>
      </c>
      <c r="K251" t="s">
        <v>157</v>
      </c>
      <c r="L251">
        <v>35.123052700000002</v>
      </c>
      <c r="M251">
        <v>-83.989822700000005</v>
      </c>
    </row>
    <row r="252" spans="1:13" x14ac:dyDescent="0.2">
      <c r="A252" t="s">
        <v>427</v>
      </c>
      <c r="B252" t="s">
        <v>38</v>
      </c>
      <c r="C252" t="str">
        <f>_xlfn.XLOOKUP(A252,'[1]Putative species manifest'!A:A,'[1]Putative species manifest'!B:B)</f>
        <v>AMERICANA</v>
      </c>
      <c r="D252" t="s">
        <v>339</v>
      </c>
      <c r="E252" t="s">
        <v>38</v>
      </c>
      <c r="F252" t="s">
        <v>423</v>
      </c>
      <c r="H252" t="s">
        <v>80</v>
      </c>
      <c r="I252" t="s">
        <v>14</v>
      </c>
      <c r="J252" t="s">
        <v>75</v>
      </c>
      <c r="K252" t="s">
        <v>157</v>
      </c>
      <c r="L252">
        <v>35.123052700000002</v>
      </c>
      <c r="M252">
        <v>-83.989822700000005</v>
      </c>
    </row>
    <row r="253" spans="1:13" x14ac:dyDescent="0.2">
      <c r="A253" t="s">
        <v>428</v>
      </c>
      <c r="B253" t="s">
        <v>38</v>
      </c>
      <c r="C253" t="str">
        <f>_xlfn.XLOOKUP(A253,'[1]Putative species manifest'!A:A,'[1]Putative species manifest'!B:B)</f>
        <v>AMERICANA</v>
      </c>
      <c r="D253" t="s">
        <v>339</v>
      </c>
      <c r="E253" t="s">
        <v>38</v>
      </c>
      <c r="F253" t="s">
        <v>423</v>
      </c>
      <c r="H253" t="s">
        <v>80</v>
      </c>
      <c r="I253" t="s">
        <v>14</v>
      </c>
      <c r="J253" t="s">
        <v>75</v>
      </c>
      <c r="K253" t="s">
        <v>157</v>
      </c>
      <c r="L253">
        <v>35.123052700000002</v>
      </c>
      <c r="M253">
        <v>-83.989822700000005</v>
      </c>
    </row>
    <row r="254" spans="1:13" x14ac:dyDescent="0.2">
      <c r="A254" t="s">
        <v>429</v>
      </c>
      <c r="B254" t="s">
        <v>38</v>
      </c>
      <c r="C254" t="str">
        <f>_xlfn.XLOOKUP(A254,'[1]Putative species manifest'!A:A,'[1]Putative species manifest'!B:B)</f>
        <v>AMERICANA</v>
      </c>
      <c r="D254" t="s">
        <v>339</v>
      </c>
      <c r="E254" t="s">
        <v>38</v>
      </c>
      <c r="F254" t="s">
        <v>423</v>
      </c>
      <c r="H254" t="s">
        <v>80</v>
      </c>
      <c r="I254" t="s">
        <v>14</v>
      </c>
      <c r="J254" t="s">
        <v>75</v>
      </c>
      <c r="K254" t="s">
        <v>157</v>
      </c>
      <c r="L254">
        <v>35.123052700000002</v>
      </c>
      <c r="M254">
        <v>-83.989822700000005</v>
      </c>
    </row>
    <row r="255" spans="1:13" x14ac:dyDescent="0.2">
      <c r="A255" t="s">
        <v>545</v>
      </c>
      <c r="B255" t="s">
        <v>38</v>
      </c>
      <c r="C255" t="str">
        <f>_xlfn.XLOOKUP(A255,'[1]Putative species manifest'!A:A,'[1]Putative species manifest'!B:B)</f>
        <v>AMERICANA</v>
      </c>
      <c r="D255" t="s">
        <v>396</v>
      </c>
      <c r="E255" t="s">
        <v>38</v>
      </c>
      <c r="F255" t="s">
        <v>79</v>
      </c>
      <c r="H255" t="s">
        <v>80</v>
      </c>
      <c r="I255" t="s">
        <v>14</v>
      </c>
      <c r="J255" t="s">
        <v>75</v>
      </c>
      <c r="K255" t="s">
        <v>81</v>
      </c>
      <c r="L255">
        <v>35.464850499999997</v>
      </c>
      <c r="M255">
        <v>-83.433530899999994</v>
      </c>
    </row>
    <row r="256" spans="1:13" x14ac:dyDescent="0.2">
      <c r="A256" t="s">
        <v>459</v>
      </c>
      <c r="B256" t="s">
        <v>38</v>
      </c>
      <c r="C256" t="str">
        <f>_xlfn.XLOOKUP(A256,'[1]Putative species manifest'!A:A,'[1]Putative species manifest'!B:B)</f>
        <v>AMERICANA</v>
      </c>
      <c r="D256" t="s">
        <v>396</v>
      </c>
      <c r="E256" t="s">
        <v>38</v>
      </c>
      <c r="F256" t="s">
        <v>460</v>
      </c>
      <c r="H256" t="s">
        <v>80</v>
      </c>
      <c r="I256" t="s">
        <v>14</v>
      </c>
      <c r="J256" t="s">
        <v>75</v>
      </c>
      <c r="K256" t="s">
        <v>15</v>
      </c>
      <c r="L256">
        <v>35.248277999999999</v>
      </c>
      <c r="M256">
        <v>-83.086305999999993</v>
      </c>
    </row>
    <row r="257" spans="1:13" x14ac:dyDescent="0.2">
      <c r="A257" t="s">
        <v>461</v>
      </c>
      <c r="B257" t="s">
        <v>38</v>
      </c>
      <c r="C257" t="str">
        <f>_xlfn.XLOOKUP(A257,'[1]Putative species manifest'!A:A,'[1]Putative species manifest'!B:B)</f>
        <v>AMERICANA</v>
      </c>
      <c r="D257" t="s">
        <v>396</v>
      </c>
      <c r="E257" t="s">
        <v>38</v>
      </c>
      <c r="F257" t="s">
        <v>460</v>
      </c>
      <c r="H257" t="s">
        <v>80</v>
      </c>
      <c r="I257" t="s">
        <v>14</v>
      </c>
      <c r="J257" t="s">
        <v>75</v>
      </c>
      <c r="K257" t="s">
        <v>15</v>
      </c>
      <c r="L257">
        <v>35.248277999999999</v>
      </c>
      <c r="M257">
        <v>-83.086305999999993</v>
      </c>
    </row>
    <row r="258" spans="1:13" x14ac:dyDescent="0.2">
      <c r="A258" t="s">
        <v>462</v>
      </c>
      <c r="B258" t="s">
        <v>38</v>
      </c>
      <c r="C258" t="str">
        <f>_xlfn.XLOOKUP(A258,'[1]Putative species manifest'!A:A,'[1]Putative species manifest'!B:B)</f>
        <v>AMERICANA</v>
      </c>
      <c r="D258" t="s">
        <v>396</v>
      </c>
      <c r="E258" t="s">
        <v>38</v>
      </c>
      <c r="F258" t="s">
        <v>460</v>
      </c>
      <c r="H258" t="s">
        <v>80</v>
      </c>
      <c r="I258" t="s">
        <v>14</v>
      </c>
      <c r="J258" t="s">
        <v>75</v>
      </c>
      <c r="K258" t="s">
        <v>15</v>
      </c>
      <c r="L258">
        <v>35.248277999999999</v>
      </c>
      <c r="M258">
        <v>-83.086305999999993</v>
      </c>
    </row>
    <row r="259" spans="1:13" x14ac:dyDescent="0.2">
      <c r="A259" t="s">
        <v>463</v>
      </c>
      <c r="B259" t="s">
        <v>38</v>
      </c>
      <c r="C259" t="str">
        <f>_xlfn.XLOOKUP(A259,'[1]Putative species manifest'!A:A,'[1]Putative species manifest'!B:B)</f>
        <v>AMERICANA</v>
      </c>
      <c r="D259" t="s">
        <v>396</v>
      </c>
      <c r="E259" t="s">
        <v>38</v>
      </c>
      <c r="F259" t="s">
        <v>460</v>
      </c>
      <c r="H259" t="s">
        <v>80</v>
      </c>
      <c r="I259" t="s">
        <v>14</v>
      </c>
      <c r="J259" t="s">
        <v>75</v>
      </c>
      <c r="K259" t="s">
        <v>15</v>
      </c>
      <c r="L259">
        <v>35.248277999999999</v>
      </c>
      <c r="M259">
        <v>-83.086305999999993</v>
      </c>
    </row>
    <row r="260" spans="1:13" x14ac:dyDescent="0.2">
      <c r="A260" t="s">
        <v>1153</v>
      </c>
      <c r="B260" t="s">
        <v>118</v>
      </c>
      <c r="C260" t="str">
        <f>_xlfn.XLOOKUP(A260,'[1]Putative species manifest'!A:A,'[1]Putative species manifest'!B:B)</f>
        <v>AMERICANA</v>
      </c>
      <c r="D260" t="s">
        <v>396</v>
      </c>
      <c r="E260" t="s">
        <v>118</v>
      </c>
      <c r="F260" t="s">
        <v>1154</v>
      </c>
      <c r="G260" t="s">
        <v>24</v>
      </c>
      <c r="H260" t="s">
        <v>1155</v>
      </c>
      <c r="I260" t="s">
        <v>14</v>
      </c>
      <c r="J260" t="s">
        <v>75</v>
      </c>
      <c r="K260" t="s">
        <v>77</v>
      </c>
      <c r="L260">
        <v>35.735357</v>
      </c>
      <c r="M260">
        <v>-82.116328999999993</v>
      </c>
    </row>
    <row r="261" spans="1:13" x14ac:dyDescent="0.2">
      <c r="A261" t="s">
        <v>1156</v>
      </c>
      <c r="B261" t="s">
        <v>118</v>
      </c>
      <c r="C261" t="str">
        <f>_xlfn.XLOOKUP(A261,'[1]Putative species manifest'!A:A,'[1]Putative species manifest'!B:B)</f>
        <v>AMERICANA</v>
      </c>
      <c r="D261" t="s">
        <v>396</v>
      </c>
      <c r="E261" t="s">
        <v>118</v>
      </c>
      <c r="F261" t="s">
        <v>1154</v>
      </c>
      <c r="G261" t="s">
        <v>24</v>
      </c>
      <c r="H261" t="s">
        <v>1155</v>
      </c>
      <c r="I261" t="s">
        <v>14</v>
      </c>
      <c r="J261" t="s">
        <v>75</v>
      </c>
      <c r="K261" t="s">
        <v>77</v>
      </c>
      <c r="L261">
        <v>35.735357</v>
      </c>
      <c r="M261">
        <v>-82.116328999999993</v>
      </c>
    </row>
    <row r="262" spans="1:13" x14ac:dyDescent="0.2">
      <c r="A262" t="s">
        <v>1157</v>
      </c>
      <c r="B262" t="s">
        <v>118</v>
      </c>
      <c r="C262" t="str">
        <f>_xlfn.XLOOKUP(A262,'[1]Putative species manifest'!A:A,'[1]Putative species manifest'!B:B)</f>
        <v>AMERICANA</v>
      </c>
      <c r="D262" t="s">
        <v>396</v>
      </c>
      <c r="E262" t="s">
        <v>118</v>
      </c>
      <c r="F262" t="s">
        <v>1154</v>
      </c>
      <c r="G262" t="s">
        <v>24</v>
      </c>
      <c r="H262" t="s">
        <v>1155</v>
      </c>
      <c r="I262" t="s">
        <v>14</v>
      </c>
      <c r="J262" t="s">
        <v>75</v>
      </c>
      <c r="K262" t="s">
        <v>77</v>
      </c>
      <c r="L262">
        <v>35.735357</v>
      </c>
      <c r="M262">
        <v>-82.116328999999993</v>
      </c>
    </row>
    <row r="263" spans="1:13" x14ac:dyDescent="0.2">
      <c r="A263" t="s">
        <v>1158</v>
      </c>
      <c r="B263" t="s">
        <v>118</v>
      </c>
      <c r="C263" t="str">
        <f>_xlfn.XLOOKUP(A263,'[1]Putative species manifest'!A:A,'[1]Putative species manifest'!B:B)</f>
        <v>AMERICANA</v>
      </c>
      <c r="D263" t="s">
        <v>396</v>
      </c>
      <c r="E263" t="s">
        <v>118</v>
      </c>
      <c r="F263" t="s">
        <v>1154</v>
      </c>
      <c r="G263" t="s">
        <v>24</v>
      </c>
      <c r="H263" t="s">
        <v>1155</v>
      </c>
      <c r="I263" t="s">
        <v>14</v>
      </c>
      <c r="J263" t="s">
        <v>75</v>
      </c>
      <c r="K263" t="s">
        <v>77</v>
      </c>
      <c r="L263">
        <v>35.735357</v>
      </c>
      <c r="M263">
        <v>-82.116328999999993</v>
      </c>
    </row>
    <row r="264" spans="1:13" x14ac:dyDescent="0.2">
      <c r="A264" t="s">
        <v>1159</v>
      </c>
      <c r="B264" t="s">
        <v>118</v>
      </c>
      <c r="C264" t="str">
        <f>_xlfn.XLOOKUP(A264,'[1]Putative species manifest'!A:A,'[1]Putative species manifest'!B:B)</f>
        <v>AMERICANA</v>
      </c>
      <c r="D264" t="s">
        <v>396</v>
      </c>
      <c r="E264" t="s">
        <v>118</v>
      </c>
      <c r="F264" t="s">
        <v>1154</v>
      </c>
      <c r="G264" t="s">
        <v>24</v>
      </c>
      <c r="H264" t="s">
        <v>1155</v>
      </c>
      <c r="I264" t="s">
        <v>14</v>
      </c>
      <c r="J264" t="s">
        <v>75</v>
      </c>
      <c r="K264" t="s">
        <v>77</v>
      </c>
      <c r="L264">
        <v>35.735357</v>
      </c>
      <c r="M264">
        <v>-82.116328999999993</v>
      </c>
    </row>
    <row r="265" spans="1:13" x14ac:dyDescent="0.2">
      <c r="A265" t="s">
        <v>1160</v>
      </c>
      <c r="B265" t="s">
        <v>118</v>
      </c>
      <c r="C265" t="str">
        <f>_xlfn.XLOOKUP(A265,'[1]Putative species manifest'!A:A,'[1]Putative species manifest'!B:B)</f>
        <v>AMERICANA</v>
      </c>
      <c r="D265" t="s">
        <v>396</v>
      </c>
      <c r="E265" t="s">
        <v>118</v>
      </c>
      <c r="F265" t="s">
        <v>1154</v>
      </c>
      <c r="G265" t="s">
        <v>24</v>
      </c>
      <c r="H265" t="s">
        <v>1155</v>
      </c>
      <c r="I265" t="s">
        <v>14</v>
      </c>
      <c r="J265" t="s">
        <v>75</v>
      </c>
      <c r="K265" t="s">
        <v>77</v>
      </c>
      <c r="L265">
        <v>35.735357</v>
      </c>
      <c r="M265">
        <v>-82.116328999999993</v>
      </c>
    </row>
    <row r="266" spans="1:13" x14ac:dyDescent="0.2">
      <c r="A266" t="s">
        <v>1161</v>
      </c>
      <c r="B266" t="s">
        <v>118</v>
      </c>
      <c r="C266" t="str">
        <f>_xlfn.XLOOKUP(A266,'[1]Putative species manifest'!A:A,'[1]Putative species manifest'!B:B)</f>
        <v>AMERICANA</v>
      </c>
      <c r="D266" t="s">
        <v>396</v>
      </c>
      <c r="E266" t="s">
        <v>118</v>
      </c>
      <c r="F266" t="s">
        <v>1154</v>
      </c>
      <c r="G266" t="s">
        <v>24</v>
      </c>
      <c r="H266" t="s">
        <v>1155</v>
      </c>
      <c r="I266" t="s">
        <v>14</v>
      </c>
      <c r="J266" t="s">
        <v>75</v>
      </c>
      <c r="K266" t="s">
        <v>77</v>
      </c>
      <c r="L266">
        <v>35.735357</v>
      </c>
      <c r="M266">
        <v>-82.116328999999993</v>
      </c>
    </row>
    <row r="267" spans="1:13" x14ac:dyDescent="0.2">
      <c r="A267" t="s">
        <v>1162</v>
      </c>
      <c r="B267" t="s">
        <v>118</v>
      </c>
      <c r="C267" t="str">
        <f>_xlfn.XLOOKUP(A267,'[1]Putative species manifest'!A:A,'[1]Putative species manifest'!B:B)</f>
        <v>AMERICANA</v>
      </c>
      <c r="D267" t="s">
        <v>396</v>
      </c>
      <c r="E267" t="s">
        <v>118</v>
      </c>
      <c r="F267" t="s">
        <v>1154</v>
      </c>
      <c r="G267" t="s">
        <v>24</v>
      </c>
      <c r="H267" t="s">
        <v>1155</v>
      </c>
      <c r="I267" t="s">
        <v>14</v>
      </c>
      <c r="J267" t="s">
        <v>75</v>
      </c>
      <c r="K267" t="s">
        <v>77</v>
      </c>
      <c r="L267">
        <v>35.735357</v>
      </c>
      <c r="M267">
        <v>-82.116328999999993</v>
      </c>
    </row>
    <row r="268" spans="1:13" x14ac:dyDescent="0.2">
      <c r="A268" t="s">
        <v>1163</v>
      </c>
      <c r="B268" t="s">
        <v>118</v>
      </c>
      <c r="C268" t="str">
        <f>_xlfn.XLOOKUP(A268,'[1]Putative species manifest'!A:A,'[1]Putative species manifest'!B:B)</f>
        <v>AMERICANA</v>
      </c>
      <c r="D268" t="s">
        <v>396</v>
      </c>
      <c r="E268" t="s">
        <v>118</v>
      </c>
      <c r="F268" t="s">
        <v>1154</v>
      </c>
      <c r="G268" t="s">
        <v>24</v>
      </c>
      <c r="H268" t="s">
        <v>1155</v>
      </c>
      <c r="I268" t="s">
        <v>14</v>
      </c>
      <c r="J268" t="s">
        <v>75</v>
      </c>
      <c r="K268" t="s">
        <v>77</v>
      </c>
      <c r="L268">
        <v>35.735357</v>
      </c>
      <c r="M268">
        <v>-82.116328999999993</v>
      </c>
    </row>
    <row r="269" spans="1:13" x14ac:dyDescent="0.2">
      <c r="A269" t="s">
        <v>346</v>
      </c>
      <c r="B269" t="s">
        <v>38</v>
      </c>
      <c r="C269" t="str">
        <f>_xlfn.XLOOKUP(A269,'[1]Putative species manifest'!A:A,'[1]Putative species manifest'!B:B)</f>
        <v>CALYCOSA</v>
      </c>
      <c r="D269" t="s">
        <v>339</v>
      </c>
      <c r="E269" t="s">
        <v>38</v>
      </c>
      <c r="F269" t="s">
        <v>60</v>
      </c>
      <c r="G269" t="s">
        <v>24</v>
      </c>
      <c r="H269" t="s">
        <v>61</v>
      </c>
      <c r="I269" t="s">
        <v>14</v>
      </c>
      <c r="J269" t="s">
        <v>55</v>
      </c>
      <c r="K269" t="s">
        <v>62</v>
      </c>
      <c r="L269">
        <v>34.619444399999999</v>
      </c>
      <c r="M269">
        <v>-83.792221999999995</v>
      </c>
    </row>
    <row r="270" spans="1:13" x14ac:dyDescent="0.2">
      <c r="A270" t="s">
        <v>347</v>
      </c>
      <c r="B270" t="s">
        <v>38</v>
      </c>
      <c r="C270" t="str">
        <f>_xlfn.XLOOKUP(A270,'[1]Putative species manifest'!A:A,'[1]Putative species manifest'!B:B)</f>
        <v>CALYCOSA</v>
      </c>
      <c r="D270" t="s">
        <v>339</v>
      </c>
      <c r="E270" t="s">
        <v>38</v>
      </c>
      <c r="F270" t="s">
        <v>60</v>
      </c>
      <c r="G270" t="s">
        <v>24</v>
      </c>
      <c r="H270" t="s">
        <v>61</v>
      </c>
      <c r="I270" t="s">
        <v>14</v>
      </c>
      <c r="J270" t="s">
        <v>55</v>
      </c>
      <c r="K270" t="s">
        <v>62</v>
      </c>
      <c r="L270">
        <v>34.619444399999999</v>
      </c>
      <c r="M270">
        <v>-83.792221999999995</v>
      </c>
    </row>
    <row r="271" spans="1:13" x14ac:dyDescent="0.2">
      <c r="A271" t="s">
        <v>347</v>
      </c>
      <c r="B271" t="s">
        <v>38</v>
      </c>
      <c r="C271" t="str">
        <f>_xlfn.XLOOKUP(A271,'[1]Putative species manifest'!A:A,'[1]Putative species manifest'!B:B)</f>
        <v>CALYCOSA</v>
      </c>
      <c r="D271" t="s">
        <v>339</v>
      </c>
      <c r="E271" t="s">
        <v>38</v>
      </c>
      <c r="F271" t="s">
        <v>60</v>
      </c>
      <c r="G271" t="s">
        <v>24</v>
      </c>
      <c r="H271" t="s">
        <v>61</v>
      </c>
      <c r="I271" t="s">
        <v>14</v>
      </c>
      <c r="J271" t="s">
        <v>55</v>
      </c>
      <c r="K271" t="s">
        <v>62</v>
      </c>
      <c r="L271">
        <v>34.619444399999999</v>
      </c>
      <c r="M271">
        <v>-83.792221999999995</v>
      </c>
    </row>
    <row r="272" spans="1:13" x14ac:dyDescent="0.2">
      <c r="A272" t="s">
        <v>395</v>
      </c>
      <c r="B272" t="s">
        <v>38</v>
      </c>
      <c r="C272" t="str">
        <f>_xlfn.XLOOKUP(A272,'[1]Putative species manifest'!A:A,'[1]Putative species manifest'!B:B)</f>
        <v>AMERICANA</v>
      </c>
      <c r="D272" t="s">
        <v>396</v>
      </c>
      <c r="E272" t="s">
        <v>38</v>
      </c>
      <c r="F272" t="s">
        <v>397</v>
      </c>
      <c r="G272" t="s">
        <v>24</v>
      </c>
      <c r="H272" t="s">
        <v>80</v>
      </c>
      <c r="I272" t="s">
        <v>14</v>
      </c>
      <c r="J272" t="s">
        <v>75</v>
      </c>
      <c r="K272" t="s">
        <v>398</v>
      </c>
      <c r="L272">
        <v>35.966166000000001</v>
      </c>
      <c r="M272">
        <v>-81.114492299999995</v>
      </c>
    </row>
    <row r="273" spans="1:13" x14ac:dyDescent="0.2">
      <c r="A273" t="s">
        <v>399</v>
      </c>
      <c r="B273" t="s">
        <v>38</v>
      </c>
      <c r="C273" t="str">
        <f>_xlfn.XLOOKUP(A273,'[1]Putative species manifest'!A:A,'[1]Putative species manifest'!B:B)</f>
        <v>AMERICANA</v>
      </c>
      <c r="D273" t="s">
        <v>396</v>
      </c>
      <c r="E273" t="s">
        <v>38</v>
      </c>
      <c r="F273" t="s">
        <v>397</v>
      </c>
      <c r="G273" t="s">
        <v>24</v>
      </c>
      <c r="H273" t="s">
        <v>80</v>
      </c>
      <c r="I273" t="s">
        <v>14</v>
      </c>
      <c r="J273" t="s">
        <v>75</v>
      </c>
      <c r="K273" t="s">
        <v>398</v>
      </c>
      <c r="L273">
        <v>35.966166000000001</v>
      </c>
      <c r="M273">
        <v>-81.114492299999995</v>
      </c>
    </row>
    <row r="274" spans="1:13" x14ac:dyDescent="0.2">
      <c r="A274" t="s">
        <v>400</v>
      </c>
      <c r="B274" t="s">
        <v>38</v>
      </c>
      <c r="C274" t="str">
        <f>_xlfn.XLOOKUP(A274,'[1]Putative species manifest'!A:A,'[1]Putative species manifest'!B:B)</f>
        <v>AMERICANA</v>
      </c>
      <c r="D274" t="s">
        <v>396</v>
      </c>
      <c r="E274" t="s">
        <v>38</v>
      </c>
      <c r="F274" t="s">
        <v>397</v>
      </c>
      <c r="G274" t="s">
        <v>24</v>
      </c>
      <c r="H274" t="s">
        <v>80</v>
      </c>
      <c r="I274" t="s">
        <v>14</v>
      </c>
      <c r="J274" t="s">
        <v>75</v>
      </c>
      <c r="K274" t="s">
        <v>398</v>
      </c>
      <c r="L274">
        <v>35.966166000000001</v>
      </c>
      <c r="M274">
        <v>-81.114492299999995</v>
      </c>
    </row>
    <row r="275" spans="1:13" x14ac:dyDescent="0.2">
      <c r="A275" t="s">
        <v>401</v>
      </c>
      <c r="B275" t="s">
        <v>38</v>
      </c>
      <c r="C275" t="str">
        <f>_xlfn.XLOOKUP(A275,'[1]Putative species manifest'!A:A,'[1]Putative species manifest'!B:B)</f>
        <v>AMERICANA</v>
      </c>
      <c r="D275" t="s">
        <v>396</v>
      </c>
      <c r="E275" t="s">
        <v>38</v>
      </c>
      <c r="F275" t="s">
        <v>397</v>
      </c>
      <c r="G275" t="s">
        <v>24</v>
      </c>
      <c r="H275" t="s">
        <v>80</v>
      </c>
      <c r="I275" t="s">
        <v>14</v>
      </c>
      <c r="J275" t="s">
        <v>75</v>
      </c>
      <c r="K275" t="s">
        <v>398</v>
      </c>
      <c r="L275">
        <v>35.966166000000001</v>
      </c>
      <c r="M275">
        <v>-81.114492299999995</v>
      </c>
    </row>
    <row r="276" spans="1:13" x14ac:dyDescent="0.2">
      <c r="A276" t="s">
        <v>870</v>
      </c>
      <c r="B276" t="s">
        <v>97</v>
      </c>
      <c r="C276" t="str">
        <f>_xlfn.XLOOKUP(A276,'[1]Putative species manifest'!A:A,'[1]Putative species manifest'!B:B)</f>
        <v>HETERADENIA</v>
      </c>
      <c r="D276" t="s">
        <v>339</v>
      </c>
      <c r="E276" t="s">
        <v>98</v>
      </c>
      <c r="F276" t="s">
        <v>871</v>
      </c>
      <c r="G276" t="s">
        <v>24</v>
      </c>
      <c r="H276" t="s">
        <v>872</v>
      </c>
      <c r="I276" t="s">
        <v>14</v>
      </c>
      <c r="J276" t="s">
        <v>87</v>
      </c>
      <c r="K276" t="s">
        <v>93</v>
      </c>
      <c r="L276">
        <v>35.695777999999997</v>
      </c>
      <c r="M276">
        <v>-83.389555999999999</v>
      </c>
    </row>
    <row r="277" spans="1:13" x14ac:dyDescent="0.2">
      <c r="A277" t="s">
        <v>873</v>
      </c>
      <c r="B277" t="s">
        <v>97</v>
      </c>
      <c r="C277" t="str">
        <f>_xlfn.XLOOKUP(A277,'[1]Putative species manifest'!A:A,'[1]Putative species manifest'!B:B)</f>
        <v>HETERADENIA</v>
      </c>
      <c r="D277" t="s">
        <v>339</v>
      </c>
      <c r="E277" t="s">
        <v>98</v>
      </c>
      <c r="F277" t="s">
        <v>871</v>
      </c>
      <c r="G277" t="s">
        <v>24</v>
      </c>
      <c r="H277" t="s">
        <v>872</v>
      </c>
      <c r="I277" t="s">
        <v>14</v>
      </c>
      <c r="J277" t="s">
        <v>87</v>
      </c>
      <c r="K277" t="s">
        <v>93</v>
      </c>
      <c r="L277">
        <v>35.695777999999997</v>
      </c>
      <c r="M277">
        <v>-83.389555999999999</v>
      </c>
    </row>
    <row r="278" spans="1:13" x14ac:dyDescent="0.2">
      <c r="A278" t="s">
        <v>874</v>
      </c>
      <c r="B278" t="s">
        <v>97</v>
      </c>
      <c r="C278" t="str">
        <f>_xlfn.XLOOKUP(A278,'[1]Putative species manifest'!A:A,'[1]Putative species manifest'!B:B)</f>
        <v>HETERADENIA</v>
      </c>
      <c r="D278" t="s">
        <v>339</v>
      </c>
      <c r="E278" t="s">
        <v>98</v>
      </c>
      <c r="F278" t="s">
        <v>871</v>
      </c>
      <c r="G278" t="s">
        <v>24</v>
      </c>
      <c r="H278" t="s">
        <v>872</v>
      </c>
      <c r="I278" t="s">
        <v>14</v>
      </c>
      <c r="J278" t="s">
        <v>87</v>
      </c>
      <c r="K278" t="s">
        <v>93</v>
      </c>
      <c r="L278">
        <v>35.695777999999997</v>
      </c>
      <c r="M278">
        <v>-83.389555999999999</v>
      </c>
    </row>
    <row r="279" spans="1:13" x14ac:dyDescent="0.2">
      <c r="A279" t="s">
        <v>875</v>
      </c>
      <c r="B279" t="s">
        <v>97</v>
      </c>
      <c r="C279" t="str">
        <f>_xlfn.XLOOKUP(A279,'[1]Putative species manifest'!A:A,'[1]Putative species manifest'!B:B)</f>
        <v>HETERADENIA</v>
      </c>
      <c r="D279" t="s">
        <v>339</v>
      </c>
      <c r="E279" t="s">
        <v>98</v>
      </c>
      <c r="F279" t="s">
        <v>876</v>
      </c>
      <c r="G279" t="s">
        <v>24</v>
      </c>
      <c r="H279" t="s">
        <v>877</v>
      </c>
      <c r="I279" t="s">
        <v>14</v>
      </c>
      <c r="J279" t="s">
        <v>87</v>
      </c>
      <c r="K279" t="s">
        <v>93</v>
      </c>
      <c r="L279">
        <v>35.695777999999997</v>
      </c>
      <c r="M279">
        <v>-83.389555999999999</v>
      </c>
    </row>
    <row r="280" spans="1:13" x14ac:dyDescent="0.2">
      <c r="A280" t="s">
        <v>878</v>
      </c>
      <c r="B280" t="s">
        <v>97</v>
      </c>
      <c r="C280" t="str">
        <f>_xlfn.XLOOKUP(A280,'[1]Putative species manifest'!A:A,'[1]Putative species manifest'!B:B)</f>
        <v>HETERADENIA</v>
      </c>
      <c r="D280" t="s">
        <v>339</v>
      </c>
      <c r="E280" t="s">
        <v>98</v>
      </c>
      <c r="F280" t="s">
        <v>876</v>
      </c>
      <c r="G280" t="s">
        <v>24</v>
      </c>
      <c r="H280" t="s">
        <v>877</v>
      </c>
      <c r="I280" t="s">
        <v>14</v>
      </c>
      <c r="J280" t="s">
        <v>87</v>
      </c>
      <c r="K280" t="s">
        <v>93</v>
      </c>
      <c r="L280">
        <v>35.695777999999997</v>
      </c>
      <c r="M280">
        <v>-83.389555999999999</v>
      </c>
    </row>
    <row r="281" spans="1:13" x14ac:dyDescent="0.2">
      <c r="A281" t="s">
        <v>879</v>
      </c>
      <c r="B281" t="s">
        <v>97</v>
      </c>
      <c r="C281" t="str">
        <f>_xlfn.XLOOKUP(A281,'[1]Putative species manifest'!A:A,'[1]Putative species manifest'!B:B)</f>
        <v>HETERADENIA</v>
      </c>
      <c r="D281" t="s">
        <v>339</v>
      </c>
      <c r="E281" t="s">
        <v>98</v>
      </c>
      <c r="F281" t="s">
        <v>876</v>
      </c>
      <c r="G281" t="s">
        <v>24</v>
      </c>
      <c r="H281" t="s">
        <v>877</v>
      </c>
      <c r="I281" t="s">
        <v>14</v>
      </c>
      <c r="J281" t="s">
        <v>87</v>
      </c>
      <c r="K281" t="s">
        <v>93</v>
      </c>
      <c r="L281">
        <v>35.695777999999997</v>
      </c>
      <c r="M281">
        <v>-83.389555999999999</v>
      </c>
    </row>
    <row r="282" spans="1:13" x14ac:dyDescent="0.2">
      <c r="A282" t="s">
        <v>880</v>
      </c>
      <c r="B282" t="s">
        <v>97</v>
      </c>
      <c r="C282" t="str">
        <f>_xlfn.XLOOKUP(A282,'[1]Putative species manifest'!A:A,'[1]Putative species manifest'!B:B)</f>
        <v>HETERADENIA</v>
      </c>
      <c r="D282" t="s">
        <v>339</v>
      </c>
      <c r="E282" t="s">
        <v>98</v>
      </c>
      <c r="F282" t="s">
        <v>876</v>
      </c>
      <c r="G282" t="s">
        <v>24</v>
      </c>
      <c r="H282" t="s">
        <v>877</v>
      </c>
      <c r="I282" t="s">
        <v>14</v>
      </c>
      <c r="J282" t="s">
        <v>87</v>
      </c>
      <c r="K282" t="s">
        <v>93</v>
      </c>
      <c r="L282">
        <v>35.695777999999997</v>
      </c>
      <c r="M282">
        <v>-83.389555999999999</v>
      </c>
    </row>
    <row r="283" spans="1:13" x14ac:dyDescent="0.2">
      <c r="A283" t="s">
        <v>881</v>
      </c>
      <c r="B283" t="s">
        <v>97</v>
      </c>
      <c r="C283" t="str">
        <f>_xlfn.XLOOKUP(A283,'[1]Putative species manifest'!A:A,'[1]Putative species manifest'!B:B)</f>
        <v>HETERADENIA</v>
      </c>
      <c r="D283" t="s">
        <v>339</v>
      </c>
      <c r="E283" t="s">
        <v>98</v>
      </c>
      <c r="F283" t="s">
        <v>876</v>
      </c>
      <c r="G283" t="s">
        <v>24</v>
      </c>
      <c r="H283" t="s">
        <v>877</v>
      </c>
      <c r="I283" t="s">
        <v>14</v>
      </c>
      <c r="J283" t="s">
        <v>87</v>
      </c>
      <c r="K283" t="s">
        <v>93</v>
      </c>
      <c r="L283">
        <v>35.695777999999997</v>
      </c>
      <c r="M283">
        <v>-83.389555999999999</v>
      </c>
    </row>
    <row r="284" spans="1:13" x14ac:dyDescent="0.2">
      <c r="A284" t="s">
        <v>882</v>
      </c>
      <c r="B284" t="s">
        <v>97</v>
      </c>
      <c r="C284" t="str">
        <f>_xlfn.XLOOKUP(A284,'[1]Putative species manifest'!A:A,'[1]Putative species manifest'!B:B)</f>
        <v>HETERADENIA</v>
      </c>
      <c r="D284" t="s">
        <v>339</v>
      </c>
      <c r="E284" t="s">
        <v>98</v>
      </c>
      <c r="F284" t="s">
        <v>876</v>
      </c>
      <c r="G284" t="s">
        <v>24</v>
      </c>
      <c r="H284" t="s">
        <v>877</v>
      </c>
      <c r="I284" t="s">
        <v>14</v>
      </c>
      <c r="J284" t="s">
        <v>87</v>
      </c>
      <c r="K284" t="s">
        <v>93</v>
      </c>
      <c r="L284">
        <v>35.695777999999997</v>
      </c>
      <c r="M284">
        <v>-83.389555999999999</v>
      </c>
    </row>
    <row r="285" spans="1:13" x14ac:dyDescent="0.2">
      <c r="A285" t="s">
        <v>883</v>
      </c>
      <c r="B285" t="s">
        <v>97</v>
      </c>
      <c r="C285" t="str">
        <f>_xlfn.XLOOKUP(A285,'[1]Putative species manifest'!A:A,'[1]Putative species manifest'!B:B)</f>
        <v>HETERADENIA</v>
      </c>
      <c r="D285" t="s">
        <v>339</v>
      </c>
      <c r="E285" t="s">
        <v>98</v>
      </c>
      <c r="F285" t="s">
        <v>876</v>
      </c>
      <c r="G285" t="s">
        <v>24</v>
      </c>
      <c r="H285" t="s">
        <v>877</v>
      </c>
      <c r="I285" t="s">
        <v>14</v>
      </c>
      <c r="J285" t="s">
        <v>87</v>
      </c>
      <c r="K285" t="s">
        <v>93</v>
      </c>
      <c r="L285">
        <v>35.695777999999997</v>
      </c>
      <c r="M285">
        <v>-83.389555999999999</v>
      </c>
    </row>
    <row r="286" spans="1:13" x14ac:dyDescent="0.2">
      <c r="A286" t="s">
        <v>884</v>
      </c>
      <c r="B286" t="s">
        <v>97</v>
      </c>
      <c r="C286" t="str">
        <f>_xlfn.XLOOKUP(A286,'[1]Putative species manifest'!A:A,'[1]Putative species manifest'!B:B)</f>
        <v>HETERADENIA</v>
      </c>
      <c r="D286" t="s">
        <v>339</v>
      </c>
      <c r="E286" t="s">
        <v>98</v>
      </c>
      <c r="F286" t="s">
        <v>876</v>
      </c>
      <c r="G286" t="s">
        <v>24</v>
      </c>
      <c r="H286" t="s">
        <v>877</v>
      </c>
      <c r="I286" t="s">
        <v>14</v>
      </c>
      <c r="J286" t="s">
        <v>87</v>
      </c>
      <c r="K286" t="s">
        <v>93</v>
      </c>
      <c r="L286">
        <v>35.695777999999997</v>
      </c>
      <c r="M286">
        <v>-83.389555999999999</v>
      </c>
    </row>
    <row r="287" spans="1:13" x14ac:dyDescent="0.2">
      <c r="A287" t="s">
        <v>885</v>
      </c>
      <c r="B287" t="s">
        <v>97</v>
      </c>
      <c r="C287" t="str">
        <f>_xlfn.XLOOKUP(A287,'[1]Putative species manifest'!A:A,'[1]Putative species manifest'!B:B)</f>
        <v>HETERADENIA</v>
      </c>
      <c r="D287" t="s">
        <v>339</v>
      </c>
      <c r="E287" t="s">
        <v>98</v>
      </c>
      <c r="F287" t="s">
        <v>876</v>
      </c>
      <c r="G287" t="s">
        <v>24</v>
      </c>
      <c r="H287" t="s">
        <v>877</v>
      </c>
      <c r="I287" t="s">
        <v>14</v>
      </c>
      <c r="J287" t="s">
        <v>87</v>
      </c>
      <c r="K287" t="s">
        <v>93</v>
      </c>
      <c r="L287">
        <v>35.695777999999997</v>
      </c>
      <c r="M287">
        <v>-83.389555999999999</v>
      </c>
    </row>
    <row r="288" spans="1:13" x14ac:dyDescent="0.2">
      <c r="A288" t="s">
        <v>886</v>
      </c>
      <c r="B288" t="s">
        <v>97</v>
      </c>
      <c r="C288" t="str">
        <f>_xlfn.XLOOKUP(A288,'[1]Putative species manifest'!A:A,'[1]Putative species manifest'!B:B)</f>
        <v>HETERADENIA</v>
      </c>
      <c r="D288" t="s">
        <v>339</v>
      </c>
      <c r="E288" t="s">
        <v>98</v>
      </c>
      <c r="F288" t="s">
        <v>876</v>
      </c>
      <c r="G288" t="s">
        <v>24</v>
      </c>
      <c r="H288" t="s">
        <v>877</v>
      </c>
      <c r="I288" t="s">
        <v>14</v>
      </c>
      <c r="J288" t="s">
        <v>87</v>
      </c>
      <c r="K288" t="s">
        <v>93</v>
      </c>
      <c r="L288">
        <v>35.695777999999997</v>
      </c>
      <c r="M288">
        <v>-83.389555999999999</v>
      </c>
    </row>
    <row r="289" spans="1:13" x14ac:dyDescent="0.2">
      <c r="A289" t="s">
        <v>616</v>
      </c>
      <c r="B289" t="s">
        <v>38</v>
      </c>
      <c r="C289" t="str">
        <f>_xlfn.XLOOKUP(A289,'[1]Putative species manifest'!A:A,'[1]Putative species manifest'!B:B)</f>
        <v>AMERICANA</v>
      </c>
      <c r="D289" t="s">
        <v>249</v>
      </c>
      <c r="E289" t="s">
        <v>43</v>
      </c>
      <c r="F289" t="s">
        <v>617</v>
      </c>
      <c r="G289" t="s">
        <v>24</v>
      </c>
      <c r="H289" t="s">
        <v>99</v>
      </c>
      <c r="I289" t="s">
        <v>14</v>
      </c>
      <c r="J289" t="s">
        <v>85</v>
      </c>
      <c r="K289" t="s">
        <v>618</v>
      </c>
      <c r="L289">
        <v>34.097222199999997</v>
      </c>
      <c r="M289">
        <v>-82.351388999999998</v>
      </c>
    </row>
    <row r="290" spans="1:13" x14ac:dyDescent="0.2">
      <c r="A290" t="s">
        <v>619</v>
      </c>
      <c r="B290" t="s">
        <v>38</v>
      </c>
      <c r="C290" t="str">
        <f>_xlfn.XLOOKUP(A290,'[1]Putative species manifest'!A:A,'[1]Putative species manifest'!B:B)</f>
        <v>AMERICANA</v>
      </c>
      <c r="D290" t="s">
        <v>249</v>
      </c>
      <c r="E290" t="s">
        <v>43</v>
      </c>
      <c r="F290" t="s">
        <v>617</v>
      </c>
      <c r="G290" t="s">
        <v>24</v>
      </c>
      <c r="H290" t="s">
        <v>99</v>
      </c>
      <c r="I290" t="s">
        <v>14</v>
      </c>
      <c r="J290" t="s">
        <v>85</v>
      </c>
      <c r="K290" t="s">
        <v>618</v>
      </c>
      <c r="L290">
        <v>34.097222199999997</v>
      </c>
      <c r="M290">
        <v>-82.351388999999998</v>
      </c>
    </row>
    <row r="291" spans="1:13" x14ac:dyDescent="0.2">
      <c r="A291" t="s">
        <v>620</v>
      </c>
      <c r="B291" t="s">
        <v>38</v>
      </c>
      <c r="C291" t="str">
        <f>_xlfn.XLOOKUP(A291,'[1]Putative species manifest'!A:A,'[1]Putative species manifest'!B:B)</f>
        <v>AMERICANA</v>
      </c>
      <c r="D291" t="s">
        <v>249</v>
      </c>
      <c r="E291" t="s">
        <v>43</v>
      </c>
      <c r="F291" t="s">
        <v>617</v>
      </c>
      <c r="G291" t="s">
        <v>24</v>
      </c>
      <c r="H291" t="s">
        <v>99</v>
      </c>
      <c r="I291" t="s">
        <v>14</v>
      </c>
      <c r="J291" t="s">
        <v>85</v>
      </c>
      <c r="K291" t="s">
        <v>618</v>
      </c>
      <c r="L291">
        <v>34.097222199999997</v>
      </c>
      <c r="M291">
        <v>-82.351388999999998</v>
      </c>
    </row>
    <row r="292" spans="1:13" x14ac:dyDescent="0.2">
      <c r="A292" t="s">
        <v>621</v>
      </c>
      <c r="B292" t="s">
        <v>38</v>
      </c>
      <c r="C292" t="str">
        <f>_xlfn.XLOOKUP(A292,'[1]Putative species manifest'!A:A,'[1]Putative species manifest'!B:B)</f>
        <v>AMERICANA</v>
      </c>
      <c r="D292" t="s">
        <v>249</v>
      </c>
      <c r="E292" t="s">
        <v>43</v>
      </c>
      <c r="F292" t="s">
        <v>617</v>
      </c>
      <c r="G292" t="s">
        <v>24</v>
      </c>
      <c r="H292" t="s">
        <v>99</v>
      </c>
      <c r="I292" t="s">
        <v>14</v>
      </c>
      <c r="J292" t="s">
        <v>85</v>
      </c>
      <c r="K292" t="s">
        <v>618</v>
      </c>
      <c r="L292">
        <v>34.097222199999997</v>
      </c>
      <c r="M292">
        <v>-82.351388999999998</v>
      </c>
    </row>
    <row r="293" spans="1:13" x14ac:dyDescent="0.2">
      <c r="A293" t="s">
        <v>621</v>
      </c>
      <c r="B293" t="s">
        <v>38</v>
      </c>
      <c r="C293" t="str">
        <f>_xlfn.XLOOKUP(A293,'[1]Putative species manifest'!A:A,'[1]Putative species manifest'!B:B)</f>
        <v>AMERICANA</v>
      </c>
      <c r="D293" t="s">
        <v>249</v>
      </c>
      <c r="E293" t="s">
        <v>43</v>
      </c>
      <c r="F293" t="s">
        <v>617</v>
      </c>
      <c r="G293" t="s">
        <v>24</v>
      </c>
      <c r="H293" t="s">
        <v>99</v>
      </c>
      <c r="I293" t="s">
        <v>14</v>
      </c>
      <c r="J293" t="s">
        <v>85</v>
      </c>
      <c r="K293" t="s">
        <v>618</v>
      </c>
      <c r="L293">
        <v>34.097222199999997</v>
      </c>
      <c r="M293">
        <v>-82.351388999999998</v>
      </c>
    </row>
    <row r="294" spans="1:13" x14ac:dyDescent="0.2">
      <c r="A294" t="s">
        <v>328</v>
      </c>
      <c r="B294" t="s">
        <v>38</v>
      </c>
      <c r="C294" t="str">
        <f>_xlfn.XLOOKUP(A294,'[1]Putative species manifest'!A:A,'[1]Putative species manifest'!B:B)</f>
        <v>CALYCOSA</v>
      </c>
      <c r="D294" t="s">
        <v>249</v>
      </c>
      <c r="E294" t="s">
        <v>43</v>
      </c>
      <c r="F294" t="s">
        <v>329</v>
      </c>
      <c r="G294" t="s">
        <v>24</v>
      </c>
      <c r="H294" t="s">
        <v>330</v>
      </c>
      <c r="I294" t="s">
        <v>14</v>
      </c>
      <c r="J294" t="s">
        <v>55</v>
      </c>
      <c r="K294" t="s">
        <v>331</v>
      </c>
      <c r="L294">
        <v>33.255555600000001</v>
      </c>
      <c r="M294">
        <v>-83.682500000000005</v>
      </c>
    </row>
    <row r="295" spans="1:13" x14ac:dyDescent="0.2">
      <c r="A295" t="s">
        <v>1033</v>
      </c>
      <c r="B295" t="s">
        <v>100</v>
      </c>
      <c r="C295" t="str">
        <f>_xlfn.XLOOKUP(A295,'[1]Putative species manifest'!A:A,'[1]Putative species manifest'!B:B)</f>
        <v>HIRSUTICAULIS</v>
      </c>
      <c r="D295" t="s">
        <v>1034</v>
      </c>
      <c r="E295" t="s">
        <v>107</v>
      </c>
      <c r="F295" t="s">
        <v>108</v>
      </c>
      <c r="G295" t="s">
        <v>24</v>
      </c>
      <c r="H295" t="s">
        <v>109</v>
      </c>
      <c r="I295" t="s">
        <v>14</v>
      </c>
      <c r="J295" t="s">
        <v>63</v>
      </c>
      <c r="K295" t="s">
        <v>110</v>
      </c>
      <c r="L295">
        <v>40.338055599999997</v>
      </c>
      <c r="M295">
        <v>-87.316389000000001</v>
      </c>
    </row>
    <row r="296" spans="1:13" x14ac:dyDescent="0.2">
      <c r="A296" t="s">
        <v>1035</v>
      </c>
      <c r="B296" t="s">
        <v>100</v>
      </c>
      <c r="C296" t="str">
        <f>_xlfn.XLOOKUP(A296,'[1]Putative species manifest'!A:A,'[1]Putative species manifest'!B:B)</f>
        <v>HIRSUTICAULIS</v>
      </c>
      <c r="D296" t="s">
        <v>1034</v>
      </c>
      <c r="E296" t="s">
        <v>107</v>
      </c>
      <c r="F296" t="s">
        <v>108</v>
      </c>
      <c r="G296" t="s">
        <v>24</v>
      </c>
      <c r="H296" t="s">
        <v>109</v>
      </c>
      <c r="I296" t="s">
        <v>14</v>
      </c>
      <c r="J296" t="s">
        <v>63</v>
      </c>
      <c r="K296" t="s">
        <v>110</v>
      </c>
      <c r="L296">
        <v>40.338055599999997</v>
      </c>
      <c r="M296">
        <v>-87.316389000000001</v>
      </c>
    </row>
    <row r="297" spans="1:13" x14ac:dyDescent="0.2">
      <c r="A297" t="s">
        <v>1036</v>
      </c>
      <c r="B297" t="s">
        <v>100</v>
      </c>
      <c r="C297" t="str">
        <f>_xlfn.XLOOKUP(A297,'[1]Putative species manifest'!A:A,'[1]Putative species manifest'!B:B)</f>
        <v>HIRSUTICAULIS</v>
      </c>
      <c r="D297" t="s">
        <v>1034</v>
      </c>
      <c r="E297" t="s">
        <v>107</v>
      </c>
      <c r="F297" t="s">
        <v>108</v>
      </c>
      <c r="G297" t="s">
        <v>24</v>
      </c>
      <c r="H297" t="s">
        <v>109</v>
      </c>
      <c r="I297" t="s">
        <v>14</v>
      </c>
      <c r="J297" t="s">
        <v>63</v>
      </c>
      <c r="K297" t="s">
        <v>110</v>
      </c>
      <c r="L297">
        <v>40.338055599999997</v>
      </c>
      <c r="M297">
        <v>-87.316389000000001</v>
      </c>
    </row>
    <row r="298" spans="1:13" x14ac:dyDescent="0.2">
      <c r="A298" t="s">
        <v>297</v>
      </c>
      <c r="B298" t="s">
        <v>38</v>
      </c>
      <c r="C298" t="str">
        <f>_xlfn.XLOOKUP(A298,'[1]Putative species manifest'!A:A,'[1]Putative species manifest'!B:B)</f>
        <v>CALYCOSA</v>
      </c>
      <c r="D298" t="s">
        <v>249</v>
      </c>
      <c r="E298" t="s">
        <v>43</v>
      </c>
      <c r="F298" t="s">
        <v>298</v>
      </c>
      <c r="G298" t="s">
        <v>39</v>
      </c>
      <c r="H298" t="s">
        <v>299</v>
      </c>
      <c r="I298" t="s">
        <v>14</v>
      </c>
      <c r="J298" t="s">
        <v>40</v>
      </c>
      <c r="K298" t="s">
        <v>300</v>
      </c>
      <c r="L298">
        <v>33.183990999999999</v>
      </c>
      <c r="M298">
        <v>-86.999559000000005</v>
      </c>
    </row>
    <row r="299" spans="1:13" x14ac:dyDescent="0.2">
      <c r="A299" t="s">
        <v>288</v>
      </c>
      <c r="B299" t="s">
        <v>38</v>
      </c>
      <c r="C299" t="str">
        <f>_xlfn.XLOOKUP(A299,'[1]Putative species manifest'!A:A,'[1]Putative species manifest'!B:B)</f>
        <v>CALYCOSA</v>
      </c>
      <c r="D299" t="s">
        <v>244</v>
      </c>
      <c r="E299" t="s">
        <v>50</v>
      </c>
      <c r="F299" t="s">
        <v>289</v>
      </c>
      <c r="G299" t="s">
        <v>39</v>
      </c>
      <c r="H299" t="s">
        <v>290</v>
      </c>
      <c r="I299" t="s">
        <v>14</v>
      </c>
      <c r="J299" t="s">
        <v>40</v>
      </c>
      <c r="K299" t="s">
        <v>291</v>
      </c>
      <c r="L299">
        <v>33.522818399999998</v>
      </c>
      <c r="M299">
        <v>-86.916451300000006</v>
      </c>
    </row>
    <row r="300" spans="1:13" x14ac:dyDescent="0.2">
      <c r="A300" t="s">
        <v>622</v>
      </c>
      <c r="B300" t="s">
        <v>38</v>
      </c>
      <c r="C300" t="str">
        <f>_xlfn.XLOOKUP(A300,'[1]Putative species manifest'!A:A,'[1]Putative species manifest'!B:B)</f>
        <v>AMERICANA</v>
      </c>
      <c r="D300" t="s">
        <v>249</v>
      </c>
      <c r="E300" t="s">
        <v>43</v>
      </c>
      <c r="F300" t="s">
        <v>623</v>
      </c>
      <c r="G300" t="s">
        <v>17</v>
      </c>
      <c r="H300" t="s">
        <v>624</v>
      </c>
      <c r="I300" t="s">
        <v>14</v>
      </c>
      <c r="J300" t="s">
        <v>85</v>
      </c>
      <c r="K300" t="s">
        <v>618</v>
      </c>
      <c r="L300">
        <v>34.096110000000003</v>
      </c>
      <c r="M300">
        <v>-82.344593000000003</v>
      </c>
    </row>
    <row r="301" spans="1:13" x14ac:dyDescent="0.2">
      <c r="A301" t="s">
        <v>625</v>
      </c>
      <c r="B301" t="s">
        <v>38</v>
      </c>
      <c r="C301" t="str">
        <f>_xlfn.XLOOKUP(A301,'[1]Putative species manifest'!A:A,'[1]Putative species manifest'!B:B)</f>
        <v>AMERICANA</v>
      </c>
      <c r="D301" t="s">
        <v>320</v>
      </c>
      <c r="E301" t="s">
        <v>38</v>
      </c>
      <c r="F301" t="s">
        <v>626</v>
      </c>
      <c r="G301" t="s">
        <v>17</v>
      </c>
      <c r="H301" t="s">
        <v>627</v>
      </c>
      <c r="I301" t="s">
        <v>14</v>
      </c>
      <c r="J301" t="s">
        <v>85</v>
      </c>
      <c r="K301" t="s">
        <v>628</v>
      </c>
      <c r="L301">
        <v>33.542909000000002</v>
      </c>
      <c r="M301">
        <v>-81.994749999999996</v>
      </c>
    </row>
    <row r="302" spans="1:13" x14ac:dyDescent="0.2">
      <c r="A302" t="s">
        <v>629</v>
      </c>
      <c r="B302" t="s">
        <v>38</v>
      </c>
      <c r="C302" t="str">
        <f>_xlfn.XLOOKUP(A302,'[1]Putative species manifest'!A:A,'[1]Putative species manifest'!B:B)</f>
        <v>AMERICANA</v>
      </c>
      <c r="D302" t="s">
        <v>320</v>
      </c>
      <c r="E302" t="s">
        <v>38</v>
      </c>
      <c r="F302" t="s">
        <v>630</v>
      </c>
      <c r="G302" t="s">
        <v>17</v>
      </c>
      <c r="H302" t="s">
        <v>631</v>
      </c>
      <c r="I302" t="s">
        <v>14</v>
      </c>
      <c r="J302" t="s">
        <v>85</v>
      </c>
      <c r="K302" t="s">
        <v>157</v>
      </c>
      <c r="L302">
        <v>33.159595099999997</v>
      </c>
      <c r="M302">
        <v>-79.907046100000002</v>
      </c>
    </row>
    <row r="303" spans="1:13" x14ac:dyDescent="0.2">
      <c r="A303" t="s">
        <v>632</v>
      </c>
      <c r="B303" t="s">
        <v>38</v>
      </c>
      <c r="C303" t="str">
        <f>_xlfn.XLOOKUP(A303,'[1]Putative species manifest'!A:A,'[1]Putative species manifest'!B:B)</f>
        <v>AMERICANA</v>
      </c>
      <c r="D303" t="s">
        <v>320</v>
      </c>
      <c r="E303" t="s">
        <v>38</v>
      </c>
      <c r="F303" t="s">
        <v>633</v>
      </c>
      <c r="G303" t="s">
        <v>17</v>
      </c>
      <c r="H303" t="s">
        <v>634</v>
      </c>
      <c r="I303" t="s">
        <v>14</v>
      </c>
      <c r="J303" t="s">
        <v>85</v>
      </c>
      <c r="K303" t="s">
        <v>157</v>
      </c>
      <c r="L303">
        <v>35.135919999999999</v>
      </c>
      <c r="M303">
        <v>-81.593086</v>
      </c>
    </row>
    <row r="304" spans="1:13" x14ac:dyDescent="0.2">
      <c r="A304" t="s">
        <v>635</v>
      </c>
      <c r="B304" t="s">
        <v>38</v>
      </c>
      <c r="C304" t="str">
        <f>_xlfn.XLOOKUP(A304,'[1]Putative species manifest'!A:A,'[1]Putative species manifest'!B:B)</f>
        <v>AMERICANA</v>
      </c>
      <c r="D304" t="s">
        <v>320</v>
      </c>
      <c r="E304" t="s">
        <v>38</v>
      </c>
      <c r="F304" t="s">
        <v>636</v>
      </c>
      <c r="G304" t="s">
        <v>17</v>
      </c>
      <c r="H304" t="s">
        <v>637</v>
      </c>
      <c r="I304" t="s">
        <v>14</v>
      </c>
      <c r="J304" t="s">
        <v>85</v>
      </c>
      <c r="K304" t="s">
        <v>638</v>
      </c>
      <c r="L304">
        <v>35.037262599999998</v>
      </c>
      <c r="M304">
        <v>-81.648075500000004</v>
      </c>
    </row>
    <row r="305" spans="1:13" x14ac:dyDescent="0.2">
      <c r="A305" t="s">
        <v>639</v>
      </c>
      <c r="B305" t="s">
        <v>38</v>
      </c>
      <c r="C305" t="str">
        <f>_xlfn.XLOOKUP(A305,'[1]Putative species manifest'!A:A,'[1]Putative species manifest'!B:B)</f>
        <v>AMERICANA</v>
      </c>
      <c r="D305" t="s">
        <v>249</v>
      </c>
      <c r="E305" t="s">
        <v>43</v>
      </c>
      <c r="F305" t="s">
        <v>640</v>
      </c>
      <c r="G305" t="s">
        <v>17</v>
      </c>
      <c r="H305" t="s">
        <v>641</v>
      </c>
      <c r="I305" t="s">
        <v>14</v>
      </c>
      <c r="J305" t="s">
        <v>85</v>
      </c>
      <c r="K305" t="s">
        <v>642</v>
      </c>
      <c r="L305">
        <v>33.0756291</v>
      </c>
      <c r="M305">
        <v>-80.343113299999999</v>
      </c>
    </row>
    <row r="306" spans="1:13" x14ac:dyDescent="0.2">
      <c r="A306" t="s">
        <v>643</v>
      </c>
      <c r="B306" t="s">
        <v>38</v>
      </c>
      <c r="C306" t="str">
        <f>_xlfn.XLOOKUP(A306,'[1]Putative species manifest'!A:A,'[1]Putative species manifest'!B:B)</f>
        <v>AMERICANA</v>
      </c>
      <c r="D306" t="s">
        <v>320</v>
      </c>
      <c r="E306" t="s">
        <v>38</v>
      </c>
      <c r="F306" t="s">
        <v>644</v>
      </c>
      <c r="G306" t="s">
        <v>17</v>
      </c>
      <c r="H306" t="s">
        <v>645</v>
      </c>
      <c r="I306" t="s">
        <v>14</v>
      </c>
      <c r="J306" t="s">
        <v>85</v>
      </c>
      <c r="K306" t="s">
        <v>646</v>
      </c>
      <c r="L306">
        <v>34.511479999999999</v>
      </c>
      <c r="M306">
        <v>-81.297872999999996</v>
      </c>
    </row>
    <row r="307" spans="1:13" x14ac:dyDescent="0.2">
      <c r="A307" t="s">
        <v>647</v>
      </c>
      <c r="B307" t="s">
        <v>38</v>
      </c>
      <c r="C307" t="str">
        <f>_xlfn.XLOOKUP(A307,'[1]Putative species manifest'!A:A,'[1]Putative species manifest'!B:B)</f>
        <v>AMERICANA</v>
      </c>
      <c r="D307" t="s">
        <v>249</v>
      </c>
      <c r="E307" t="s">
        <v>43</v>
      </c>
      <c r="F307" t="s">
        <v>648</v>
      </c>
      <c r="G307" t="s">
        <v>17</v>
      </c>
      <c r="H307" t="s">
        <v>649</v>
      </c>
      <c r="I307" t="s">
        <v>14</v>
      </c>
      <c r="J307" t="s">
        <v>85</v>
      </c>
      <c r="K307" t="s">
        <v>650</v>
      </c>
      <c r="L307">
        <v>34.464645099999998</v>
      </c>
      <c r="M307">
        <v>-81.994404200000005</v>
      </c>
    </row>
    <row r="308" spans="1:13" x14ac:dyDescent="0.2">
      <c r="A308" t="s">
        <v>653</v>
      </c>
      <c r="B308" t="s">
        <v>38</v>
      </c>
      <c r="C308" t="str">
        <f>_xlfn.XLOOKUP(A308,'[1]Putative species manifest'!A:A,'[1]Putative species manifest'!B:B)</f>
        <v>AMERICANA</v>
      </c>
      <c r="D308" t="s">
        <v>320</v>
      </c>
      <c r="E308" t="s">
        <v>38</v>
      </c>
      <c r="F308" t="s">
        <v>654</v>
      </c>
      <c r="G308" t="s">
        <v>17</v>
      </c>
      <c r="H308" t="s">
        <v>655</v>
      </c>
      <c r="I308" t="s">
        <v>14</v>
      </c>
      <c r="J308" t="s">
        <v>85</v>
      </c>
      <c r="K308" t="s">
        <v>656</v>
      </c>
      <c r="L308">
        <v>33.879532500000003</v>
      </c>
      <c r="M308">
        <v>-82.2797719</v>
      </c>
    </row>
    <row r="309" spans="1:13" x14ac:dyDescent="0.2">
      <c r="A309" t="s">
        <v>660</v>
      </c>
      <c r="B309" t="s">
        <v>38</v>
      </c>
      <c r="C309" t="str">
        <f>_xlfn.XLOOKUP(A309,'[1]Putative species manifest'!A:A,'[1]Putative species manifest'!B:B)</f>
        <v>AMERICANA</v>
      </c>
      <c r="D309" t="s">
        <v>249</v>
      </c>
      <c r="E309" t="s">
        <v>43</v>
      </c>
      <c r="F309" t="s">
        <v>661</v>
      </c>
      <c r="G309" t="s">
        <v>17</v>
      </c>
      <c r="H309" t="s">
        <v>662</v>
      </c>
      <c r="I309" t="s">
        <v>14</v>
      </c>
      <c r="J309" t="s">
        <v>85</v>
      </c>
      <c r="K309" t="s">
        <v>58</v>
      </c>
      <c r="L309">
        <v>34.8882592</v>
      </c>
      <c r="M309">
        <v>-82.719382400000001</v>
      </c>
    </row>
    <row r="310" spans="1:13" x14ac:dyDescent="0.2">
      <c r="A310" t="s">
        <v>663</v>
      </c>
      <c r="B310" t="s">
        <v>38</v>
      </c>
      <c r="C310" t="str">
        <f>_xlfn.XLOOKUP(A310,'[1]Putative species manifest'!A:A,'[1]Putative species manifest'!B:B)</f>
        <v>AMERICANA</v>
      </c>
      <c r="D310" t="s">
        <v>339</v>
      </c>
      <c r="E310" t="s">
        <v>38</v>
      </c>
      <c r="F310" t="s">
        <v>664</v>
      </c>
      <c r="G310" t="s">
        <v>17</v>
      </c>
      <c r="H310" t="s">
        <v>665</v>
      </c>
      <c r="I310" t="s">
        <v>14</v>
      </c>
      <c r="J310" t="s">
        <v>85</v>
      </c>
      <c r="K310" t="s">
        <v>58</v>
      </c>
      <c r="L310">
        <v>34.8882592</v>
      </c>
      <c r="M310">
        <v>-82.719382400000001</v>
      </c>
    </row>
    <row r="311" spans="1:13" x14ac:dyDescent="0.2">
      <c r="A311" t="s">
        <v>666</v>
      </c>
      <c r="B311" t="s">
        <v>38</v>
      </c>
      <c r="C311" t="str">
        <f>_xlfn.XLOOKUP(A311,'[1]Putative species manifest'!A:A,'[1]Putative species manifest'!B:B)</f>
        <v>AMERICANA</v>
      </c>
      <c r="D311" t="s">
        <v>320</v>
      </c>
      <c r="E311" t="s">
        <v>38</v>
      </c>
      <c r="F311" t="s">
        <v>667</v>
      </c>
      <c r="G311" t="s">
        <v>17</v>
      </c>
      <c r="H311" t="s">
        <v>668</v>
      </c>
      <c r="I311" t="s">
        <v>14</v>
      </c>
      <c r="J311" t="s">
        <v>85</v>
      </c>
      <c r="K311" t="s">
        <v>29</v>
      </c>
      <c r="L311">
        <v>34.949800699999997</v>
      </c>
      <c r="M311">
        <v>-81.932015699999994</v>
      </c>
    </row>
    <row r="312" spans="1:13" x14ac:dyDescent="0.2">
      <c r="A312" t="s">
        <v>1282</v>
      </c>
      <c r="B312" t="s">
        <v>122</v>
      </c>
      <c r="C312" t="str">
        <f>_xlfn.XLOOKUP(A312,'[1]Putative species manifest'!A:A,'[1]Putative species manifest'!B:B)</f>
        <v>Heuchera caroliniana E1435 SC Lancaster</v>
      </c>
      <c r="D312" t="s">
        <v>320</v>
      </c>
      <c r="E312" t="s">
        <v>122</v>
      </c>
      <c r="F312" t="s">
        <v>1283</v>
      </c>
      <c r="G312" t="s">
        <v>17</v>
      </c>
      <c r="H312" t="s">
        <v>1284</v>
      </c>
      <c r="I312" t="s">
        <v>14</v>
      </c>
      <c r="J312" t="s">
        <v>85</v>
      </c>
      <c r="K312" t="s">
        <v>127</v>
      </c>
      <c r="L312">
        <v>34.685989599999999</v>
      </c>
      <c r="M312">
        <v>-81.154507300000006</v>
      </c>
    </row>
    <row r="313" spans="1:13" x14ac:dyDescent="0.2">
      <c r="A313" t="s">
        <v>1285</v>
      </c>
      <c r="B313" t="s">
        <v>122</v>
      </c>
      <c r="C313" t="str">
        <f>_xlfn.XLOOKUP(A313,'[1]Putative species manifest'!A:A,'[1]Putative species manifest'!B:B)</f>
        <v>Heuchera caroliniana E1436 SC Lancaster</v>
      </c>
      <c r="D313" t="s">
        <v>320</v>
      </c>
      <c r="E313" t="s">
        <v>122</v>
      </c>
      <c r="F313" t="s">
        <v>1286</v>
      </c>
      <c r="G313" t="s">
        <v>17</v>
      </c>
      <c r="H313" t="s">
        <v>1287</v>
      </c>
      <c r="I313" t="s">
        <v>14</v>
      </c>
      <c r="J313" t="s">
        <v>85</v>
      </c>
      <c r="K313" t="s">
        <v>127</v>
      </c>
      <c r="L313">
        <v>34.662806699999997</v>
      </c>
      <c r="M313">
        <v>-80.700546000000003</v>
      </c>
    </row>
    <row r="314" spans="1:13" x14ac:dyDescent="0.2">
      <c r="A314" t="s">
        <v>1278</v>
      </c>
      <c r="B314" t="s">
        <v>122</v>
      </c>
      <c r="C314" t="str">
        <f>_xlfn.XLOOKUP(A314,'[1]Putative species manifest'!A:A,'[1]Putative species manifest'!B:B)</f>
        <v>Heuchera caroliniana E1438 SC Darlington</v>
      </c>
      <c r="D314" t="s">
        <v>320</v>
      </c>
      <c r="E314" t="s">
        <v>122</v>
      </c>
      <c r="F314" t="s">
        <v>1279</v>
      </c>
      <c r="G314" t="s">
        <v>17</v>
      </c>
      <c r="H314" t="s">
        <v>1280</v>
      </c>
      <c r="I314" t="s">
        <v>14</v>
      </c>
      <c r="J314" t="s">
        <v>85</v>
      </c>
      <c r="K314" t="s">
        <v>1281</v>
      </c>
      <c r="L314">
        <v>34.762222100000002</v>
      </c>
      <c r="M314">
        <v>-83.109964500000004</v>
      </c>
    </row>
    <row r="315" spans="1:13" x14ac:dyDescent="0.2">
      <c r="A315" t="s">
        <v>368</v>
      </c>
      <c r="B315" t="s">
        <v>38</v>
      </c>
      <c r="C315" t="str">
        <f>_xlfn.XLOOKUP(A315,'[1]Putative species manifest'!A:A,'[1]Putative species manifest'!B:B)</f>
        <v>CALYCOSA</v>
      </c>
      <c r="D315" t="s">
        <v>339</v>
      </c>
      <c r="E315" t="s">
        <v>38</v>
      </c>
      <c r="F315" t="s">
        <v>369</v>
      </c>
      <c r="G315" t="s">
        <v>17</v>
      </c>
      <c r="H315" t="s">
        <v>370</v>
      </c>
      <c r="I315" t="s">
        <v>14</v>
      </c>
      <c r="J315" t="s">
        <v>66</v>
      </c>
      <c r="K315" t="s">
        <v>67</v>
      </c>
      <c r="L315">
        <v>33.762884</v>
      </c>
      <c r="M315">
        <v>-83.740415999999996</v>
      </c>
    </row>
    <row r="316" spans="1:13" x14ac:dyDescent="0.2">
      <c r="A316" t="s">
        <v>1037</v>
      </c>
      <c r="B316" t="s">
        <v>100</v>
      </c>
      <c r="C316" t="str">
        <f>_xlfn.XLOOKUP(A316,'[1]Putative species manifest'!A:A,'[1]Putative species manifest'!B:B)</f>
        <v>HIRSUTICAULIS</v>
      </c>
      <c r="D316" t="s">
        <v>244</v>
      </c>
      <c r="E316" t="s">
        <v>101</v>
      </c>
      <c r="F316" t="s">
        <v>1038</v>
      </c>
      <c r="G316" t="s">
        <v>17</v>
      </c>
      <c r="H316" t="s">
        <v>1039</v>
      </c>
      <c r="I316" t="s">
        <v>14</v>
      </c>
      <c r="J316" t="s">
        <v>66</v>
      </c>
      <c r="K316" t="s">
        <v>111</v>
      </c>
      <c r="L316">
        <v>36.847999999999999</v>
      </c>
      <c r="M316">
        <v>-89.084999999999994</v>
      </c>
    </row>
    <row r="317" spans="1:13" x14ac:dyDescent="0.2">
      <c r="A317" t="s">
        <v>673</v>
      </c>
      <c r="B317" t="s">
        <v>38</v>
      </c>
      <c r="C317" t="str">
        <f>_xlfn.XLOOKUP(A317,'[1]Putative species manifest'!A:A,'[1]Putative species manifest'!B:B)</f>
        <v>BREVIPETALA</v>
      </c>
      <c r="D317" t="s">
        <v>339</v>
      </c>
      <c r="E317" t="s">
        <v>38</v>
      </c>
      <c r="F317" t="s">
        <v>674</v>
      </c>
      <c r="G317" t="s">
        <v>17</v>
      </c>
      <c r="H317" t="s">
        <v>675</v>
      </c>
      <c r="I317" t="s">
        <v>14</v>
      </c>
      <c r="J317" t="s">
        <v>87</v>
      </c>
      <c r="K317" t="s">
        <v>153</v>
      </c>
      <c r="L317">
        <v>35.671972199999999</v>
      </c>
      <c r="M317">
        <v>-83.931446500000007</v>
      </c>
    </row>
    <row r="318" spans="1:13" x14ac:dyDescent="0.2">
      <c r="A318" t="s">
        <v>676</v>
      </c>
      <c r="B318" t="s">
        <v>38</v>
      </c>
      <c r="C318" t="str">
        <f>_xlfn.XLOOKUP(A318,'[1]Putative species manifest'!A:A,'[1]Putative species manifest'!B:B)</f>
        <v>BREVIPETALA</v>
      </c>
      <c r="D318" t="s">
        <v>244</v>
      </c>
      <c r="E318" t="s">
        <v>50</v>
      </c>
      <c r="F318" t="s">
        <v>677</v>
      </c>
      <c r="G318" t="s">
        <v>17</v>
      </c>
      <c r="H318" t="s">
        <v>678</v>
      </c>
      <c r="I318" t="s">
        <v>14</v>
      </c>
      <c r="J318" t="s">
        <v>87</v>
      </c>
      <c r="K318" t="s">
        <v>679</v>
      </c>
      <c r="L318">
        <v>36.467316099999998</v>
      </c>
      <c r="M318">
        <v>-83.678637699999996</v>
      </c>
    </row>
    <row r="319" spans="1:13" x14ac:dyDescent="0.2">
      <c r="A319" t="s">
        <v>712</v>
      </c>
      <c r="B319" t="s">
        <v>38</v>
      </c>
      <c r="C319" t="str">
        <f>_xlfn.XLOOKUP(A319,'[1]Putative species manifest'!A:A,'[1]Putative species manifest'!B:B)</f>
        <v>BREVIPETALA</v>
      </c>
      <c r="D319" t="s">
        <v>339</v>
      </c>
      <c r="E319" t="s">
        <v>38</v>
      </c>
      <c r="F319" t="s">
        <v>217</v>
      </c>
      <c r="G319" t="s">
        <v>17</v>
      </c>
      <c r="H319" t="s">
        <v>713</v>
      </c>
      <c r="I319" t="s">
        <v>14</v>
      </c>
      <c r="J319" t="s">
        <v>87</v>
      </c>
      <c r="K319" t="s">
        <v>168</v>
      </c>
      <c r="L319">
        <v>36.188076000000002</v>
      </c>
      <c r="M319">
        <v>-85.002043</v>
      </c>
    </row>
    <row r="320" spans="1:13" x14ac:dyDescent="0.2">
      <c r="A320" t="s">
        <v>714</v>
      </c>
      <c r="B320" t="s">
        <v>38</v>
      </c>
      <c r="C320" t="str">
        <f>_xlfn.XLOOKUP(A320,'[1]Putative species manifest'!A:A,'[1]Putative species manifest'!B:B)</f>
        <v>BREVIPETALA</v>
      </c>
      <c r="D320" t="s">
        <v>249</v>
      </c>
      <c r="E320" t="s">
        <v>50</v>
      </c>
      <c r="F320" t="s">
        <v>715</v>
      </c>
      <c r="G320" t="s">
        <v>17</v>
      </c>
      <c r="H320" t="s">
        <v>716</v>
      </c>
      <c r="I320" t="s">
        <v>14</v>
      </c>
      <c r="J320" t="s">
        <v>87</v>
      </c>
      <c r="K320" t="s">
        <v>89</v>
      </c>
      <c r="L320">
        <v>36.360098000000001</v>
      </c>
      <c r="M320">
        <v>-84.926231310000006</v>
      </c>
    </row>
    <row r="321" spans="1:13" x14ac:dyDescent="0.2">
      <c r="A321" t="s">
        <v>717</v>
      </c>
      <c r="B321" t="s">
        <v>38</v>
      </c>
      <c r="C321" t="str">
        <f>_xlfn.XLOOKUP(A321,'[1]Putative species manifest'!A:A,'[1]Putative species manifest'!B:B)</f>
        <v>BREVIPETALA</v>
      </c>
      <c r="D321" t="s">
        <v>339</v>
      </c>
      <c r="E321" t="s">
        <v>38</v>
      </c>
      <c r="F321" t="s">
        <v>718</v>
      </c>
      <c r="G321" t="s">
        <v>17</v>
      </c>
      <c r="H321" t="s">
        <v>719</v>
      </c>
      <c r="I321" t="s">
        <v>14</v>
      </c>
      <c r="J321" t="s">
        <v>87</v>
      </c>
      <c r="K321" t="s">
        <v>720</v>
      </c>
      <c r="L321">
        <v>35.925206000000003</v>
      </c>
      <c r="M321">
        <v>-86.868941899999996</v>
      </c>
    </row>
    <row r="322" spans="1:13" x14ac:dyDescent="0.2">
      <c r="A322" t="s">
        <v>723</v>
      </c>
      <c r="B322" t="s">
        <v>38</v>
      </c>
      <c r="C322" t="str">
        <f>_xlfn.XLOOKUP(A322,'[1]Putative species manifest'!A:A,'[1]Putative species manifest'!B:B)</f>
        <v>BREVIPETALA</v>
      </c>
      <c r="D322" t="s">
        <v>339</v>
      </c>
      <c r="E322" t="s">
        <v>38</v>
      </c>
      <c r="F322" t="s">
        <v>724</v>
      </c>
      <c r="G322" t="s">
        <v>17</v>
      </c>
      <c r="H322" t="s">
        <v>725</v>
      </c>
      <c r="I322" t="s">
        <v>14</v>
      </c>
      <c r="J322" t="s">
        <v>87</v>
      </c>
      <c r="K322" t="s">
        <v>169</v>
      </c>
      <c r="L322">
        <v>36.281082099999999</v>
      </c>
      <c r="M322">
        <v>-83.510701800000007</v>
      </c>
    </row>
    <row r="323" spans="1:13" x14ac:dyDescent="0.2">
      <c r="A323" t="s">
        <v>726</v>
      </c>
      <c r="B323" t="s">
        <v>38</v>
      </c>
      <c r="C323" t="str">
        <f>_xlfn.XLOOKUP(A323,'[1]Putative species manifest'!A:A,'[1]Putative species manifest'!B:B)</f>
        <v>BREVIPETALA</v>
      </c>
      <c r="D323" t="s">
        <v>339</v>
      </c>
      <c r="E323" t="s">
        <v>38</v>
      </c>
      <c r="F323" t="s">
        <v>727</v>
      </c>
      <c r="G323" t="s">
        <v>17</v>
      </c>
      <c r="H323" t="s">
        <v>728</v>
      </c>
      <c r="I323" t="s">
        <v>14</v>
      </c>
      <c r="J323" t="s">
        <v>87</v>
      </c>
      <c r="K323" t="s">
        <v>145</v>
      </c>
      <c r="L323">
        <v>35.369789400000002</v>
      </c>
      <c r="M323">
        <v>-85.710660599999997</v>
      </c>
    </row>
    <row r="324" spans="1:13" x14ac:dyDescent="0.2">
      <c r="A324" t="s">
        <v>729</v>
      </c>
      <c r="B324" t="s">
        <v>38</v>
      </c>
      <c r="C324" t="str">
        <f>_xlfn.XLOOKUP(A324,'[1]Putative species manifest'!A:A,'[1]Putative species manifest'!B:B)</f>
        <v>AMERICANA</v>
      </c>
      <c r="D324" t="s">
        <v>339</v>
      </c>
      <c r="E324" t="s">
        <v>38</v>
      </c>
      <c r="F324" t="s">
        <v>730</v>
      </c>
      <c r="G324" t="s">
        <v>17</v>
      </c>
      <c r="H324" t="s">
        <v>731</v>
      </c>
      <c r="I324" t="s">
        <v>14</v>
      </c>
      <c r="J324" t="s">
        <v>87</v>
      </c>
      <c r="K324" t="s">
        <v>69</v>
      </c>
      <c r="L324">
        <v>36.429878000000002</v>
      </c>
      <c r="M324">
        <v>-82.956889899999993</v>
      </c>
    </row>
    <row r="325" spans="1:13" x14ac:dyDescent="0.2">
      <c r="A325" t="s">
        <v>732</v>
      </c>
      <c r="B325" t="s">
        <v>38</v>
      </c>
      <c r="C325" t="str">
        <f>_xlfn.XLOOKUP(A325,'[1]Putative species manifest'!A:A,'[1]Putative species manifest'!B:B)</f>
        <v>BREVIPETALA</v>
      </c>
      <c r="D325" t="s">
        <v>339</v>
      </c>
      <c r="E325" t="s">
        <v>38</v>
      </c>
      <c r="F325" t="s">
        <v>733</v>
      </c>
      <c r="G325" t="s">
        <v>17</v>
      </c>
      <c r="H325" t="s">
        <v>734</v>
      </c>
      <c r="I325" t="s">
        <v>14</v>
      </c>
      <c r="J325" t="s">
        <v>87</v>
      </c>
      <c r="K325" t="s">
        <v>91</v>
      </c>
      <c r="L325">
        <v>35.439723800000003</v>
      </c>
      <c r="M325">
        <v>-84.239964000000001</v>
      </c>
    </row>
    <row r="326" spans="1:13" x14ac:dyDescent="0.2">
      <c r="A326" t="s">
        <v>737</v>
      </c>
      <c r="B326" t="s">
        <v>38</v>
      </c>
      <c r="C326" t="str">
        <f>_xlfn.XLOOKUP(A326,'[1]Putative species manifest'!A:A,'[1]Putative species manifest'!B:B)</f>
        <v>BREVIPETALA</v>
      </c>
      <c r="D326" t="s">
        <v>396</v>
      </c>
      <c r="E326" t="s">
        <v>38</v>
      </c>
      <c r="F326" t="s">
        <v>738</v>
      </c>
      <c r="G326" t="s">
        <v>17</v>
      </c>
      <c r="H326" t="s">
        <v>739</v>
      </c>
      <c r="I326" t="s">
        <v>14</v>
      </c>
      <c r="J326" t="s">
        <v>87</v>
      </c>
      <c r="K326" t="s">
        <v>81</v>
      </c>
      <c r="L326">
        <v>35.848570000000002</v>
      </c>
      <c r="M326">
        <v>-84.522552200000007</v>
      </c>
    </row>
    <row r="327" spans="1:13" x14ac:dyDescent="0.2">
      <c r="A327" t="s">
        <v>755</v>
      </c>
      <c r="B327" t="s">
        <v>38</v>
      </c>
      <c r="C327" t="str">
        <f>_xlfn.XLOOKUP(A327,'[1]Putative species manifest'!A:A,'[1]Putative species manifest'!B:B)</f>
        <v>AMERICANA</v>
      </c>
      <c r="D327" t="s">
        <v>223</v>
      </c>
      <c r="E327" t="s">
        <v>38</v>
      </c>
      <c r="F327" t="s">
        <v>756</v>
      </c>
      <c r="G327" t="s">
        <v>17</v>
      </c>
      <c r="H327" t="s">
        <v>757</v>
      </c>
      <c r="I327" t="s">
        <v>14</v>
      </c>
      <c r="J327" t="s">
        <v>30</v>
      </c>
      <c r="K327" t="s">
        <v>95</v>
      </c>
      <c r="L327">
        <v>37.552082499999997</v>
      </c>
      <c r="M327">
        <v>-79.802956899999998</v>
      </c>
    </row>
    <row r="328" spans="1:13" x14ac:dyDescent="0.2">
      <c r="A328" t="s">
        <v>758</v>
      </c>
      <c r="B328" t="s">
        <v>38</v>
      </c>
      <c r="C328" t="str">
        <f>_xlfn.XLOOKUP(A328,'[1]Putative species manifest'!A:A,'[1]Putative species manifest'!B:B)</f>
        <v>AMERICANA</v>
      </c>
      <c r="D328" t="s">
        <v>320</v>
      </c>
      <c r="E328" t="s">
        <v>38</v>
      </c>
      <c r="F328" t="s">
        <v>759</v>
      </c>
      <c r="G328" t="s">
        <v>17</v>
      </c>
      <c r="H328" t="s">
        <v>760</v>
      </c>
      <c r="I328" t="s">
        <v>14</v>
      </c>
      <c r="J328" t="s">
        <v>30</v>
      </c>
      <c r="K328" t="s">
        <v>761</v>
      </c>
      <c r="L328">
        <v>37.552082499999997</v>
      </c>
      <c r="M328">
        <v>-79.802956899999998</v>
      </c>
    </row>
    <row r="329" spans="1:13" x14ac:dyDescent="0.2">
      <c r="A329" t="s">
        <v>762</v>
      </c>
      <c r="B329" t="s">
        <v>38</v>
      </c>
      <c r="C329" t="str">
        <f>_xlfn.XLOOKUP(A329,'[1]Putative species manifest'!A:A,'[1]Putative species manifest'!B:B)</f>
        <v>AMERICANA</v>
      </c>
      <c r="D329" t="s">
        <v>223</v>
      </c>
      <c r="E329" t="s">
        <v>38</v>
      </c>
      <c r="F329" t="s">
        <v>763</v>
      </c>
      <c r="G329" t="s">
        <v>17</v>
      </c>
      <c r="H329" t="s">
        <v>764</v>
      </c>
      <c r="I329" t="s">
        <v>14</v>
      </c>
      <c r="J329" t="s">
        <v>30</v>
      </c>
      <c r="K329" t="s">
        <v>218</v>
      </c>
      <c r="L329">
        <v>36.778899600000003</v>
      </c>
      <c r="M329">
        <v>-77.867088300000006</v>
      </c>
    </row>
    <row r="330" spans="1:13" x14ac:dyDescent="0.2">
      <c r="A330" t="s">
        <v>765</v>
      </c>
      <c r="B330" t="s">
        <v>38</v>
      </c>
      <c r="C330" t="str">
        <f>_xlfn.XLOOKUP(A330,'[1]Putative species manifest'!A:A,'[1]Putative species manifest'!B:B)</f>
        <v>AMERICANA</v>
      </c>
      <c r="D330" t="s">
        <v>223</v>
      </c>
      <c r="E330" t="s">
        <v>38</v>
      </c>
      <c r="F330" t="s">
        <v>766</v>
      </c>
      <c r="G330" t="s">
        <v>17</v>
      </c>
      <c r="H330" t="s">
        <v>767</v>
      </c>
      <c r="I330" t="s">
        <v>14</v>
      </c>
      <c r="J330" t="s">
        <v>30</v>
      </c>
      <c r="K330" t="s">
        <v>218</v>
      </c>
      <c r="L330">
        <v>37.555882599999997</v>
      </c>
      <c r="M330">
        <v>-78.554717199999999</v>
      </c>
    </row>
    <row r="331" spans="1:13" x14ac:dyDescent="0.2">
      <c r="A331" t="s">
        <v>768</v>
      </c>
      <c r="B331" t="s">
        <v>38</v>
      </c>
      <c r="C331" t="str">
        <f>_xlfn.XLOOKUP(A331,'[1]Putative species manifest'!A:A,'[1]Putative species manifest'!B:B)</f>
        <v>AMERICANA</v>
      </c>
      <c r="D331" t="s">
        <v>223</v>
      </c>
      <c r="E331" t="s">
        <v>38</v>
      </c>
      <c r="F331" t="s">
        <v>769</v>
      </c>
      <c r="G331" t="s">
        <v>17</v>
      </c>
      <c r="H331" t="s">
        <v>770</v>
      </c>
      <c r="I331" t="s">
        <v>14</v>
      </c>
      <c r="J331" t="s">
        <v>30</v>
      </c>
      <c r="K331" t="s">
        <v>771</v>
      </c>
      <c r="L331">
        <v>37.555882599999997</v>
      </c>
      <c r="M331">
        <v>-78.554717199999999</v>
      </c>
    </row>
    <row r="332" spans="1:13" x14ac:dyDescent="0.2">
      <c r="A332" t="s">
        <v>772</v>
      </c>
      <c r="B332" t="s">
        <v>38</v>
      </c>
      <c r="C332" t="str">
        <f>_xlfn.XLOOKUP(A332,'[1]Putative species manifest'!A:A,'[1]Putative species manifest'!B:B)</f>
        <v>AMERICANA</v>
      </c>
      <c r="D332" t="s">
        <v>223</v>
      </c>
      <c r="E332" t="s">
        <v>38</v>
      </c>
      <c r="F332" t="s">
        <v>773</v>
      </c>
      <c r="G332" t="s">
        <v>17</v>
      </c>
      <c r="H332" t="s">
        <v>774</v>
      </c>
      <c r="I332" t="s">
        <v>14</v>
      </c>
      <c r="J332" t="s">
        <v>30</v>
      </c>
      <c r="K332" t="s">
        <v>775</v>
      </c>
      <c r="L332">
        <v>37.370577699999998</v>
      </c>
      <c r="M332">
        <v>-77.060509800000005</v>
      </c>
    </row>
    <row r="333" spans="1:13" x14ac:dyDescent="0.2">
      <c r="A333" t="s">
        <v>776</v>
      </c>
      <c r="B333" t="s">
        <v>38</v>
      </c>
      <c r="C333" t="str">
        <f>_xlfn.XLOOKUP(A333,'[1]Putative species manifest'!A:A,'[1]Putative species manifest'!B:B)</f>
        <v>AMERICANA</v>
      </c>
      <c r="D333" t="s">
        <v>223</v>
      </c>
      <c r="E333" t="s">
        <v>38</v>
      </c>
      <c r="F333" t="s">
        <v>777</v>
      </c>
      <c r="G333" t="s">
        <v>17</v>
      </c>
      <c r="H333" t="s">
        <v>778</v>
      </c>
      <c r="I333" t="s">
        <v>14</v>
      </c>
      <c r="J333" t="s">
        <v>30</v>
      </c>
      <c r="K333" t="s">
        <v>779</v>
      </c>
      <c r="L333">
        <v>38.846223600000002</v>
      </c>
      <c r="M333">
        <v>-77.306373300000004</v>
      </c>
    </row>
    <row r="334" spans="1:13" x14ac:dyDescent="0.2">
      <c r="A334" t="s">
        <v>1318</v>
      </c>
      <c r="B334" t="s">
        <v>177</v>
      </c>
      <c r="C334" t="str">
        <f>_xlfn.XLOOKUP(A334,'[1]Putative species manifest'!A:A,'[1]Putative species manifest'!B:B)</f>
        <v>Heuchera pubescens E1497 VA Franklin</v>
      </c>
      <c r="D334" t="s">
        <v>396</v>
      </c>
      <c r="E334" t="s">
        <v>177</v>
      </c>
      <c r="F334" t="s">
        <v>1319</v>
      </c>
      <c r="G334" t="s">
        <v>17</v>
      </c>
      <c r="H334" t="s">
        <v>1320</v>
      </c>
      <c r="I334" t="s">
        <v>14</v>
      </c>
      <c r="J334" t="s">
        <v>30</v>
      </c>
      <c r="K334" t="s">
        <v>89</v>
      </c>
      <c r="L334">
        <v>36.838160999999999</v>
      </c>
      <c r="M334">
        <v>-79.727771000000004</v>
      </c>
    </row>
    <row r="335" spans="1:13" x14ac:dyDescent="0.2">
      <c r="A335" t="s">
        <v>780</v>
      </c>
      <c r="B335" t="s">
        <v>38</v>
      </c>
      <c r="C335" t="str">
        <f>_xlfn.XLOOKUP(A335,'[1]Putative species manifest'!A:A,'[1]Putative species manifest'!B:B)</f>
        <v>AMERICANA</v>
      </c>
      <c r="D335" t="s">
        <v>223</v>
      </c>
      <c r="E335" t="s">
        <v>38</v>
      </c>
      <c r="F335" t="s">
        <v>781</v>
      </c>
      <c r="G335" t="s">
        <v>17</v>
      </c>
      <c r="H335" t="s">
        <v>782</v>
      </c>
      <c r="I335" t="s">
        <v>14</v>
      </c>
      <c r="J335" t="s">
        <v>30</v>
      </c>
      <c r="K335" t="s">
        <v>219</v>
      </c>
      <c r="L335">
        <v>37.052771900000003</v>
      </c>
      <c r="M335">
        <v>-79.881309299999998</v>
      </c>
    </row>
    <row r="336" spans="1:13" x14ac:dyDescent="0.2">
      <c r="A336" t="s">
        <v>783</v>
      </c>
      <c r="B336" t="s">
        <v>38</v>
      </c>
      <c r="C336" t="str">
        <f>_xlfn.XLOOKUP(A336,'[1]Putative species manifest'!A:A,'[1]Putative species manifest'!B:B)</f>
        <v>AMERICANA</v>
      </c>
      <c r="D336" t="s">
        <v>223</v>
      </c>
      <c r="E336" t="s">
        <v>38</v>
      </c>
      <c r="F336" t="s">
        <v>784</v>
      </c>
      <c r="G336" t="s">
        <v>17</v>
      </c>
      <c r="H336" t="s">
        <v>785</v>
      </c>
      <c r="I336" t="s">
        <v>14</v>
      </c>
      <c r="J336" t="s">
        <v>30</v>
      </c>
      <c r="K336" t="s">
        <v>786</v>
      </c>
      <c r="L336">
        <v>37.308852799999997</v>
      </c>
      <c r="M336">
        <v>-80.709878099999997</v>
      </c>
    </row>
    <row r="337" spans="1:13" x14ac:dyDescent="0.2">
      <c r="A337" t="s">
        <v>787</v>
      </c>
      <c r="B337" t="s">
        <v>38</v>
      </c>
      <c r="C337" t="str">
        <f>_xlfn.XLOOKUP(A337,'[1]Putative species manifest'!A:A,'[1]Putative species manifest'!B:B)</f>
        <v>AMERICANA</v>
      </c>
      <c r="D337" t="s">
        <v>320</v>
      </c>
      <c r="E337" t="s">
        <v>38</v>
      </c>
      <c r="F337" t="s">
        <v>788</v>
      </c>
      <c r="G337" t="s">
        <v>17</v>
      </c>
      <c r="H337" t="s">
        <v>789</v>
      </c>
      <c r="I337" t="s">
        <v>14</v>
      </c>
      <c r="J337" t="s">
        <v>30</v>
      </c>
      <c r="K337" t="s">
        <v>790</v>
      </c>
      <c r="L337">
        <v>37.7204342</v>
      </c>
      <c r="M337">
        <v>-77.883798400000003</v>
      </c>
    </row>
    <row r="338" spans="1:13" x14ac:dyDescent="0.2">
      <c r="A338" t="s">
        <v>791</v>
      </c>
      <c r="B338" t="s">
        <v>38</v>
      </c>
      <c r="C338" t="str">
        <f>_xlfn.XLOOKUP(A338,'[1]Putative species manifest'!A:A,'[1]Putative species manifest'!B:B)</f>
        <v>AMERICANA</v>
      </c>
      <c r="D338" t="s">
        <v>223</v>
      </c>
      <c r="E338" t="s">
        <v>38</v>
      </c>
      <c r="F338" t="s">
        <v>792</v>
      </c>
      <c r="G338" t="s">
        <v>17</v>
      </c>
      <c r="H338" t="s">
        <v>793</v>
      </c>
      <c r="I338" t="s">
        <v>14</v>
      </c>
      <c r="J338" t="s">
        <v>30</v>
      </c>
      <c r="K338" t="s">
        <v>790</v>
      </c>
      <c r="L338">
        <v>36.747244000000002</v>
      </c>
      <c r="M338">
        <v>-78.942563399999997</v>
      </c>
    </row>
    <row r="339" spans="1:13" x14ac:dyDescent="0.2">
      <c r="A339" t="s">
        <v>794</v>
      </c>
      <c r="B339" t="s">
        <v>38</v>
      </c>
      <c r="C339" t="str">
        <f>_xlfn.XLOOKUP(A339,'[1]Putative species manifest'!A:A,'[1]Putative species manifest'!B:B)</f>
        <v>AMERICANA</v>
      </c>
      <c r="D339" t="s">
        <v>320</v>
      </c>
      <c r="E339" t="s">
        <v>38</v>
      </c>
      <c r="F339" t="s">
        <v>795</v>
      </c>
      <c r="G339" t="s">
        <v>17</v>
      </c>
      <c r="H339" t="s">
        <v>796</v>
      </c>
      <c r="I339" t="s">
        <v>14</v>
      </c>
      <c r="J339" t="s">
        <v>30</v>
      </c>
      <c r="K339" t="s">
        <v>790</v>
      </c>
      <c r="L339">
        <v>36.747244000000002</v>
      </c>
      <c r="M339">
        <v>-78.942563399999997</v>
      </c>
    </row>
    <row r="340" spans="1:13" x14ac:dyDescent="0.2">
      <c r="A340" t="s">
        <v>797</v>
      </c>
      <c r="B340" t="s">
        <v>38</v>
      </c>
      <c r="C340" t="str">
        <f>_xlfn.XLOOKUP(A340,'[1]Putative species manifest'!A:A,'[1]Putative species manifest'!B:B)</f>
        <v>AMERICANA</v>
      </c>
      <c r="D340" t="s">
        <v>223</v>
      </c>
      <c r="E340" t="s">
        <v>38</v>
      </c>
      <c r="F340" t="s">
        <v>798</v>
      </c>
      <c r="G340" t="s">
        <v>17</v>
      </c>
      <c r="H340" t="s">
        <v>799</v>
      </c>
      <c r="I340" t="s">
        <v>14</v>
      </c>
      <c r="J340" t="s">
        <v>30</v>
      </c>
      <c r="K340" t="s">
        <v>800</v>
      </c>
      <c r="L340">
        <v>36.747244000000002</v>
      </c>
      <c r="M340">
        <v>-78.942563399999997</v>
      </c>
    </row>
    <row r="341" spans="1:13" x14ac:dyDescent="0.2">
      <c r="A341" t="s">
        <v>821</v>
      </c>
      <c r="B341" t="s">
        <v>38</v>
      </c>
      <c r="C341" t="str">
        <f>_xlfn.XLOOKUP(A341,'[1]Putative species manifest'!A:A,'[1]Putative species manifest'!B:B)</f>
        <v>AMERICANA</v>
      </c>
      <c r="D341" t="s">
        <v>320</v>
      </c>
      <c r="E341" t="s">
        <v>38</v>
      </c>
      <c r="F341" t="s">
        <v>822</v>
      </c>
      <c r="G341" t="s">
        <v>17</v>
      </c>
      <c r="H341" t="s">
        <v>823</v>
      </c>
      <c r="I341" t="s">
        <v>14</v>
      </c>
      <c r="J341" t="s">
        <v>30</v>
      </c>
      <c r="K341" t="s">
        <v>824</v>
      </c>
      <c r="L341">
        <v>37.744782999999998</v>
      </c>
      <c r="M341">
        <v>-77.446416499999998</v>
      </c>
    </row>
    <row r="342" spans="1:13" x14ac:dyDescent="0.2">
      <c r="A342" t="s">
        <v>801</v>
      </c>
      <c r="B342" t="s">
        <v>38</v>
      </c>
      <c r="C342" t="str">
        <f>_xlfn.XLOOKUP(A342,'[1]Putative species manifest'!A:A,'[1]Putative species manifest'!B:B)</f>
        <v>AMERICANA</v>
      </c>
      <c r="D342" t="s">
        <v>223</v>
      </c>
      <c r="E342" t="s">
        <v>38</v>
      </c>
      <c r="F342" t="s">
        <v>802</v>
      </c>
      <c r="G342" t="s">
        <v>17</v>
      </c>
      <c r="H342" t="s">
        <v>803</v>
      </c>
      <c r="I342" t="s">
        <v>14</v>
      </c>
      <c r="J342" t="s">
        <v>30</v>
      </c>
      <c r="K342" t="s">
        <v>804</v>
      </c>
      <c r="L342">
        <v>37.034166999999997</v>
      </c>
      <c r="M342">
        <v>-76.619444000000001</v>
      </c>
    </row>
    <row r="343" spans="1:13" x14ac:dyDescent="0.2">
      <c r="A343" t="s">
        <v>805</v>
      </c>
      <c r="B343" t="s">
        <v>38</v>
      </c>
      <c r="C343" t="str">
        <f>_xlfn.XLOOKUP(A343,'[1]Putative species manifest'!A:A,'[1]Putative species manifest'!B:B)</f>
        <v>AMERICANA</v>
      </c>
      <c r="D343" t="s">
        <v>320</v>
      </c>
      <c r="E343" t="s">
        <v>38</v>
      </c>
      <c r="F343" t="s">
        <v>806</v>
      </c>
      <c r="G343" t="s">
        <v>17</v>
      </c>
      <c r="H343" t="s">
        <v>807</v>
      </c>
      <c r="I343" t="s">
        <v>14</v>
      </c>
      <c r="J343" t="s">
        <v>30</v>
      </c>
      <c r="K343" t="s">
        <v>808</v>
      </c>
      <c r="L343">
        <v>37.271704999999997</v>
      </c>
      <c r="M343">
        <v>-76.714104000000006</v>
      </c>
    </row>
    <row r="344" spans="1:13" x14ac:dyDescent="0.2">
      <c r="A344" t="s">
        <v>809</v>
      </c>
      <c r="B344" t="s">
        <v>38</v>
      </c>
      <c r="C344" t="str">
        <f>_xlfn.XLOOKUP(A344,'[1]Putative species manifest'!A:A,'[1]Putative species manifest'!B:B)</f>
        <v>AMERICANA</v>
      </c>
      <c r="D344" t="s">
        <v>223</v>
      </c>
      <c r="E344" t="s">
        <v>38</v>
      </c>
      <c r="F344" t="s">
        <v>810</v>
      </c>
      <c r="G344" t="s">
        <v>17</v>
      </c>
      <c r="H344" t="s">
        <v>811</v>
      </c>
      <c r="I344" t="s">
        <v>14</v>
      </c>
      <c r="J344" t="s">
        <v>30</v>
      </c>
      <c r="K344" t="s">
        <v>812</v>
      </c>
      <c r="L344">
        <v>37.581310999999999</v>
      </c>
      <c r="M344">
        <v>-77.062157999999997</v>
      </c>
    </row>
    <row r="345" spans="1:13" x14ac:dyDescent="0.2">
      <c r="A345" t="s">
        <v>813</v>
      </c>
      <c r="B345" t="s">
        <v>38</v>
      </c>
      <c r="C345" t="str">
        <f>_xlfn.XLOOKUP(A345,'[1]Putative species manifest'!A:A,'[1]Putative species manifest'!B:B)</f>
        <v>AMERICANA</v>
      </c>
      <c r="D345" t="s">
        <v>223</v>
      </c>
      <c r="E345" t="s">
        <v>38</v>
      </c>
      <c r="F345" t="s">
        <v>814</v>
      </c>
      <c r="G345" t="s">
        <v>17</v>
      </c>
      <c r="H345" t="s">
        <v>815</v>
      </c>
      <c r="I345" t="s">
        <v>14</v>
      </c>
      <c r="J345" t="s">
        <v>30</v>
      </c>
      <c r="K345" t="s">
        <v>816</v>
      </c>
      <c r="L345">
        <v>37.497470100000001</v>
      </c>
      <c r="M345">
        <v>-76.999045300000006</v>
      </c>
    </row>
    <row r="346" spans="1:13" x14ac:dyDescent="0.2">
      <c r="A346" t="s">
        <v>817</v>
      </c>
      <c r="B346" t="s">
        <v>38</v>
      </c>
      <c r="C346" t="str">
        <f>_xlfn.XLOOKUP(A346,'[1]Putative species manifest'!A:A,'[1]Putative species manifest'!B:B)</f>
        <v>AMERICANA</v>
      </c>
      <c r="D346" t="s">
        <v>223</v>
      </c>
      <c r="E346" t="s">
        <v>38</v>
      </c>
      <c r="F346" t="s">
        <v>818</v>
      </c>
      <c r="G346" t="s">
        <v>17</v>
      </c>
      <c r="H346" t="s">
        <v>819</v>
      </c>
      <c r="I346" t="s">
        <v>14</v>
      </c>
      <c r="J346" t="s">
        <v>30</v>
      </c>
      <c r="K346" t="s">
        <v>820</v>
      </c>
      <c r="L346">
        <v>36.681870600000003</v>
      </c>
      <c r="M346">
        <v>-80.284636000000006</v>
      </c>
    </row>
    <row r="347" spans="1:13" x14ac:dyDescent="0.2">
      <c r="A347" t="s">
        <v>825</v>
      </c>
      <c r="B347" t="s">
        <v>38</v>
      </c>
      <c r="C347" t="str">
        <f>_xlfn.XLOOKUP(A347,'[1]Putative species manifest'!A:A,'[1]Putative species manifest'!B:B)</f>
        <v>AMERICANA</v>
      </c>
      <c r="D347" t="s">
        <v>223</v>
      </c>
      <c r="E347" t="s">
        <v>38</v>
      </c>
      <c r="F347" t="s">
        <v>826</v>
      </c>
      <c r="G347" t="s">
        <v>17</v>
      </c>
      <c r="H347" t="s">
        <v>827</v>
      </c>
      <c r="I347" t="s">
        <v>14</v>
      </c>
      <c r="J347" t="s">
        <v>30</v>
      </c>
      <c r="K347" t="s">
        <v>96</v>
      </c>
      <c r="L347">
        <v>37.111877800000002</v>
      </c>
      <c r="M347">
        <v>-76.895923999999994</v>
      </c>
    </row>
    <row r="348" spans="1:13" x14ac:dyDescent="0.2">
      <c r="A348" t="s">
        <v>828</v>
      </c>
      <c r="B348" t="s">
        <v>38</v>
      </c>
      <c r="C348" t="str">
        <f>_xlfn.XLOOKUP(A348,'[1]Putative species manifest'!A:A,'[1]Putative species manifest'!B:B)</f>
        <v>AMERICANA</v>
      </c>
      <c r="D348" t="s">
        <v>396</v>
      </c>
      <c r="E348" t="s">
        <v>38</v>
      </c>
      <c r="F348" t="s">
        <v>829</v>
      </c>
      <c r="G348" t="s">
        <v>17</v>
      </c>
      <c r="H348" t="s">
        <v>830</v>
      </c>
      <c r="I348" t="s">
        <v>14</v>
      </c>
      <c r="J348" t="s">
        <v>30</v>
      </c>
      <c r="K348" t="s">
        <v>23</v>
      </c>
      <c r="L348">
        <v>37.111877800000002</v>
      </c>
      <c r="M348">
        <v>-76.895923999999994</v>
      </c>
    </row>
    <row r="349" spans="1:13" x14ac:dyDescent="0.2">
      <c r="A349" t="s">
        <v>831</v>
      </c>
      <c r="B349" t="s">
        <v>38</v>
      </c>
      <c r="C349" t="str">
        <f>_xlfn.XLOOKUP(A349,'[1]Putative species manifest'!A:A,'[1]Putative species manifest'!B:B)</f>
        <v>AMERICANA</v>
      </c>
      <c r="D349" t="s">
        <v>223</v>
      </c>
      <c r="E349" t="s">
        <v>38</v>
      </c>
      <c r="F349" t="s">
        <v>832</v>
      </c>
      <c r="G349" t="s">
        <v>17</v>
      </c>
      <c r="H349" t="s">
        <v>833</v>
      </c>
      <c r="I349" t="s">
        <v>14</v>
      </c>
      <c r="J349" t="s">
        <v>30</v>
      </c>
      <c r="K349" t="s">
        <v>86</v>
      </c>
      <c r="L349">
        <v>36.740236000000003</v>
      </c>
      <c r="M349">
        <v>-81.942166599999993</v>
      </c>
    </row>
    <row r="350" spans="1:13" x14ac:dyDescent="0.2">
      <c r="A350" t="s">
        <v>285</v>
      </c>
      <c r="B350" t="s">
        <v>38</v>
      </c>
      <c r="C350" t="str">
        <f>_xlfn.XLOOKUP(A350,'[1]Putative species manifest'!A:A,'[1]Putative species manifest'!B:B)</f>
        <v>CALYCOSA</v>
      </c>
      <c r="D350" t="s">
        <v>244</v>
      </c>
      <c r="E350" t="s">
        <v>50</v>
      </c>
      <c r="F350" t="s">
        <v>286</v>
      </c>
      <c r="G350" t="s">
        <v>17</v>
      </c>
      <c r="H350" t="s">
        <v>287</v>
      </c>
      <c r="I350" t="s">
        <v>14</v>
      </c>
      <c r="J350" t="s">
        <v>40</v>
      </c>
      <c r="K350" t="s">
        <v>15</v>
      </c>
      <c r="L350">
        <v>34.744036000000001</v>
      </c>
      <c r="M350">
        <v>-86.304270000000002</v>
      </c>
    </row>
    <row r="351" spans="1:13" x14ac:dyDescent="0.2">
      <c r="A351" t="s">
        <v>292</v>
      </c>
      <c r="B351" t="s">
        <v>38</v>
      </c>
      <c r="C351" t="str">
        <f>_xlfn.XLOOKUP(A351,'[1]Putative species manifest'!A:A,'[1]Putative species manifest'!B:B)</f>
        <v>CALYCOSA</v>
      </c>
      <c r="D351" t="s">
        <v>244</v>
      </c>
      <c r="E351" t="s">
        <v>50</v>
      </c>
      <c r="F351" t="s">
        <v>293</v>
      </c>
      <c r="G351" t="s">
        <v>17</v>
      </c>
      <c r="H351" t="s">
        <v>294</v>
      </c>
      <c r="I351" t="s">
        <v>14</v>
      </c>
      <c r="J351" t="s">
        <v>40</v>
      </c>
      <c r="K351" t="s">
        <v>51</v>
      </c>
      <c r="L351">
        <v>34.769244700000002</v>
      </c>
      <c r="M351">
        <v>-85.986794099999997</v>
      </c>
    </row>
    <row r="352" spans="1:13" x14ac:dyDescent="0.2">
      <c r="A352" t="s">
        <v>312</v>
      </c>
      <c r="B352" t="s">
        <v>38</v>
      </c>
      <c r="C352" t="str">
        <f>_xlfn.XLOOKUP(A352,'[1]Putative species manifest'!A:A,'[1]Putative species manifest'!B:B)</f>
        <v>BREVIPETALA</v>
      </c>
      <c r="D352" t="s">
        <v>313</v>
      </c>
      <c r="E352" t="s">
        <v>50</v>
      </c>
      <c r="F352" t="s">
        <v>314</v>
      </c>
      <c r="G352" t="s">
        <v>17</v>
      </c>
      <c r="H352" t="s">
        <v>315</v>
      </c>
      <c r="I352" t="s">
        <v>14</v>
      </c>
      <c r="J352" t="s">
        <v>54</v>
      </c>
      <c r="K352" t="s">
        <v>90</v>
      </c>
      <c r="L352">
        <v>35.624428999999999</v>
      </c>
      <c r="M352">
        <v>-93.291522999999998</v>
      </c>
    </row>
    <row r="353" spans="1:13" x14ac:dyDescent="0.2">
      <c r="A353" t="s">
        <v>316</v>
      </c>
      <c r="B353" t="s">
        <v>38</v>
      </c>
      <c r="C353" t="str">
        <f>_xlfn.XLOOKUP(A353,'[1]Putative species manifest'!A:A,'[1]Putative species manifest'!B:B)</f>
        <v>BREVIPETALA</v>
      </c>
      <c r="D353" t="s">
        <v>306</v>
      </c>
      <c r="E353" t="s">
        <v>50</v>
      </c>
      <c r="F353" t="s">
        <v>317</v>
      </c>
      <c r="G353" t="s">
        <v>17</v>
      </c>
      <c r="H353" t="s">
        <v>318</v>
      </c>
      <c r="I353" t="s">
        <v>14</v>
      </c>
      <c r="J353" t="s">
        <v>54</v>
      </c>
      <c r="K353" t="s">
        <v>103</v>
      </c>
      <c r="L353">
        <v>35.5600697</v>
      </c>
      <c r="M353">
        <v>-93.455010799999997</v>
      </c>
    </row>
    <row r="354" spans="1:13" x14ac:dyDescent="0.2">
      <c r="A354" t="s">
        <v>319</v>
      </c>
      <c r="B354" t="s">
        <v>38</v>
      </c>
      <c r="C354" t="str">
        <f>_xlfn.XLOOKUP(A354,'[1]Putative species manifest'!A:A,'[1]Putative species manifest'!B:B)</f>
        <v>CALYCOSA</v>
      </c>
      <c r="D354" t="s">
        <v>320</v>
      </c>
      <c r="E354" t="s">
        <v>38</v>
      </c>
      <c r="F354" t="s">
        <v>321</v>
      </c>
      <c r="G354" t="s">
        <v>17</v>
      </c>
      <c r="H354" t="s">
        <v>322</v>
      </c>
      <c r="I354" t="s">
        <v>14</v>
      </c>
      <c r="J354" t="s">
        <v>55</v>
      </c>
      <c r="K354" t="s">
        <v>323</v>
      </c>
      <c r="L354">
        <v>32.393408000000001</v>
      </c>
      <c r="M354">
        <v>-81.743809999999996</v>
      </c>
    </row>
    <row r="355" spans="1:13" x14ac:dyDescent="0.2">
      <c r="A355" t="s">
        <v>385</v>
      </c>
      <c r="B355" t="s">
        <v>38</v>
      </c>
      <c r="C355" t="str">
        <f>_xlfn.XLOOKUP(A355,'[1]Putative species manifest'!A:A,'[1]Putative species manifest'!B:B)</f>
        <v>BREVIPETALA</v>
      </c>
      <c r="D355" t="s">
        <v>306</v>
      </c>
      <c r="E355" t="s">
        <v>50</v>
      </c>
      <c r="F355" t="s">
        <v>70</v>
      </c>
      <c r="G355" t="s">
        <v>17</v>
      </c>
      <c r="H355" t="s">
        <v>386</v>
      </c>
      <c r="I355" t="s">
        <v>14</v>
      </c>
      <c r="J355" t="s">
        <v>71</v>
      </c>
      <c r="K355" t="s">
        <v>72</v>
      </c>
      <c r="L355">
        <v>32.577195000000003</v>
      </c>
      <c r="M355">
        <v>-93.882423000000003</v>
      </c>
    </row>
    <row r="356" spans="1:13" x14ac:dyDescent="0.2">
      <c r="A356" t="s">
        <v>387</v>
      </c>
      <c r="B356" t="s">
        <v>38</v>
      </c>
      <c r="C356" t="str">
        <f>_xlfn.XLOOKUP(A356,'[1]Putative species manifest'!A:A,'[1]Putative species manifest'!B:B)</f>
        <v>AMERICANA</v>
      </c>
      <c r="D356" t="s">
        <v>349</v>
      </c>
      <c r="E356" t="s">
        <v>50</v>
      </c>
      <c r="F356" t="s">
        <v>388</v>
      </c>
      <c r="G356" t="s">
        <v>17</v>
      </c>
      <c r="H356" t="s">
        <v>389</v>
      </c>
      <c r="I356" t="s">
        <v>14</v>
      </c>
      <c r="J356" t="s">
        <v>22</v>
      </c>
      <c r="K356" t="s">
        <v>390</v>
      </c>
      <c r="L356">
        <v>39.417425000000001</v>
      </c>
      <c r="M356">
        <v>-76.541639000000004</v>
      </c>
    </row>
    <row r="357" spans="1:13" x14ac:dyDescent="0.2">
      <c r="A357" t="s">
        <v>391</v>
      </c>
      <c r="B357" t="s">
        <v>38</v>
      </c>
      <c r="C357" t="str">
        <f>_xlfn.XLOOKUP(A357,'[1]Putative species manifest'!A:A,'[1]Putative species manifest'!B:B)</f>
        <v>AMERICANA</v>
      </c>
      <c r="D357" t="s">
        <v>223</v>
      </c>
      <c r="E357" t="s">
        <v>38</v>
      </c>
      <c r="F357" t="s">
        <v>392</v>
      </c>
      <c r="G357" t="s">
        <v>17</v>
      </c>
      <c r="H357" t="s">
        <v>393</v>
      </c>
      <c r="I357" t="s">
        <v>14</v>
      </c>
      <c r="J357" t="s">
        <v>22</v>
      </c>
      <c r="K357" t="s">
        <v>394</v>
      </c>
      <c r="L357">
        <v>39.290881599999999</v>
      </c>
      <c r="M357">
        <v>-76.610759000000002</v>
      </c>
    </row>
    <row r="358" spans="1:13" x14ac:dyDescent="0.2">
      <c r="A358" t="s">
        <v>308</v>
      </c>
      <c r="B358" t="s">
        <v>38</v>
      </c>
      <c r="C358" t="str">
        <f>_xlfn.XLOOKUP(A358,'[1]Putative species manifest'!A:A,'[1]Putative species manifest'!B:B)</f>
        <v>HIRSUTICAULIS</v>
      </c>
      <c r="D358" t="s">
        <v>306</v>
      </c>
      <c r="E358" t="s">
        <v>50</v>
      </c>
      <c r="F358" t="s">
        <v>309</v>
      </c>
      <c r="G358" t="s">
        <v>17</v>
      </c>
      <c r="H358" t="s">
        <v>310</v>
      </c>
      <c r="I358" t="s">
        <v>14</v>
      </c>
      <c r="J358" t="s">
        <v>54</v>
      </c>
      <c r="K358" t="s">
        <v>311</v>
      </c>
      <c r="L358">
        <v>36.142026000000001</v>
      </c>
      <c r="M358">
        <v>-90.575278999999995</v>
      </c>
    </row>
    <row r="359" spans="1:13" x14ac:dyDescent="0.2">
      <c r="A359" t="s">
        <v>887</v>
      </c>
      <c r="B359" t="s">
        <v>100</v>
      </c>
      <c r="C359" t="str">
        <f>_xlfn.XLOOKUP(A359,'[1]Putative species manifest'!A:A,'[1]Putative species manifest'!B:B)</f>
        <v>HIRSUTICAULIS</v>
      </c>
      <c r="D359" t="s">
        <v>306</v>
      </c>
      <c r="E359" t="s">
        <v>101</v>
      </c>
      <c r="F359" t="s">
        <v>888</v>
      </c>
      <c r="G359" t="s">
        <v>17</v>
      </c>
      <c r="H359" t="s">
        <v>889</v>
      </c>
      <c r="I359" t="s">
        <v>14</v>
      </c>
      <c r="J359" t="s">
        <v>54</v>
      </c>
      <c r="K359" t="s">
        <v>311</v>
      </c>
      <c r="L359">
        <v>35.834841300000001</v>
      </c>
      <c r="M359">
        <v>-90.644114400000007</v>
      </c>
    </row>
    <row r="360" spans="1:13" x14ac:dyDescent="0.2">
      <c r="A360" t="s">
        <v>908</v>
      </c>
      <c r="B360" t="s">
        <v>100</v>
      </c>
      <c r="C360" t="str">
        <f>_xlfn.XLOOKUP(A360,'[1]Putative species manifest'!A:A,'[1]Putative species manifest'!B:B)</f>
        <v>HIRSUTICAULIS</v>
      </c>
      <c r="D360" t="s">
        <v>313</v>
      </c>
      <c r="E360" t="s">
        <v>101</v>
      </c>
      <c r="F360" t="s">
        <v>909</v>
      </c>
      <c r="G360" t="s">
        <v>17</v>
      </c>
      <c r="H360" t="s">
        <v>910</v>
      </c>
      <c r="I360" t="s">
        <v>14</v>
      </c>
      <c r="J360" t="s">
        <v>54</v>
      </c>
      <c r="K360" t="s">
        <v>89</v>
      </c>
      <c r="L360">
        <v>35.834841300000001</v>
      </c>
      <c r="M360">
        <v>-90.644114400000007</v>
      </c>
    </row>
    <row r="361" spans="1:13" x14ac:dyDescent="0.2">
      <c r="A361" t="s">
        <v>911</v>
      </c>
      <c r="B361" t="s">
        <v>100</v>
      </c>
      <c r="C361" t="str">
        <f>_xlfn.XLOOKUP(A361,'[1]Putative species manifest'!A:A,'[1]Putative species manifest'!B:B)</f>
        <v>HIRSUTICAULIS</v>
      </c>
      <c r="D361" t="s">
        <v>313</v>
      </c>
      <c r="E361" t="s">
        <v>101</v>
      </c>
      <c r="F361" t="s">
        <v>912</v>
      </c>
      <c r="G361" t="s">
        <v>17</v>
      </c>
      <c r="H361" t="s">
        <v>913</v>
      </c>
      <c r="I361" t="s">
        <v>14</v>
      </c>
      <c r="J361" t="s">
        <v>54</v>
      </c>
      <c r="K361" t="s">
        <v>89</v>
      </c>
      <c r="L361">
        <v>35.511007499999998</v>
      </c>
      <c r="M361">
        <v>-93.886484699999997</v>
      </c>
    </row>
    <row r="362" spans="1:13" x14ac:dyDescent="0.2">
      <c r="A362" t="s">
        <v>914</v>
      </c>
      <c r="B362" t="s">
        <v>100</v>
      </c>
      <c r="C362" t="str">
        <f>_xlfn.XLOOKUP(A362,'[1]Putative species manifest'!A:A,'[1]Putative species manifest'!B:B)</f>
        <v>HIRSUTICAULIS</v>
      </c>
      <c r="D362" t="s">
        <v>306</v>
      </c>
      <c r="E362" t="s">
        <v>101</v>
      </c>
      <c r="F362" t="s">
        <v>915</v>
      </c>
      <c r="G362" t="s">
        <v>17</v>
      </c>
      <c r="H362" t="s">
        <v>916</v>
      </c>
      <c r="I362" t="s">
        <v>14</v>
      </c>
      <c r="J362" t="s">
        <v>54</v>
      </c>
      <c r="K362" t="s">
        <v>89</v>
      </c>
      <c r="L362">
        <v>35.511007499999998</v>
      </c>
      <c r="M362">
        <v>-93.886484699999997</v>
      </c>
    </row>
    <row r="363" spans="1:13" x14ac:dyDescent="0.2">
      <c r="A363" t="s">
        <v>927</v>
      </c>
      <c r="B363" t="s">
        <v>100</v>
      </c>
      <c r="C363" t="str">
        <f>_xlfn.XLOOKUP(A363,'[1]Putative species manifest'!A:A,'[1]Putative species manifest'!B:B)</f>
        <v>HIRSUTICAULIS</v>
      </c>
      <c r="D363" t="s">
        <v>306</v>
      </c>
      <c r="E363" t="s">
        <v>101</v>
      </c>
      <c r="F363" t="s">
        <v>928</v>
      </c>
      <c r="G363" t="s">
        <v>17</v>
      </c>
      <c r="H363" t="s">
        <v>929</v>
      </c>
      <c r="I363" t="s">
        <v>14</v>
      </c>
      <c r="J363" t="s">
        <v>54</v>
      </c>
      <c r="K363" t="s">
        <v>102</v>
      </c>
      <c r="L363">
        <v>35.943319000000002</v>
      </c>
      <c r="M363">
        <v>-93.070165000000003</v>
      </c>
    </row>
    <row r="364" spans="1:13" x14ac:dyDescent="0.2">
      <c r="A364" t="s">
        <v>933</v>
      </c>
      <c r="B364" t="s">
        <v>100</v>
      </c>
      <c r="C364" t="str">
        <f>_xlfn.XLOOKUP(A364,'[1]Putative species manifest'!A:A,'[1]Putative species manifest'!B:B)</f>
        <v>HIRSUTICAULIS</v>
      </c>
      <c r="D364" t="s">
        <v>306</v>
      </c>
      <c r="E364" t="s">
        <v>101</v>
      </c>
      <c r="F364" t="s">
        <v>934</v>
      </c>
      <c r="G364" t="s">
        <v>17</v>
      </c>
      <c r="H364" t="s">
        <v>935</v>
      </c>
      <c r="I364" t="s">
        <v>14</v>
      </c>
      <c r="J364" t="s">
        <v>54</v>
      </c>
      <c r="K364" t="s">
        <v>52</v>
      </c>
      <c r="L364">
        <v>36.306896000000002</v>
      </c>
      <c r="M364">
        <v>-91.085752999999997</v>
      </c>
    </row>
    <row r="365" spans="1:13" x14ac:dyDescent="0.2">
      <c r="A365" t="s">
        <v>936</v>
      </c>
      <c r="B365" t="s">
        <v>100</v>
      </c>
      <c r="C365" t="str">
        <f>_xlfn.XLOOKUP(A365,'[1]Putative species manifest'!A:A,'[1]Putative species manifest'!B:B)</f>
        <v>HIRSUTICAULIS</v>
      </c>
      <c r="D365" t="s">
        <v>306</v>
      </c>
      <c r="E365" t="s">
        <v>101</v>
      </c>
      <c r="F365" t="s">
        <v>937</v>
      </c>
      <c r="G365" t="s">
        <v>17</v>
      </c>
      <c r="H365" t="s">
        <v>938</v>
      </c>
      <c r="I365" t="s">
        <v>14</v>
      </c>
      <c r="J365" t="s">
        <v>54</v>
      </c>
      <c r="K365" t="s">
        <v>174</v>
      </c>
      <c r="L365">
        <v>36.341231499999999</v>
      </c>
      <c r="M365">
        <v>-91.038701700000004</v>
      </c>
    </row>
    <row r="366" spans="1:13" x14ac:dyDescent="0.2">
      <c r="A366" t="s">
        <v>939</v>
      </c>
      <c r="B366" t="s">
        <v>100</v>
      </c>
      <c r="C366" t="str">
        <f>_xlfn.XLOOKUP(A366,'[1]Putative species manifest'!A:A,'[1]Putative species manifest'!B:B)</f>
        <v>HIRSUTICAULIS</v>
      </c>
      <c r="D366" t="s">
        <v>306</v>
      </c>
      <c r="E366" t="s">
        <v>101</v>
      </c>
      <c r="F366" t="s">
        <v>940</v>
      </c>
      <c r="G366" t="s">
        <v>17</v>
      </c>
      <c r="H366" t="s">
        <v>941</v>
      </c>
      <c r="I366" t="s">
        <v>14</v>
      </c>
      <c r="J366" t="s">
        <v>54</v>
      </c>
      <c r="K366" t="s">
        <v>175</v>
      </c>
      <c r="L366">
        <v>35.995665000000002</v>
      </c>
      <c r="M366">
        <v>-92.297486000000006</v>
      </c>
    </row>
    <row r="367" spans="1:13" x14ac:dyDescent="0.2">
      <c r="A367" t="s">
        <v>942</v>
      </c>
      <c r="B367" t="s">
        <v>100</v>
      </c>
      <c r="C367" t="str">
        <f>_xlfn.XLOOKUP(A367,'[1]Putative species manifest'!A:A,'[1]Putative species manifest'!B:B)</f>
        <v>HIRSUTICAULIS</v>
      </c>
      <c r="D367" t="s">
        <v>306</v>
      </c>
      <c r="E367" t="s">
        <v>101</v>
      </c>
      <c r="F367" t="s">
        <v>943</v>
      </c>
      <c r="G367" t="s">
        <v>17</v>
      </c>
      <c r="H367" t="s">
        <v>944</v>
      </c>
      <c r="I367" t="s">
        <v>14</v>
      </c>
      <c r="J367" t="s">
        <v>54</v>
      </c>
      <c r="K367" t="s">
        <v>945</v>
      </c>
      <c r="L367">
        <v>35.831715899999999</v>
      </c>
      <c r="M367">
        <v>-92.174763299999995</v>
      </c>
    </row>
    <row r="368" spans="1:13" x14ac:dyDescent="0.2">
      <c r="A368" t="s">
        <v>978</v>
      </c>
      <c r="B368" t="s">
        <v>100</v>
      </c>
      <c r="C368" t="str">
        <f>_xlfn.XLOOKUP(A368,'[1]Putative species manifest'!A:A,'[1]Putative species manifest'!B:B)</f>
        <v>HIRSUTICAULIS</v>
      </c>
      <c r="D368" t="s">
        <v>313</v>
      </c>
      <c r="E368" t="s">
        <v>101</v>
      </c>
      <c r="F368" t="s">
        <v>979</v>
      </c>
      <c r="G368" t="s">
        <v>17</v>
      </c>
      <c r="H368" t="s">
        <v>980</v>
      </c>
      <c r="I368" t="s">
        <v>14</v>
      </c>
      <c r="J368" t="s">
        <v>54</v>
      </c>
      <c r="K368" t="s">
        <v>23</v>
      </c>
      <c r="L368">
        <v>35.575908599999998</v>
      </c>
      <c r="M368">
        <v>-92.491614400000003</v>
      </c>
    </row>
    <row r="369" spans="1:13" x14ac:dyDescent="0.2">
      <c r="A369" t="s">
        <v>1040</v>
      </c>
      <c r="B369" t="s">
        <v>100</v>
      </c>
      <c r="C369" t="str">
        <f>_xlfn.XLOOKUP(A369,'[1]Putative species manifest'!A:A,'[1]Putative species manifest'!B:B)</f>
        <v>HIRSUTICAULIS</v>
      </c>
      <c r="D369" t="s">
        <v>244</v>
      </c>
      <c r="E369" t="s">
        <v>101</v>
      </c>
      <c r="F369" t="s">
        <v>1041</v>
      </c>
      <c r="G369" t="s">
        <v>17</v>
      </c>
      <c r="H369" t="s">
        <v>1042</v>
      </c>
      <c r="I369" t="s">
        <v>14</v>
      </c>
      <c r="J369" t="s">
        <v>66</v>
      </c>
      <c r="K369" t="s">
        <v>112</v>
      </c>
      <c r="L369">
        <v>35.967262499999997</v>
      </c>
      <c r="M369">
        <v>-94.228065599999994</v>
      </c>
    </row>
    <row r="370" spans="1:13" x14ac:dyDescent="0.2">
      <c r="A370" t="s">
        <v>1043</v>
      </c>
      <c r="B370" t="s">
        <v>100</v>
      </c>
      <c r="C370" t="str">
        <f>_xlfn.XLOOKUP(A370,'[1]Putative species manifest'!A:A,'[1]Putative species manifest'!B:B)</f>
        <v>HIRSUTICAULIS</v>
      </c>
      <c r="D370" t="s">
        <v>244</v>
      </c>
      <c r="E370" t="s">
        <v>101</v>
      </c>
      <c r="F370" t="s">
        <v>1044</v>
      </c>
      <c r="G370" t="s">
        <v>17</v>
      </c>
      <c r="H370" t="s">
        <v>1045</v>
      </c>
      <c r="I370" t="s">
        <v>14</v>
      </c>
      <c r="J370" t="s">
        <v>66</v>
      </c>
      <c r="K370" t="s">
        <v>1046</v>
      </c>
      <c r="L370">
        <v>37.199918099999998</v>
      </c>
      <c r="M370">
        <v>-86.2206738</v>
      </c>
    </row>
    <row r="371" spans="1:13" x14ac:dyDescent="0.2">
      <c r="A371" t="s">
        <v>1052</v>
      </c>
      <c r="B371" t="s">
        <v>100</v>
      </c>
      <c r="C371" t="str">
        <f>_xlfn.XLOOKUP(A371,'[1]Putative species manifest'!A:A,'[1]Putative species manifest'!B:B)</f>
        <v>HIRSUTICAULIS</v>
      </c>
      <c r="D371" t="s">
        <v>244</v>
      </c>
      <c r="E371" t="s">
        <v>101</v>
      </c>
      <c r="F371" t="s">
        <v>1053</v>
      </c>
      <c r="G371" t="s">
        <v>17</v>
      </c>
      <c r="H371" t="s">
        <v>1054</v>
      </c>
      <c r="I371" t="s">
        <v>14</v>
      </c>
      <c r="J371" t="s">
        <v>66</v>
      </c>
      <c r="K371" t="s">
        <v>200</v>
      </c>
      <c r="L371">
        <v>37.189862699999999</v>
      </c>
      <c r="M371">
        <v>-88.334382500000004</v>
      </c>
    </row>
    <row r="372" spans="1:13" x14ac:dyDescent="0.2">
      <c r="A372" t="s">
        <v>1068</v>
      </c>
      <c r="B372" t="s">
        <v>100</v>
      </c>
      <c r="C372" t="str">
        <f>_xlfn.XLOOKUP(A372,'[1]Putative species manifest'!A:A,'[1]Putative species manifest'!B:B)</f>
        <v>HIRSUTICAULIS</v>
      </c>
      <c r="D372" t="s">
        <v>244</v>
      </c>
      <c r="E372" t="s">
        <v>101</v>
      </c>
      <c r="F372" t="s">
        <v>1069</v>
      </c>
      <c r="G372" t="s">
        <v>17</v>
      </c>
      <c r="H372" t="s">
        <v>1070</v>
      </c>
      <c r="I372" t="s">
        <v>14</v>
      </c>
      <c r="J372" t="s">
        <v>66</v>
      </c>
      <c r="K372" t="s">
        <v>202</v>
      </c>
      <c r="L372">
        <v>36.998123200000002</v>
      </c>
      <c r="M372">
        <v>-88.065814900000007</v>
      </c>
    </row>
    <row r="373" spans="1:13" x14ac:dyDescent="0.2">
      <c r="A373" t="s">
        <v>1071</v>
      </c>
      <c r="B373" t="s">
        <v>100</v>
      </c>
      <c r="C373" t="str">
        <f>_xlfn.XLOOKUP(A373,'[1]Putative species manifest'!A:A,'[1]Putative species manifest'!B:B)</f>
        <v>HIRSUTICAULIS</v>
      </c>
      <c r="D373" t="s">
        <v>244</v>
      </c>
      <c r="E373" t="s">
        <v>101</v>
      </c>
      <c r="F373" t="s">
        <v>1072</v>
      </c>
      <c r="G373" t="s">
        <v>17</v>
      </c>
      <c r="H373" t="s">
        <v>1073</v>
      </c>
      <c r="I373" t="s">
        <v>14</v>
      </c>
      <c r="J373" t="s">
        <v>66</v>
      </c>
      <c r="K373" t="s">
        <v>202</v>
      </c>
      <c r="L373">
        <v>36.794922100000001</v>
      </c>
      <c r="M373">
        <v>-87.878243299999994</v>
      </c>
    </row>
    <row r="374" spans="1:13" x14ac:dyDescent="0.2">
      <c r="A374" t="s">
        <v>859</v>
      </c>
      <c r="B374" t="s">
        <v>97</v>
      </c>
      <c r="C374" t="str">
        <f>_xlfn.XLOOKUP(A374,'[1]Putative species manifest'!A:A,'[1]Putative species manifest'!B:B)</f>
        <v>HETERADENIA</v>
      </c>
      <c r="D374" t="s">
        <v>249</v>
      </c>
      <c r="E374" t="s">
        <v>43</v>
      </c>
      <c r="F374" t="s">
        <v>860</v>
      </c>
      <c r="G374" t="s">
        <v>17</v>
      </c>
      <c r="H374" t="s">
        <v>861</v>
      </c>
      <c r="I374" t="s">
        <v>14</v>
      </c>
      <c r="J374" t="s">
        <v>55</v>
      </c>
      <c r="K374" t="s">
        <v>59</v>
      </c>
      <c r="L374">
        <v>32.744751000000001</v>
      </c>
      <c r="M374">
        <v>-81.617585000000005</v>
      </c>
    </row>
    <row r="375" spans="1:13" x14ac:dyDescent="0.2">
      <c r="A375" t="s">
        <v>335</v>
      </c>
      <c r="B375" t="s">
        <v>38</v>
      </c>
      <c r="C375" t="str">
        <f>_xlfn.XLOOKUP(A375,'[1]Putative species manifest'!A:A,'[1]Putative species manifest'!B:B)</f>
        <v>CALYCOSA</v>
      </c>
      <c r="D375" t="s">
        <v>249</v>
      </c>
      <c r="E375" t="s">
        <v>43</v>
      </c>
      <c r="F375" t="s">
        <v>336</v>
      </c>
      <c r="G375" t="s">
        <v>17</v>
      </c>
      <c r="H375" t="s">
        <v>337</v>
      </c>
      <c r="I375" t="s">
        <v>14</v>
      </c>
      <c r="J375" t="s">
        <v>55</v>
      </c>
      <c r="K375" t="s">
        <v>59</v>
      </c>
      <c r="L375">
        <v>32.744751000000001</v>
      </c>
      <c r="M375">
        <v>-81.617585000000005</v>
      </c>
    </row>
    <row r="376" spans="1:13" x14ac:dyDescent="0.2">
      <c r="A376" t="s">
        <v>1123</v>
      </c>
      <c r="B376" t="s">
        <v>100</v>
      </c>
      <c r="C376" t="str">
        <f>_xlfn.XLOOKUP(A376,'[1]Putative species manifest'!A:A,'[1]Putative species manifest'!B:B)</f>
        <v>HIRSUTICAULIS</v>
      </c>
      <c r="D376" t="s">
        <v>244</v>
      </c>
      <c r="E376" t="s">
        <v>101</v>
      </c>
      <c r="F376" t="s">
        <v>1124</v>
      </c>
      <c r="G376" t="s">
        <v>17</v>
      </c>
      <c r="H376" t="s">
        <v>1125</v>
      </c>
      <c r="I376" t="s">
        <v>14</v>
      </c>
      <c r="J376" t="s">
        <v>87</v>
      </c>
      <c r="K376" t="s">
        <v>203</v>
      </c>
      <c r="L376">
        <v>36.439722000000003</v>
      </c>
      <c r="M376">
        <v>-87.296666999999999</v>
      </c>
    </row>
    <row r="377" spans="1:13" x14ac:dyDescent="0.2">
      <c r="A377" t="s">
        <v>735</v>
      </c>
      <c r="B377" t="s">
        <v>38</v>
      </c>
      <c r="C377" t="str">
        <f>_xlfn.XLOOKUP(A377,'[1]Putative species manifest'!A:A,'[1]Putative species manifest'!B:B)</f>
        <v>BREVIPETALA</v>
      </c>
      <c r="D377" t="s">
        <v>339</v>
      </c>
      <c r="E377" t="s">
        <v>38</v>
      </c>
      <c r="F377" t="s">
        <v>217</v>
      </c>
      <c r="G377" t="s">
        <v>17</v>
      </c>
      <c r="H377" t="s">
        <v>736</v>
      </c>
      <c r="I377" t="s">
        <v>14</v>
      </c>
      <c r="J377" t="s">
        <v>87</v>
      </c>
      <c r="K377" t="s">
        <v>92</v>
      </c>
      <c r="L377">
        <v>35.103928000000003</v>
      </c>
      <c r="M377">
        <v>-84.557090000000002</v>
      </c>
    </row>
    <row r="378" spans="1:13" x14ac:dyDescent="0.2">
      <c r="A378" t="s">
        <v>1167</v>
      </c>
      <c r="B378" t="s">
        <v>118</v>
      </c>
      <c r="C378" t="str">
        <f>_xlfn.XLOOKUP(A378,'[1]Putative species manifest'!A:A,'[1]Putative species manifest'!B:B)</f>
        <v>HISPIDA</v>
      </c>
      <c r="D378" t="s">
        <v>223</v>
      </c>
      <c r="E378" t="s">
        <v>118</v>
      </c>
      <c r="F378" t="s">
        <v>1168</v>
      </c>
      <c r="G378" t="s">
        <v>17</v>
      </c>
      <c r="H378" t="s">
        <v>1169</v>
      </c>
      <c r="I378" t="s">
        <v>14</v>
      </c>
      <c r="J378" t="s">
        <v>30</v>
      </c>
      <c r="K378" t="s">
        <v>119</v>
      </c>
    </row>
    <row r="379" spans="1:13" x14ac:dyDescent="0.2">
      <c r="A379" t="s">
        <v>1170</v>
      </c>
      <c r="B379" t="s">
        <v>118</v>
      </c>
      <c r="C379" t="str">
        <f>_xlfn.XLOOKUP(A379,'[1]Putative species manifest'!A:A,'[1]Putative species manifest'!B:B)</f>
        <v>HISPIDA</v>
      </c>
      <c r="D379" t="s">
        <v>223</v>
      </c>
      <c r="E379" t="s">
        <v>118</v>
      </c>
      <c r="F379" t="s">
        <v>1171</v>
      </c>
      <c r="G379" t="s">
        <v>17</v>
      </c>
      <c r="H379" t="s">
        <v>1172</v>
      </c>
      <c r="I379" t="s">
        <v>14</v>
      </c>
      <c r="J379" t="s">
        <v>30</v>
      </c>
      <c r="K379" t="s">
        <v>119</v>
      </c>
      <c r="L379">
        <v>38.179380899999998</v>
      </c>
      <c r="M379">
        <v>-79.152576100000005</v>
      </c>
    </row>
    <row r="380" spans="1:13" x14ac:dyDescent="0.2">
      <c r="A380" t="s">
        <v>1173</v>
      </c>
      <c r="B380" t="s">
        <v>118</v>
      </c>
      <c r="C380" t="str">
        <f>_xlfn.XLOOKUP(A380,'[1]Putative species manifest'!A:A,'[1]Putative species manifest'!B:B)</f>
        <v>HISPIDA</v>
      </c>
      <c r="D380" t="s">
        <v>223</v>
      </c>
      <c r="E380" t="s">
        <v>118</v>
      </c>
      <c r="F380" t="s">
        <v>1174</v>
      </c>
      <c r="G380" t="s">
        <v>17</v>
      </c>
      <c r="H380" t="s">
        <v>1175</v>
      </c>
      <c r="I380" t="s">
        <v>14</v>
      </c>
      <c r="J380" t="s">
        <v>30</v>
      </c>
      <c r="K380" t="s">
        <v>26</v>
      </c>
      <c r="L380">
        <v>38.179380899999998</v>
      </c>
      <c r="M380">
        <v>-79.152576100000005</v>
      </c>
    </row>
    <row r="381" spans="1:13" x14ac:dyDescent="0.2">
      <c r="A381" t="s">
        <v>1176</v>
      </c>
      <c r="B381" t="s">
        <v>118</v>
      </c>
      <c r="C381" t="str">
        <f>_xlfn.XLOOKUP(A381,'[1]Putative species manifest'!A:A,'[1]Putative species manifest'!B:B)</f>
        <v>HISPIDA</v>
      </c>
      <c r="D381" t="s">
        <v>223</v>
      </c>
      <c r="E381" t="s">
        <v>118</v>
      </c>
      <c r="F381" t="s">
        <v>1177</v>
      </c>
      <c r="G381" t="s">
        <v>17</v>
      </c>
      <c r="H381" t="s">
        <v>1178</v>
      </c>
      <c r="I381" t="s">
        <v>14</v>
      </c>
      <c r="J381" t="s">
        <v>30</v>
      </c>
      <c r="K381" t="s">
        <v>95</v>
      </c>
      <c r="L381">
        <v>37.545183000000002</v>
      </c>
      <c r="M381">
        <v>-79.971502999999998</v>
      </c>
    </row>
    <row r="382" spans="1:13" x14ac:dyDescent="0.2">
      <c r="A382" t="s">
        <v>1179</v>
      </c>
      <c r="B382" t="s">
        <v>118</v>
      </c>
      <c r="C382" t="str">
        <f>_xlfn.XLOOKUP(A382,'[1]Putative species manifest'!A:A,'[1]Putative species manifest'!B:B)</f>
        <v>HISPIDA</v>
      </c>
      <c r="D382" t="s">
        <v>223</v>
      </c>
      <c r="E382" t="s">
        <v>118</v>
      </c>
      <c r="F382" t="s">
        <v>1180</v>
      </c>
      <c r="G382" t="s">
        <v>17</v>
      </c>
      <c r="H382" t="s">
        <v>1181</v>
      </c>
      <c r="I382" t="s">
        <v>14</v>
      </c>
      <c r="J382" t="s">
        <v>30</v>
      </c>
      <c r="K382" t="s">
        <v>95</v>
      </c>
      <c r="L382">
        <v>37.544884000000003</v>
      </c>
      <c r="M382">
        <v>-79.971283999999997</v>
      </c>
    </row>
    <row r="383" spans="1:13" x14ac:dyDescent="0.2">
      <c r="A383" t="s">
        <v>1182</v>
      </c>
      <c r="B383" t="s">
        <v>118</v>
      </c>
      <c r="C383" t="str">
        <f>_xlfn.XLOOKUP(A383,'[1]Putative species manifest'!A:A,'[1]Putative species manifest'!B:B)</f>
        <v>HISPIDA</v>
      </c>
      <c r="D383" t="s">
        <v>223</v>
      </c>
      <c r="E383" t="s">
        <v>118</v>
      </c>
      <c r="F383" t="s">
        <v>1183</v>
      </c>
      <c r="G383" t="s">
        <v>17</v>
      </c>
      <c r="H383" t="s">
        <v>1184</v>
      </c>
      <c r="I383" t="s">
        <v>14</v>
      </c>
      <c r="J383" t="s">
        <v>30</v>
      </c>
      <c r="K383" t="s">
        <v>95</v>
      </c>
      <c r="L383">
        <v>37.482975000000003</v>
      </c>
      <c r="M383">
        <v>-79.668628999999996</v>
      </c>
    </row>
    <row r="384" spans="1:13" x14ac:dyDescent="0.2">
      <c r="A384" t="s">
        <v>1185</v>
      </c>
      <c r="B384" t="s">
        <v>118</v>
      </c>
      <c r="C384" t="str">
        <f>_xlfn.XLOOKUP(A384,'[1]Putative species manifest'!A:A,'[1]Putative species manifest'!B:B)</f>
        <v>HISPIDA</v>
      </c>
      <c r="D384" t="s">
        <v>223</v>
      </c>
      <c r="E384" t="s">
        <v>118</v>
      </c>
      <c r="F384" t="s">
        <v>1186</v>
      </c>
      <c r="G384" t="s">
        <v>17</v>
      </c>
      <c r="H384" t="s">
        <v>1187</v>
      </c>
      <c r="I384" t="s">
        <v>14</v>
      </c>
      <c r="J384" t="s">
        <v>30</v>
      </c>
      <c r="K384" t="s">
        <v>120</v>
      </c>
      <c r="L384">
        <v>37.534587000000002</v>
      </c>
      <c r="M384">
        <v>-80.235484</v>
      </c>
    </row>
    <row r="385" spans="1:13" x14ac:dyDescent="0.2">
      <c r="A385" t="s">
        <v>1188</v>
      </c>
      <c r="B385" t="s">
        <v>118</v>
      </c>
      <c r="C385" t="str">
        <f>_xlfn.XLOOKUP(A385,'[1]Putative species manifest'!A:A,'[1]Putative species manifest'!B:B)</f>
        <v>HISPIDA</v>
      </c>
      <c r="D385" t="s">
        <v>223</v>
      </c>
      <c r="E385" t="s">
        <v>118</v>
      </c>
      <c r="F385" t="s">
        <v>1189</v>
      </c>
      <c r="G385" t="s">
        <v>17</v>
      </c>
      <c r="H385" t="s">
        <v>1190</v>
      </c>
      <c r="I385" t="s">
        <v>14</v>
      </c>
      <c r="J385" t="s">
        <v>30</v>
      </c>
      <c r="K385" t="s">
        <v>120</v>
      </c>
      <c r="L385">
        <v>37.542293999999998</v>
      </c>
      <c r="M385">
        <v>-79.969289000000003</v>
      </c>
    </row>
    <row r="386" spans="1:13" x14ac:dyDescent="0.2">
      <c r="A386" t="s">
        <v>1191</v>
      </c>
      <c r="B386" t="s">
        <v>118</v>
      </c>
      <c r="C386" t="str">
        <f>_xlfn.XLOOKUP(A386,'[1]Putative species manifest'!A:A,'[1]Putative species manifest'!B:B)</f>
        <v>HISPIDA</v>
      </c>
      <c r="D386" t="s">
        <v>223</v>
      </c>
      <c r="E386" t="s">
        <v>118</v>
      </c>
      <c r="F386" t="s">
        <v>1192</v>
      </c>
      <c r="G386" t="s">
        <v>17</v>
      </c>
      <c r="H386" t="s">
        <v>1193</v>
      </c>
      <c r="I386" t="s">
        <v>14</v>
      </c>
      <c r="J386" t="s">
        <v>30</v>
      </c>
      <c r="K386" t="s">
        <v>120</v>
      </c>
      <c r="L386">
        <v>37.483370000000001</v>
      </c>
      <c r="M386">
        <v>-80.130283000000006</v>
      </c>
    </row>
    <row r="387" spans="1:13" x14ac:dyDescent="0.2">
      <c r="A387" t="s">
        <v>1194</v>
      </c>
      <c r="B387" t="s">
        <v>118</v>
      </c>
      <c r="C387" t="str">
        <f>_xlfn.XLOOKUP(A387,'[1]Putative species manifest'!A:A,'[1]Putative species manifest'!B:B)</f>
        <v>HISPIDA</v>
      </c>
      <c r="D387" t="s">
        <v>223</v>
      </c>
      <c r="E387" t="s">
        <v>118</v>
      </c>
      <c r="F387" t="s">
        <v>1195</v>
      </c>
      <c r="G387" t="s">
        <v>17</v>
      </c>
      <c r="H387" t="s">
        <v>1196</v>
      </c>
      <c r="I387" t="s">
        <v>14</v>
      </c>
      <c r="J387" t="s">
        <v>30</v>
      </c>
      <c r="K387" t="s">
        <v>120</v>
      </c>
      <c r="L387">
        <v>37.357343</v>
      </c>
      <c r="M387">
        <v>-80.439593000000002</v>
      </c>
    </row>
    <row r="388" spans="1:13" x14ac:dyDescent="0.2">
      <c r="A388" t="s">
        <v>1197</v>
      </c>
      <c r="B388" t="s">
        <v>118</v>
      </c>
      <c r="C388" t="str">
        <f>_xlfn.XLOOKUP(A388,'[1]Putative species manifest'!A:A,'[1]Putative species manifest'!B:B)</f>
        <v>HISPIDA</v>
      </c>
      <c r="D388" t="s">
        <v>223</v>
      </c>
      <c r="E388" t="s">
        <v>118</v>
      </c>
      <c r="F388" t="s">
        <v>1198</v>
      </c>
      <c r="G388" t="s">
        <v>17</v>
      </c>
      <c r="H388" t="s">
        <v>1199</v>
      </c>
      <c r="I388" t="s">
        <v>14</v>
      </c>
      <c r="J388" t="s">
        <v>30</v>
      </c>
      <c r="K388" t="s">
        <v>1200</v>
      </c>
      <c r="L388">
        <v>38.825515000000003</v>
      </c>
      <c r="M388">
        <v>-77.719504999999998</v>
      </c>
    </row>
    <row r="389" spans="1:13" x14ac:dyDescent="0.2">
      <c r="A389" t="s">
        <v>1201</v>
      </c>
      <c r="B389" t="s">
        <v>118</v>
      </c>
      <c r="C389" t="str">
        <f>_xlfn.XLOOKUP(A389,'[1]Putative species manifest'!A:A,'[1]Putative species manifest'!B:B)</f>
        <v>HISPIDA</v>
      </c>
      <c r="D389" t="s">
        <v>223</v>
      </c>
      <c r="E389" t="s">
        <v>118</v>
      </c>
      <c r="F389" t="s">
        <v>1202</v>
      </c>
      <c r="G389" t="s">
        <v>17</v>
      </c>
      <c r="H389" t="s">
        <v>1203</v>
      </c>
      <c r="I389" t="s">
        <v>14</v>
      </c>
      <c r="J389" t="s">
        <v>30</v>
      </c>
      <c r="K389" t="s">
        <v>219</v>
      </c>
      <c r="L389">
        <v>37.605918000000003</v>
      </c>
      <c r="M389">
        <v>-80.240696999999997</v>
      </c>
    </row>
    <row r="390" spans="1:13" x14ac:dyDescent="0.2">
      <c r="A390" t="s">
        <v>1204</v>
      </c>
      <c r="B390" t="s">
        <v>118</v>
      </c>
      <c r="C390" t="str">
        <f>_xlfn.XLOOKUP(A390,'[1]Putative species manifest'!A:A,'[1]Putative species manifest'!B:B)</f>
        <v>HISPIDA</v>
      </c>
      <c r="D390" t="s">
        <v>396</v>
      </c>
      <c r="E390" t="s">
        <v>118</v>
      </c>
      <c r="F390" t="s">
        <v>1205</v>
      </c>
      <c r="G390" t="s">
        <v>17</v>
      </c>
      <c r="H390" t="s">
        <v>1206</v>
      </c>
      <c r="I390" t="s">
        <v>14</v>
      </c>
      <c r="J390" t="s">
        <v>30</v>
      </c>
      <c r="K390" t="s">
        <v>219</v>
      </c>
      <c r="L390">
        <v>37.270794000000002</v>
      </c>
      <c r="M390">
        <v>-80.694765000000004</v>
      </c>
    </row>
    <row r="391" spans="1:13" x14ac:dyDescent="0.2">
      <c r="A391" t="s">
        <v>1207</v>
      </c>
      <c r="B391" t="s">
        <v>118</v>
      </c>
      <c r="C391" t="str">
        <f>_xlfn.XLOOKUP(A391,'[1]Putative species manifest'!A:A,'[1]Putative species manifest'!B:B)</f>
        <v>HISPIDA</v>
      </c>
      <c r="D391" t="s">
        <v>396</v>
      </c>
      <c r="E391" t="s">
        <v>118</v>
      </c>
      <c r="F391" t="s">
        <v>1208</v>
      </c>
      <c r="G391" t="s">
        <v>17</v>
      </c>
      <c r="H391" t="s">
        <v>1209</v>
      </c>
      <c r="I391" t="s">
        <v>14</v>
      </c>
      <c r="J391" t="s">
        <v>30</v>
      </c>
      <c r="K391" t="s">
        <v>219</v>
      </c>
      <c r="L391">
        <v>37.266857000000002</v>
      </c>
      <c r="M391">
        <v>-80.656988999999996</v>
      </c>
    </row>
    <row r="392" spans="1:13" x14ac:dyDescent="0.2">
      <c r="A392" t="s">
        <v>1210</v>
      </c>
      <c r="B392" t="s">
        <v>118</v>
      </c>
      <c r="C392" t="str">
        <f>_xlfn.XLOOKUP(A392,'[1]Putative species manifest'!A:A,'[1]Putative species manifest'!B:B)</f>
        <v>HISPIDA</v>
      </c>
      <c r="D392" t="s">
        <v>396</v>
      </c>
      <c r="E392" t="s">
        <v>118</v>
      </c>
      <c r="F392" t="s">
        <v>1211</v>
      </c>
      <c r="G392" t="s">
        <v>17</v>
      </c>
      <c r="H392" t="s">
        <v>1212</v>
      </c>
      <c r="I392" t="s">
        <v>14</v>
      </c>
      <c r="J392" t="s">
        <v>30</v>
      </c>
      <c r="K392" t="s">
        <v>219</v>
      </c>
      <c r="L392">
        <v>37.605918000000003</v>
      </c>
      <c r="M392">
        <v>-80.240696999999997</v>
      </c>
    </row>
    <row r="393" spans="1:13" x14ac:dyDescent="0.2">
      <c r="A393" t="s">
        <v>1213</v>
      </c>
      <c r="B393" t="s">
        <v>118</v>
      </c>
      <c r="C393" t="str">
        <f>_xlfn.XLOOKUP(A393,'[1]Putative species manifest'!A:A,'[1]Putative species manifest'!B:B)</f>
        <v>HISPIDA</v>
      </c>
      <c r="D393" t="s">
        <v>396</v>
      </c>
      <c r="E393" t="s">
        <v>118</v>
      </c>
      <c r="F393" t="s">
        <v>1214</v>
      </c>
      <c r="G393" t="s">
        <v>17</v>
      </c>
      <c r="H393" t="s">
        <v>1215</v>
      </c>
      <c r="I393" t="s">
        <v>14</v>
      </c>
      <c r="J393" t="s">
        <v>30</v>
      </c>
      <c r="K393" t="s">
        <v>164</v>
      </c>
      <c r="L393">
        <v>36.576455000000003</v>
      </c>
      <c r="M393">
        <v>-81.158355</v>
      </c>
    </row>
    <row r="394" spans="1:13" x14ac:dyDescent="0.2">
      <c r="A394" t="s">
        <v>1216</v>
      </c>
      <c r="B394" t="s">
        <v>118</v>
      </c>
      <c r="C394" t="str">
        <f>_xlfn.XLOOKUP(A394,'[1]Putative species manifest'!A:A,'[1]Putative species manifest'!B:B)</f>
        <v>HISPIDA</v>
      </c>
      <c r="D394" t="s">
        <v>223</v>
      </c>
      <c r="E394" t="s">
        <v>118</v>
      </c>
      <c r="F394" t="s">
        <v>1217</v>
      </c>
      <c r="G394" t="s">
        <v>17</v>
      </c>
      <c r="H394" t="s">
        <v>1218</v>
      </c>
      <c r="I394" t="s">
        <v>14</v>
      </c>
      <c r="J394" t="s">
        <v>30</v>
      </c>
      <c r="K394" t="s">
        <v>1219</v>
      </c>
      <c r="L394">
        <v>39.319111999999997</v>
      </c>
      <c r="M394">
        <v>-77.710924000000006</v>
      </c>
    </row>
    <row r="395" spans="1:13" x14ac:dyDescent="0.2">
      <c r="A395" t="s">
        <v>1220</v>
      </c>
      <c r="B395" t="s">
        <v>118</v>
      </c>
      <c r="C395" t="str">
        <f>_xlfn.XLOOKUP(A395,'[1]Putative species manifest'!A:A,'[1]Putative species manifest'!B:B)</f>
        <v>HISPIDA</v>
      </c>
      <c r="D395" t="s">
        <v>396</v>
      </c>
      <c r="E395" t="s">
        <v>118</v>
      </c>
      <c r="F395" t="s">
        <v>1221</v>
      </c>
      <c r="G395" t="s">
        <v>17</v>
      </c>
      <c r="H395" t="s">
        <v>1222</v>
      </c>
      <c r="I395" t="s">
        <v>14</v>
      </c>
      <c r="J395" t="s">
        <v>30</v>
      </c>
      <c r="K395" t="s">
        <v>203</v>
      </c>
      <c r="L395">
        <v>37.244208</v>
      </c>
      <c r="M395">
        <v>-80.604518999999996</v>
      </c>
    </row>
    <row r="396" spans="1:13" x14ac:dyDescent="0.2">
      <c r="A396" t="s">
        <v>1223</v>
      </c>
      <c r="B396" t="s">
        <v>118</v>
      </c>
      <c r="C396" t="str">
        <f>_xlfn.XLOOKUP(A396,'[1]Putative species manifest'!A:A,'[1]Putative species manifest'!B:B)</f>
        <v>HISPIDA</v>
      </c>
      <c r="D396" t="s">
        <v>223</v>
      </c>
      <c r="E396" t="s">
        <v>118</v>
      </c>
      <c r="F396" t="s">
        <v>1224</v>
      </c>
      <c r="G396" t="s">
        <v>17</v>
      </c>
      <c r="H396" t="s">
        <v>1225</v>
      </c>
      <c r="I396" t="s">
        <v>14</v>
      </c>
      <c r="J396" t="s">
        <v>30</v>
      </c>
      <c r="K396" t="s">
        <v>203</v>
      </c>
      <c r="L396">
        <v>38.180383300000003</v>
      </c>
      <c r="M396">
        <v>-81.328445200000004</v>
      </c>
    </row>
    <row r="397" spans="1:13" x14ac:dyDescent="0.2">
      <c r="A397" t="s">
        <v>1229</v>
      </c>
      <c r="B397" t="s">
        <v>118</v>
      </c>
      <c r="C397" t="str">
        <f>_xlfn.XLOOKUP(A397,'[1]Putative species manifest'!A:A,'[1]Putative species manifest'!B:B)</f>
        <v>HISPIDA</v>
      </c>
      <c r="D397" t="s">
        <v>223</v>
      </c>
      <c r="E397" t="s">
        <v>118</v>
      </c>
      <c r="F397" t="s">
        <v>1230</v>
      </c>
      <c r="G397" t="s">
        <v>17</v>
      </c>
      <c r="H397" t="s">
        <v>1231</v>
      </c>
      <c r="I397" t="s">
        <v>14</v>
      </c>
      <c r="J397" t="s">
        <v>30</v>
      </c>
      <c r="K397" t="s">
        <v>1232</v>
      </c>
      <c r="L397">
        <v>37.067349</v>
      </c>
      <c r="M397">
        <v>-79.105486999999997</v>
      </c>
    </row>
    <row r="398" spans="1:13" x14ac:dyDescent="0.2">
      <c r="A398" t="s">
        <v>1233</v>
      </c>
      <c r="B398" t="s">
        <v>118</v>
      </c>
      <c r="C398" t="str">
        <f>_xlfn.XLOOKUP(A398,'[1]Putative species manifest'!A:A,'[1]Putative species manifest'!B:B)</f>
        <v>HISPIDA</v>
      </c>
      <c r="D398" t="s">
        <v>396</v>
      </c>
      <c r="E398" t="s">
        <v>118</v>
      </c>
      <c r="F398" t="s">
        <v>1234</v>
      </c>
      <c r="G398" t="s">
        <v>17</v>
      </c>
      <c r="H398" t="s">
        <v>1235</v>
      </c>
      <c r="I398" t="s">
        <v>14</v>
      </c>
      <c r="J398" t="s">
        <v>30</v>
      </c>
      <c r="K398" t="s">
        <v>103</v>
      </c>
      <c r="L398">
        <v>37.208469000000001</v>
      </c>
      <c r="M398">
        <v>-80.738293999999996</v>
      </c>
    </row>
    <row r="399" spans="1:13" x14ac:dyDescent="0.2">
      <c r="A399" t="s">
        <v>1236</v>
      </c>
      <c r="B399" t="s">
        <v>118</v>
      </c>
      <c r="C399" t="str">
        <f>_xlfn.XLOOKUP(A399,'[1]Putative species manifest'!A:A,'[1]Putative species manifest'!B:B)</f>
        <v>HISPIDA</v>
      </c>
      <c r="D399" t="s">
        <v>223</v>
      </c>
      <c r="E399" t="s">
        <v>118</v>
      </c>
      <c r="F399" t="s">
        <v>1237</v>
      </c>
      <c r="G399" t="s">
        <v>17</v>
      </c>
      <c r="H399" t="s">
        <v>1238</v>
      </c>
      <c r="I399" t="s">
        <v>14</v>
      </c>
      <c r="J399" t="s">
        <v>30</v>
      </c>
      <c r="K399" t="s">
        <v>179</v>
      </c>
      <c r="L399">
        <v>37.140928000000002</v>
      </c>
      <c r="M399">
        <v>-80.118981000000005</v>
      </c>
    </row>
    <row r="400" spans="1:13" x14ac:dyDescent="0.2">
      <c r="A400" t="s">
        <v>1239</v>
      </c>
      <c r="B400" t="s">
        <v>118</v>
      </c>
      <c r="C400" t="str">
        <f>_xlfn.XLOOKUP(A400,'[1]Putative species manifest'!A:A,'[1]Putative species manifest'!B:B)</f>
        <v>HISPIDA</v>
      </c>
      <c r="D400" t="s">
        <v>339</v>
      </c>
      <c r="E400" t="s">
        <v>118</v>
      </c>
      <c r="F400" t="s">
        <v>1240</v>
      </c>
      <c r="G400" t="s">
        <v>17</v>
      </c>
      <c r="H400" t="s">
        <v>1241</v>
      </c>
      <c r="I400" t="s">
        <v>14</v>
      </c>
      <c r="J400" t="s">
        <v>30</v>
      </c>
      <c r="K400" t="s">
        <v>116</v>
      </c>
      <c r="L400">
        <v>37.270972999999998</v>
      </c>
      <c r="M400">
        <v>-79.941431300000005</v>
      </c>
    </row>
    <row r="401" spans="1:13" x14ac:dyDescent="0.2">
      <c r="A401" t="s">
        <v>1242</v>
      </c>
      <c r="B401" t="s">
        <v>118</v>
      </c>
      <c r="C401" t="str">
        <f>_xlfn.XLOOKUP(A401,'[1]Putative species manifest'!A:A,'[1]Putative species manifest'!B:B)</f>
        <v>HISPIDA</v>
      </c>
      <c r="D401" t="s">
        <v>396</v>
      </c>
      <c r="E401" t="s">
        <v>118</v>
      </c>
      <c r="F401" t="s">
        <v>1243</v>
      </c>
      <c r="G401" t="s">
        <v>17</v>
      </c>
      <c r="H401" t="s">
        <v>1244</v>
      </c>
      <c r="I401" t="s">
        <v>14</v>
      </c>
      <c r="J401" t="s">
        <v>30</v>
      </c>
      <c r="K401" t="s">
        <v>220</v>
      </c>
      <c r="L401">
        <v>36.711747299999999</v>
      </c>
      <c r="M401">
        <v>-82.589305199999998</v>
      </c>
    </row>
    <row r="402" spans="1:13" x14ac:dyDescent="0.2">
      <c r="A402" t="s">
        <v>1245</v>
      </c>
      <c r="B402" t="s">
        <v>118</v>
      </c>
      <c r="C402" t="str">
        <f>_xlfn.XLOOKUP(A402,'[1]Putative species manifest'!A:A,'[1]Putative species manifest'!B:B)</f>
        <v>HISPIDA</v>
      </c>
      <c r="D402" t="s">
        <v>339</v>
      </c>
      <c r="E402" t="s">
        <v>118</v>
      </c>
      <c r="F402" t="s">
        <v>1246</v>
      </c>
      <c r="G402" t="s">
        <v>17</v>
      </c>
      <c r="H402" t="s">
        <v>1247</v>
      </c>
      <c r="I402" t="s">
        <v>14</v>
      </c>
      <c r="J402" t="s">
        <v>30</v>
      </c>
      <c r="K402" t="s">
        <v>151</v>
      </c>
      <c r="L402">
        <v>36.900570000000002</v>
      </c>
      <c r="M402">
        <v>-82.310079000000002</v>
      </c>
    </row>
    <row r="403" spans="1:13" x14ac:dyDescent="0.2">
      <c r="A403" t="s">
        <v>1248</v>
      </c>
      <c r="B403" t="s">
        <v>118</v>
      </c>
      <c r="C403" t="str">
        <f>_xlfn.XLOOKUP(A403,'[1]Putative species manifest'!A:A,'[1]Putative species manifest'!B:B)</f>
        <v>HISPIDA</v>
      </c>
      <c r="D403" t="s">
        <v>396</v>
      </c>
      <c r="E403" t="s">
        <v>118</v>
      </c>
      <c r="F403" t="s">
        <v>1249</v>
      </c>
      <c r="G403" t="s">
        <v>17</v>
      </c>
      <c r="H403" t="s">
        <v>1250</v>
      </c>
      <c r="I403" t="s">
        <v>14</v>
      </c>
      <c r="J403" t="s">
        <v>30</v>
      </c>
      <c r="K403" t="s">
        <v>1251</v>
      </c>
      <c r="L403">
        <v>36.886035999999997</v>
      </c>
      <c r="M403">
        <v>-81.192014999999998</v>
      </c>
    </row>
    <row r="404" spans="1:13" x14ac:dyDescent="0.2">
      <c r="A404" t="s">
        <v>1144</v>
      </c>
      <c r="B404" t="s">
        <v>118</v>
      </c>
      <c r="C404" t="str">
        <f>_xlfn.XLOOKUP(A404,'[1]Putative species manifest'!A:A,'[1]Putative species manifest'!B:B)</f>
        <v>HISPIDA</v>
      </c>
      <c r="D404" t="s">
        <v>223</v>
      </c>
      <c r="E404" t="s">
        <v>118</v>
      </c>
      <c r="F404" t="s">
        <v>1145</v>
      </c>
      <c r="G404" t="s">
        <v>17</v>
      </c>
      <c r="H404" t="s">
        <v>1146</v>
      </c>
      <c r="I404" t="s">
        <v>14</v>
      </c>
      <c r="J404" t="s">
        <v>22</v>
      </c>
      <c r="K404" t="s">
        <v>23</v>
      </c>
      <c r="L404">
        <v>39.346451000000002</v>
      </c>
      <c r="M404">
        <v>-77.726568</v>
      </c>
    </row>
    <row r="405" spans="1:13" x14ac:dyDescent="0.2">
      <c r="A405" t="s">
        <v>1252</v>
      </c>
      <c r="B405" t="s">
        <v>118</v>
      </c>
      <c r="C405" t="str">
        <f>_xlfn.XLOOKUP(A405,'[1]Putative species manifest'!A:A,'[1]Putative species manifest'!B:B)</f>
        <v>HISPIDA</v>
      </c>
      <c r="D405" t="s">
        <v>223</v>
      </c>
      <c r="E405" t="s">
        <v>118</v>
      </c>
      <c r="F405" t="s">
        <v>1253</v>
      </c>
      <c r="G405" t="s">
        <v>17</v>
      </c>
      <c r="H405" t="s">
        <v>1254</v>
      </c>
      <c r="I405" t="s">
        <v>14</v>
      </c>
      <c r="J405" t="s">
        <v>32</v>
      </c>
      <c r="K405" t="s">
        <v>221</v>
      </c>
      <c r="L405">
        <v>37.806691999999998</v>
      </c>
      <c r="M405">
        <v>80.067629999999994</v>
      </c>
    </row>
    <row r="406" spans="1:13" x14ac:dyDescent="0.2">
      <c r="A406" t="s">
        <v>1255</v>
      </c>
      <c r="B406" t="s">
        <v>118</v>
      </c>
      <c r="C406" t="str">
        <f>_xlfn.XLOOKUP(A406,'[1]Putative species manifest'!A:A,'[1]Putative species manifest'!B:B)</f>
        <v>HISPIDA</v>
      </c>
      <c r="D406" t="s">
        <v>223</v>
      </c>
      <c r="E406" t="s">
        <v>118</v>
      </c>
      <c r="F406" t="s">
        <v>1256</v>
      </c>
      <c r="G406" t="s">
        <v>17</v>
      </c>
      <c r="H406" t="s">
        <v>1257</v>
      </c>
      <c r="I406" t="s">
        <v>14</v>
      </c>
      <c r="J406" t="s">
        <v>32</v>
      </c>
      <c r="K406" t="s">
        <v>91</v>
      </c>
      <c r="L406">
        <v>37.961174999999997</v>
      </c>
      <c r="M406">
        <v>-80.450934000000004</v>
      </c>
    </row>
    <row r="407" spans="1:13" x14ac:dyDescent="0.2">
      <c r="A407" t="s">
        <v>1258</v>
      </c>
      <c r="B407" t="s">
        <v>118</v>
      </c>
      <c r="C407" t="str">
        <f>_xlfn.XLOOKUP(A407,'[1]Putative species manifest'!A:A,'[1]Putative species manifest'!B:B)</f>
        <v>HISPIDA</v>
      </c>
      <c r="D407" t="s">
        <v>223</v>
      </c>
      <c r="E407" t="s">
        <v>118</v>
      </c>
      <c r="F407" t="s">
        <v>1259</v>
      </c>
      <c r="G407" t="s">
        <v>17</v>
      </c>
      <c r="H407" t="s">
        <v>1260</v>
      </c>
      <c r="I407" t="s">
        <v>14</v>
      </c>
      <c r="J407" t="s">
        <v>32</v>
      </c>
      <c r="K407" t="s">
        <v>37</v>
      </c>
      <c r="L407">
        <v>37.558582100000002</v>
      </c>
      <c r="M407">
        <v>-80.519222499999998</v>
      </c>
    </row>
    <row r="408" spans="1:13" x14ac:dyDescent="0.2">
      <c r="A408" t="s">
        <v>251</v>
      </c>
      <c r="B408" t="s">
        <v>38</v>
      </c>
      <c r="C408" t="str">
        <f>_xlfn.XLOOKUP(A408,'[1]Putative species manifest'!A:A,'[1]Putative species manifest'!B:B)</f>
        <v>CALYCOSA</v>
      </c>
      <c r="D408" t="s">
        <v>249</v>
      </c>
      <c r="E408" t="s">
        <v>43</v>
      </c>
      <c r="F408" t="s">
        <v>252</v>
      </c>
      <c r="G408" t="s">
        <v>17</v>
      </c>
      <c r="H408" t="s">
        <v>253</v>
      </c>
      <c r="I408" t="s">
        <v>14</v>
      </c>
      <c r="J408" t="s">
        <v>40</v>
      </c>
      <c r="K408" t="s">
        <v>46</v>
      </c>
      <c r="L408">
        <v>37.596907299999998</v>
      </c>
      <c r="M408">
        <v>-81.536493199999995</v>
      </c>
    </row>
    <row r="409" spans="1:13" x14ac:dyDescent="0.2">
      <c r="A409" t="s">
        <v>272</v>
      </c>
      <c r="B409" t="s">
        <v>38</v>
      </c>
      <c r="C409" t="str">
        <f>_xlfn.XLOOKUP(A409,'[1]Putative species manifest'!A:A,'[1]Putative species manifest'!B:B)</f>
        <v>CALYCOSA</v>
      </c>
      <c r="D409" t="s">
        <v>249</v>
      </c>
      <c r="E409" t="s">
        <v>43</v>
      </c>
      <c r="F409" t="s">
        <v>273</v>
      </c>
      <c r="G409" t="s">
        <v>17</v>
      </c>
      <c r="H409" t="s">
        <v>274</v>
      </c>
      <c r="I409" t="s">
        <v>14</v>
      </c>
      <c r="J409" t="s">
        <v>40</v>
      </c>
      <c r="K409" t="s">
        <v>257</v>
      </c>
      <c r="L409">
        <v>33.721111000000001</v>
      </c>
      <c r="M409">
        <v>-85.604444000000001</v>
      </c>
    </row>
    <row r="410" spans="1:13" x14ac:dyDescent="0.2">
      <c r="A410" t="s">
        <v>924</v>
      </c>
      <c r="B410" t="s">
        <v>100</v>
      </c>
      <c r="C410" t="str">
        <f>_xlfn.XLOOKUP(A410,'[1]Putative species manifest'!A:A,'[1]Putative species manifest'!B:B)</f>
        <v>HIRSUTICAULIS</v>
      </c>
      <c r="D410" t="s">
        <v>306</v>
      </c>
      <c r="E410" t="s">
        <v>101</v>
      </c>
      <c r="F410" t="s">
        <v>925</v>
      </c>
      <c r="G410" t="s">
        <v>17</v>
      </c>
      <c r="H410" t="s">
        <v>926</v>
      </c>
      <c r="I410" t="s">
        <v>14</v>
      </c>
      <c r="J410" t="s">
        <v>54</v>
      </c>
      <c r="K410" t="s">
        <v>173</v>
      </c>
      <c r="L410">
        <v>36.118644000000003</v>
      </c>
      <c r="M410">
        <v>-92.153699000000003</v>
      </c>
    </row>
    <row r="411" spans="1:13" x14ac:dyDescent="0.2">
      <c r="A411" t="s">
        <v>332</v>
      </c>
      <c r="B411" t="s">
        <v>38</v>
      </c>
      <c r="C411" t="str">
        <f>_xlfn.XLOOKUP(A411,'[1]Putative species manifest'!A:A,'[1]Putative species manifest'!B:B)</f>
        <v>CALYCOSA</v>
      </c>
      <c r="D411" t="s">
        <v>249</v>
      </c>
      <c r="E411" t="s">
        <v>43</v>
      </c>
      <c r="F411" t="s">
        <v>333</v>
      </c>
      <c r="G411" t="s">
        <v>17</v>
      </c>
      <c r="H411" t="s">
        <v>334</v>
      </c>
      <c r="I411" t="s">
        <v>14</v>
      </c>
      <c r="J411" t="s">
        <v>55</v>
      </c>
      <c r="K411" t="s">
        <v>35</v>
      </c>
      <c r="L411">
        <v>33.661915999999998</v>
      </c>
      <c r="M411">
        <v>-83.593355000000003</v>
      </c>
    </row>
    <row r="412" spans="1:13" x14ac:dyDescent="0.2">
      <c r="A412" t="s">
        <v>1312</v>
      </c>
      <c r="B412" t="s">
        <v>177</v>
      </c>
      <c r="C412" t="str">
        <f>_xlfn.XLOOKUP(A412,'[1]Putative species manifest'!A:A,'[1]Putative species manifest'!B:B)</f>
        <v>Heuchera pubescens E1596 VA Bath</v>
      </c>
      <c r="D412" t="s">
        <v>223</v>
      </c>
      <c r="E412" t="s">
        <v>177</v>
      </c>
      <c r="F412" t="s">
        <v>1313</v>
      </c>
      <c r="G412" t="s">
        <v>17</v>
      </c>
      <c r="H412" t="s">
        <v>1314</v>
      </c>
      <c r="I412" t="s">
        <v>14</v>
      </c>
      <c r="J412" t="s">
        <v>30</v>
      </c>
      <c r="K412" t="s">
        <v>31</v>
      </c>
      <c r="L412">
        <v>38.038103</v>
      </c>
      <c r="M412">
        <v>79.763563000000005</v>
      </c>
    </row>
    <row r="413" spans="1:13" x14ac:dyDescent="0.2">
      <c r="A413" t="s">
        <v>1315</v>
      </c>
      <c r="B413" t="s">
        <v>177</v>
      </c>
      <c r="C413" t="str">
        <f>_xlfn.XLOOKUP(A413,'[1]Putative species manifest'!A:A,'[1]Putative species manifest'!B:B)</f>
        <v>Heuchera pubescens E1598 VA Craig</v>
      </c>
      <c r="D413" t="s">
        <v>223</v>
      </c>
      <c r="E413" t="s">
        <v>177</v>
      </c>
      <c r="F413" t="s">
        <v>1316</v>
      </c>
      <c r="G413" t="s">
        <v>17</v>
      </c>
      <c r="H413" t="s">
        <v>1317</v>
      </c>
      <c r="I413" t="s">
        <v>14</v>
      </c>
      <c r="J413" t="s">
        <v>30</v>
      </c>
      <c r="K413" t="s">
        <v>120</v>
      </c>
      <c r="L413">
        <v>37.546354000000001</v>
      </c>
      <c r="M413">
        <v>-79.976945000000001</v>
      </c>
    </row>
    <row r="414" spans="1:13" x14ac:dyDescent="0.2">
      <c r="A414" t="s">
        <v>1321</v>
      </c>
      <c r="B414" t="s">
        <v>177</v>
      </c>
      <c r="C414" t="str">
        <f>_xlfn.XLOOKUP(A414,'[1]Putative species manifest'!A:A,'[1]Putative species manifest'!B:B)</f>
        <v>Heuchera pubescens E1599 VA Franklin</v>
      </c>
      <c r="D414" t="s">
        <v>223</v>
      </c>
      <c r="E414" t="s">
        <v>177</v>
      </c>
      <c r="F414" t="s">
        <v>1322</v>
      </c>
      <c r="G414" t="s">
        <v>17</v>
      </c>
      <c r="H414" t="s">
        <v>1323</v>
      </c>
      <c r="I414" t="s">
        <v>14</v>
      </c>
      <c r="J414" t="s">
        <v>30</v>
      </c>
      <c r="K414" t="s">
        <v>89</v>
      </c>
      <c r="L414">
        <v>36.999572999999998</v>
      </c>
      <c r="M414">
        <v>-79.878085999999996</v>
      </c>
    </row>
    <row r="415" spans="1:13" x14ac:dyDescent="0.2">
      <c r="A415" t="s">
        <v>1324</v>
      </c>
      <c r="B415" t="s">
        <v>177</v>
      </c>
      <c r="C415" t="str">
        <f>_xlfn.XLOOKUP(A415,'[1]Putative species manifest'!A:A,'[1]Putative species manifest'!B:B)</f>
        <v>Heuchera pubescens E1600 VA Franklin</v>
      </c>
      <c r="D415" t="s">
        <v>223</v>
      </c>
      <c r="E415" t="s">
        <v>177</v>
      </c>
      <c r="F415" t="s">
        <v>1325</v>
      </c>
      <c r="G415" t="s">
        <v>17</v>
      </c>
      <c r="H415" t="s">
        <v>1326</v>
      </c>
      <c r="I415" t="s">
        <v>14</v>
      </c>
      <c r="J415" t="s">
        <v>30</v>
      </c>
      <c r="K415" t="s">
        <v>89</v>
      </c>
      <c r="L415">
        <v>37.007717</v>
      </c>
      <c r="M415">
        <v>-79.889331999999996</v>
      </c>
    </row>
    <row r="416" spans="1:13" x14ac:dyDescent="0.2">
      <c r="A416" t="s">
        <v>1327</v>
      </c>
      <c r="B416" t="s">
        <v>177</v>
      </c>
      <c r="C416" t="str">
        <f>_xlfn.XLOOKUP(A416,'[1]Putative species manifest'!A:A,'[1]Putative species manifest'!B:B)</f>
        <v>Heuchera pubescens E1601 VA Montgomery</v>
      </c>
      <c r="D416" t="s">
        <v>223</v>
      </c>
      <c r="E416" t="s">
        <v>177</v>
      </c>
      <c r="F416" t="s">
        <v>1328</v>
      </c>
      <c r="G416" t="s">
        <v>17</v>
      </c>
      <c r="H416" t="s">
        <v>1329</v>
      </c>
      <c r="I416" t="s">
        <v>14</v>
      </c>
      <c r="J416" t="s">
        <v>30</v>
      </c>
      <c r="K416" t="s">
        <v>203</v>
      </c>
      <c r="L416">
        <v>37.215640999999998</v>
      </c>
      <c r="M416">
        <v>-80.268485999999996</v>
      </c>
    </row>
    <row r="417" spans="1:13" x14ac:dyDescent="0.2">
      <c r="A417" t="s">
        <v>1330</v>
      </c>
      <c r="B417" t="s">
        <v>177</v>
      </c>
      <c r="C417" t="str">
        <f>_xlfn.XLOOKUP(A417,'[1]Putative species manifest'!A:A,'[1]Putative species manifest'!B:B)</f>
        <v>Heuchera pubescens E1602 VA Patrick</v>
      </c>
      <c r="D417" t="s">
        <v>223</v>
      </c>
      <c r="E417" t="s">
        <v>177</v>
      </c>
      <c r="F417" t="s">
        <v>1331</v>
      </c>
      <c r="G417" t="s">
        <v>17</v>
      </c>
      <c r="H417" t="s">
        <v>1332</v>
      </c>
      <c r="I417" t="s">
        <v>14</v>
      </c>
      <c r="J417" t="s">
        <v>30</v>
      </c>
      <c r="K417" t="s">
        <v>121</v>
      </c>
      <c r="L417">
        <v>36.720388</v>
      </c>
      <c r="M417">
        <v>-80.327534999999997</v>
      </c>
    </row>
    <row r="418" spans="1:13" x14ac:dyDescent="0.2">
      <c r="A418" t="s">
        <v>1333</v>
      </c>
      <c r="B418" t="s">
        <v>177</v>
      </c>
      <c r="C418" t="str">
        <f>_xlfn.XLOOKUP(A418,'[1]Putative species manifest'!A:A,'[1]Putative species manifest'!B:B)</f>
        <v>Heuchera pubescens E1603 VA Patrick</v>
      </c>
      <c r="D418" t="s">
        <v>223</v>
      </c>
      <c r="E418" t="s">
        <v>177</v>
      </c>
      <c r="F418" t="s">
        <v>1334</v>
      </c>
      <c r="G418" t="s">
        <v>17</v>
      </c>
      <c r="H418" t="s">
        <v>1335</v>
      </c>
      <c r="I418" t="s">
        <v>14</v>
      </c>
      <c r="J418" t="s">
        <v>30</v>
      </c>
      <c r="K418" t="s">
        <v>121</v>
      </c>
      <c r="L418">
        <v>36.717450999999997</v>
      </c>
      <c r="M418">
        <v>-80.323061999999993</v>
      </c>
    </row>
    <row r="419" spans="1:13" x14ac:dyDescent="0.2">
      <c r="A419" t="s">
        <v>1226</v>
      </c>
      <c r="B419" t="s">
        <v>118</v>
      </c>
      <c r="C419" t="str">
        <f>_xlfn.XLOOKUP(A419,'[1]Putative species manifest'!A:A,'[1]Putative species manifest'!B:B)</f>
        <v>HISPIDA</v>
      </c>
      <c r="D419" t="s">
        <v>223</v>
      </c>
      <c r="E419" t="s">
        <v>118</v>
      </c>
      <c r="F419" t="s">
        <v>1227</v>
      </c>
      <c r="G419" t="s">
        <v>17</v>
      </c>
      <c r="H419" t="s">
        <v>1228</v>
      </c>
      <c r="I419" t="s">
        <v>14</v>
      </c>
      <c r="J419" t="s">
        <v>30</v>
      </c>
      <c r="K419" t="s">
        <v>203</v>
      </c>
      <c r="L419">
        <v>37.191353999999997</v>
      </c>
      <c r="M419">
        <v>-80.366680000000002</v>
      </c>
    </row>
    <row r="420" spans="1:13" x14ac:dyDescent="0.2">
      <c r="A420" t="s">
        <v>375</v>
      </c>
      <c r="B420" t="s">
        <v>38</v>
      </c>
      <c r="C420" t="str">
        <f>_xlfn.XLOOKUP(A420,'[1]Putative species manifest'!A:A,'[1]Putative species manifest'!B:B)</f>
        <v>BREVIPETALA</v>
      </c>
      <c r="D420" t="s">
        <v>349</v>
      </c>
      <c r="E420" t="s">
        <v>50</v>
      </c>
      <c r="F420" t="s">
        <v>376</v>
      </c>
      <c r="G420" t="s">
        <v>17</v>
      </c>
      <c r="H420" t="s">
        <v>377</v>
      </c>
      <c r="I420" t="s">
        <v>14</v>
      </c>
      <c r="J420" t="s">
        <v>66</v>
      </c>
      <c r="K420" t="s">
        <v>378</v>
      </c>
      <c r="L420">
        <v>38.658386</v>
      </c>
      <c r="M420">
        <v>-83.045349999999999</v>
      </c>
    </row>
    <row r="421" spans="1:13" x14ac:dyDescent="0.2">
      <c r="A421" t="s">
        <v>987</v>
      </c>
      <c r="B421" t="s">
        <v>100</v>
      </c>
      <c r="C421" t="str">
        <f>_xlfn.XLOOKUP(A421,'[1]Putative species manifest'!A:A,'[1]Putative species manifest'!B:B)</f>
        <v>HIRSUTICAULIS</v>
      </c>
      <c r="D421" t="s">
        <v>306</v>
      </c>
      <c r="E421" t="s">
        <v>101</v>
      </c>
      <c r="F421" t="s">
        <v>988</v>
      </c>
      <c r="G421" t="s">
        <v>17</v>
      </c>
      <c r="H421" t="s">
        <v>989</v>
      </c>
      <c r="I421" t="s">
        <v>14</v>
      </c>
      <c r="J421" t="s">
        <v>106</v>
      </c>
      <c r="K421" t="s">
        <v>42</v>
      </c>
      <c r="L421">
        <v>38.999907</v>
      </c>
      <c r="M421">
        <v>-90.588730999999996</v>
      </c>
    </row>
    <row r="422" spans="1:13" x14ac:dyDescent="0.2">
      <c r="A422" t="s">
        <v>1078</v>
      </c>
      <c r="B422" t="s">
        <v>100</v>
      </c>
      <c r="C422" t="str">
        <f>_xlfn.XLOOKUP(A422,'[1]Putative species manifest'!A:A,'[1]Putative species manifest'!B:B)</f>
        <v>HIRSUTICAULIS</v>
      </c>
      <c r="D422" t="s">
        <v>306</v>
      </c>
      <c r="E422" t="s">
        <v>101</v>
      </c>
      <c r="F422" t="s">
        <v>1079</v>
      </c>
      <c r="G422" t="s">
        <v>17</v>
      </c>
      <c r="H422" t="s">
        <v>1080</v>
      </c>
      <c r="I422" t="s">
        <v>14</v>
      </c>
      <c r="J422" t="s">
        <v>114</v>
      </c>
      <c r="K422" t="s">
        <v>69</v>
      </c>
      <c r="L422">
        <v>38.125</v>
      </c>
      <c r="M422">
        <v>-90.674999999999997</v>
      </c>
    </row>
    <row r="423" spans="1:13" x14ac:dyDescent="0.2">
      <c r="A423" t="s">
        <v>565</v>
      </c>
      <c r="B423" t="s">
        <v>38</v>
      </c>
      <c r="C423" t="str">
        <f>_xlfn.XLOOKUP(A423,'[1]Putative species manifest'!A:A,'[1]Putative species manifest'!B:B)</f>
        <v>BREVIPETALA</v>
      </c>
      <c r="D423" t="s">
        <v>349</v>
      </c>
      <c r="E423" t="s">
        <v>50</v>
      </c>
      <c r="F423" t="s">
        <v>566</v>
      </c>
      <c r="G423" t="s">
        <v>17</v>
      </c>
      <c r="H423" t="s">
        <v>567</v>
      </c>
      <c r="I423" t="s">
        <v>14</v>
      </c>
      <c r="J423" t="s">
        <v>82</v>
      </c>
      <c r="K423" t="s">
        <v>568</v>
      </c>
      <c r="L423">
        <v>40.475307000000001</v>
      </c>
      <c r="M423">
        <v>-75.059579999999997</v>
      </c>
    </row>
    <row r="424" spans="1:13" x14ac:dyDescent="0.2">
      <c r="A424" t="s">
        <v>575</v>
      </c>
      <c r="B424" t="s">
        <v>38</v>
      </c>
      <c r="C424" t="str">
        <f>_xlfn.XLOOKUP(A424,'[1]Putative species manifest'!A:A,'[1]Putative species manifest'!B:B)</f>
        <v>BREVIPETALA</v>
      </c>
      <c r="D424" t="s">
        <v>349</v>
      </c>
      <c r="E424" t="s">
        <v>50</v>
      </c>
      <c r="F424" t="s">
        <v>576</v>
      </c>
      <c r="G424" t="s">
        <v>17</v>
      </c>
      <c r="H424" t="s">
        <v>577</v>
      </c>
      <c r="I424" t="s">
        <v>14</v>
      </c>
      <c r="J424" t="s">
        <v>83</v>
      </c>
      <c r="K424" t="s">
        <v>69</v>
      </c>
      <c r="L424">
        <v>40.353147</v>
      </c>
      <c r="M424">
        <v>-80.691018999999997</v>
      </c>
    </row>
    <row r="425" spans="1:13" x14ac:dyDescent="0.2">
      <c r="A425" t="s">
        <v>580</v>
      </c>
      <c r="B425" t="s">
        <v>38</v>
      </c>
      <c r="C425" t="str">
        <f>_xlfn.XLOOKUP(A425,'[1]Putative species manifest'!A:A,'[1]Putative species manifest'!B:B)</f>
        <v>BREVIPETALA</v>
      </c>
      <c r="D425" t="s">
        <v>349</v>
      </c>
      <c r="E425" t="s">
        <v>50</v>
      </c>
      <c r="F425" t="s">
        <v>581</v>
      </c>
      <c r="G425" t="s">
        <v>17</v>
      </c>
      <c r="H425" t="s">
        <v>582</v>
      </c>
      <c r="I425" t="s">
        <v>14</v>
      </c>
      <c r="J425" t="s">
        <v>83</v>
      </c>
      <c r="K425" t="s">
        <v>91</v>
      </c>
      <c r="L425">
        <v>39.659289999999999</v>
      </c>
      <c r="M425">
        <v>-81.068179999999998</v>
      </c>
    </row>
    <row r="426" spans="1:13" x14ac:dyDescent="0.2">
      <c r="A426" t="s">
        <v>583</v>
      </c>
      <c r="B426" t="s">
        <v>38</v>
      </c>
      <c r="C426" t="str">
        <f>_xlfn.XLOOKUP(A426,'[1]Putative species manifest'!A:A,'[1]Putative species manifest'!B:B)</f>
        <v>BREVIPETALA</v>
      </c>
      <c r="D426" t="s">
        <v>349</v>
      </c>
      <c r="E426" t="s">
        <v>50</v>
      </c>
      <c r="F426" t="s">
        <v>584</v>
      </c>
      <c r="G426" t="s">
        <v>17</v>
      </c>
      <c r="H426" t="s">
        <v>585</v>
      </c>
      <c r="I426" t="s">
        <v>14</v>
      </c>
      <c r="J426" t="s">
        <v>83</v>
      </c>
      <c r="K426" t="s">
        <v>586</v>
      </c>
      <c r="L426">
        <v>39.7074</v>
      </c>
      <c r="M426">
        <v>-81.583941999999993</v>
      </c>
    </row>
    <row r="427" spans="1:13" x14ac:dyDescent="0.2">
      <c r="A427" t="s">
        <v>587</v>
      </c>
      <c r="B427" t="s">
        <v>38</v>
      </c>
      <c r="C427" t="str">
        <f>_xlfn.XLOOKUP(A427,'[1]Putative species manifest'!A:A,'[1]Putative species manifest'!B:B)</f>
        <v>BREVIPETALA</v>
      </c>
      <c r="D427" t="s">
        <v>349</v>
      </c>
      <c r="E427" t="s">
        <v>50</v>
      </c>
      <c r="F427" t="s">
        <v>588</v>
      </c>
      <c r="G427" t="s">
        <v>17</v>
      </c>
      <c r="H427" t="s">
        <v>589</v>
      </c>
      <c r="I427" t="s">
        <v>14</v>
      </c>
      <c r="J427" t="s">
        <v>83</v>
      </c>
      <c r="K427" t="s">
        <v>590</v>
      </c>
      <c r="L427">
        <v>41.216555</v>
      </c>
      <c r="M427">
        <v>-81.301325000000006</v>
      </c>
    </row>
    <row r="428" spans="1:13" x14ac:dyDescent="0.2">
      <c r="A428" t="s">
        <v>595</v>
      </c>
      <c r="B428" t="s">
        <v>38</v>
      </c>
      <c r="C428" t="str">
        <f>_xlfn.XLOOKUP(A428,'[1]Putative species manifest'!A:A,'[1]Putative species manifest'!B:B)</f>
        <v>BREVIPETALA</v>
      </c>
      <c r="D428" t="s">
        <v>306</v>
      </c>
      <c r="E428" t="s">
        <v>50</v>
      </c>
      <c r="F428" t="s">
        <v>596</v>
      </c>
      <c r="G428" t="s">
        <v>17</v>
      </c>
      <c r="H428" t="s">
        <v>597</v>
      </c>
      <c r="I428" t="s">
        <v>14</v>
      </c>
      <c r="J428" t="s">
        <v>117</v>
      </c>
      <c r="K428" t="s">
        <v>598</v>
      </c>
      <c r="L428">
        <v>34.09695</v>
      </c>
      <c r="M428">
        <v>-94.704300000000003</v>
      </c>
    </row>
    <row r="429" spans="1:13" x14ac:dyDescent="0.2">
      <c r="A429" t="s">
        <v>602</v>
      </c>
      <c r="B429" t="s">
        <v>38</v>
      </c>
      <c r="C429" t="str">
        <f>_xlfn.XLOOKUP(A429,'[1]Putative species manifest'!A:A,'[1]Putative species manifest'!B:B)</f>
        <v>BREVIPETALA</v>
      </c>
      <c r="D429" t="s">
        <v>349</v>
      </c>
      <c r="E429" t="s">
        <v>50</v>
      </c>
      <c r="F429" t="s">
        <v>603</v>
      </c>
      <c r="G429" t="s">
        <v>17</v>
      </c>
      <c r="H429" t="s">
        <v>604</v>
      </c>
      <c r="I429" t="s">
        <v>14</v>
      </c>
      <c r="J429" t="s">
        <v>25</v>
      </c>
      <c r="K429" t="s">
        <v>605</v>
      </c>
      <c r="L429">
        <v>40.563889000000003</v>
      </c>
      <c r="M429">
        <v>-75.097729000000001</v>
      </c>
    </row>
    <row r="430" spans="1:13" x14ac:dyDescent="0.2">
      <c r="A430" t="s">
        <v>606</v>
      </c>
      <c r="B430" t="s">
        <v>38</v>
      </c>
      <c r="C430" t="str">
        <f>_xlfn.XLOOKUP(A430,'[1]Putative species manifest'!A:A,'[1]Putative species manifest'!B:B)</f>
        <v>BREVIPETALA</v>
      </c>
      <c r="D430" t="s">
        <v>349</v>
      </c>
      <c r="E430" t="s">
        <v>50</v>
      </c>
      <c r="F430" t="s">
        <v>607</v>
      </c>
      <c r="G430" t="s">
        <v>17</v>
      </c>
      <c r="H430" t="s">
        <v>608</v>
      </c>
      <c r="I430" t="s">
        <v>14</v>
      </c>
      <c r="J430" t="s">
        <v>25</v>
      </c>
      <c r="K430" t="s">
        <v>27</v>
      </c>
      <c r="L430">
        <v>39.871741999999998</v>
      </c>
      <c r="M430">
        <v>-79.492260999999999</v>
      </c>
    </row>
    <row r="431" spans="1:13" x14ac:dyDescent="0.2">
      <c r="A431" t="s">
        <v>609</v>
      </c>
      <c r="B431" t="s">
        <v>38</v>
      </c>
      <c r="C431" t="str">
        <f>_xlfn.XLOOKUP(A431,'[1]Putative species manifest'!A:A,'[1]Putative species manifest'!B:B)</f>
        <v>BREVIPETALA</v>
      </c>
      <c r="D431" t="s">
        <v>349</v>
      </c>
      <c r="E431" t="s">
        <v>50</v>
      </c>
      <c r="F431" t="s">
        <v>610</v>
      </c>
      <c r="G431" t="s">
        <v>17</v>
      </c>
      <c r="H431" t="s">
        <v>611</v>
      </c>
      <c r="I431" t="s">
        <v>14</v>
      </c>
      <c r="J431" t="s">
        <v>25</v>
      </c>
      <c r="K431" t="s">
        <v>127</v>
      </c>
      <c r="L431">
        <v>39.940463999999999</v>
      </c>
      <c r="M431">
        <v>-75.993633000000003</v>
      </c>
    </row>
    <row r="432" spans="1:13" x14ac:dyDescent="0.2">
      <c r="A432" t="s">
        <v>612</v>
      </c>
      <c r="B432" t="s">
        <v>38</v>
      </c>
      <c r="C432" t="str">
        <f>_xlfn.XLOOKUP(A432,'[1]Putative species manifest'!A:A,'[1]Putative species manifest'!B:B)</f>
        <v>BREVIPETALA</v>
      </c>
      <c r="D432" t="s">
        <v>349</v>
      </c>
      <c r="E432" t="s">
        <v>50</v>
      </c>
      <c r="F432" t="s">
        <v>613</v>
      </c>
      <c r="G432" t="s">
        <v>17</v>
      </c>
      <c r="H432" t="s">
        <v>614</v>
      </c>
      <c r="I432" t="s">
        <v>14</v>
      </c>
      <c r="J432" t="s">
        <v>25</v>
      </c>
      <c r="K432" t="s">
        <v>615</v>
      </c>
      <c r="L432">
        <v>40.129167000000002</v>
      </c>
      <c r="M432">
        <v>-79.291667000000004</v>
      </c>
    </row>
    <row r="433" spans="1:13" x14ac:dyDescent="0.2">
      <c r="A433" t="s">
        <v>740</v>
      </c>
      <c r="B433" t="s">
        <v>38</v>
      </c>
      <c r="C433" t="str">
        <f>_xlfn.XLOOKUP(A433,'[1]Putative species manifest'!A:A,'[1]Putative species manifest'!B:B)</f>
        <v>BREVIPETALA</v>
      </c>
      <c r="D433" t="s">
        <v>306</v>
      </c>
      <c r="E433" t="s">
        <v>50</v>
      </c>
      <c r="F433" t="s">
        <v>741</v>
      </c>
      <c r="G433" t="s">
        <v>17</v>
      </c>
      <c r="H433" t="s">
        <v>742</v>
      </c>
      <c r="I433" t="s">
        <v>14</v>
      </c>
      <c r="J433" t="s">
        <v>94</v>
      </c>
      <c r="K433" t="s">
        <v>743</v>
      </c>
      <c r="L433">
        <v>33.516333000000003</v>
      </c>
      <c r="M433">
        <v>-94.147000000000006</v>
      </c>
    </row>
    <row r="434" spans="1:13" x14ac:dyDescent="0.2">
      <c r="A434" t="s">
        <v>984</v>
      </c>
      <c r="B434" t="s">
        <v>100</v>
      </c>
      <c r="C434" t="str">
        <f>_xlfn.XLOOKUP(A434,'[1]Putative species manifest'!A:A,'[1]Putative species manifest'!B:B)</f>
        <v>HIRSUTICAULIS</v>
      </c>
      <c r="D434" t="s">
        <v>306</v>
      </c>
      <c r="E434" t="s">
        <v>101</v>
      </c>
      <c r="F434" t="s">
        <v>985</v>
      </c>
      <c r="G434" t="s">
        <v>17</v>
      </c>
      <c r="H434" t="s">
        <v>986</v>
      </c>
      <c r="I434" t="s">
        <v>14</v>
      </c>
      <c r="J434" t="s">
        <v>106</v>
      </c>
      <c r="K434" t="s">
        <v>398</v>
      </c>
      <c r="L434">
        <v>37.208056999999997</v>
      </c>
      <c r="M434">
        <v>-89.428704999999994</v>
      </c>
    </row>
    <row r="435" spans="1:13" x14ac:dyDescent="0.2">
      <c r="A435" t="s">
        <v>990</v>
      </c>
      <c r="B435" t="s">
        <v>100</v>
      </c>
      <c r="C435" t="str">
        <f>_xlfn.XLOOKUP(A435,'[1]Putative species manifest'!A:A,'[1]Putative species manifest'!B:B)</f>
        <v>HIRSUTICAULIS</v>
      </c>
      <c r="D435" t="s">
        <v>349</v>
      </c>
      <c r="E435" t="s">
        <v>101</v>
      </c>
      <c r="F435" t="s">
        <v>991</v>
      </c>
      <c r="G435" t="s">
        <v>17</v>
      </c>
      <c r="H435" t="s">
        <v>992</v>
      </c>
      <c r="I435" t="s">
        <v>14</v>
      </c>
      <c r="J435" t="s">
        <v>106</v>
      </c>
      <c r="K435" t="s">
        <v>993</v>
      </c>
      <c r="L435">
        <v>37.4999684</v>
      </c>
      <c r="M435">
        <v>-88.237835279999999</v>
      </c>
    </row>
    <row r="436" spans="1:13" x14ac:dyDescent="0.2">
      <c r="A436" t="s">
        <v>998</v>
      </c>
      <c r="B436" t="s">
        <v>100</v>
      </c>
      <c r="C436" t="str">
        <f>_xlfn.XLOOKUP(A436,'[1]Putative species manifest'!A:A,'[1]Putative species manifest'!B:B)</f>
        <v>HIRSUTICAULIS</v>
      </c>
      <c r="D436" t="s">
        <v>244</v>
      </c>
      <c r="E436" t="s">
        <v>101</v>
      </c>
      <c r="F436" t="s">
        <v>999</v>
      </c>
      <c r="G436" t="s">
        <v>17</v>
      </c>
      <c r="H436" t="s">
        <v>1000</v>
      </c>
      <c r="I436" t="s">
        <v>14</v>
      </c>
      <c r="J436" t="s">
        <v>106</v>
      </c>
      <c r="K436" t="s">
        <v>90</v>
      </c>
      <c r="L436">
        <v>37.450181800000003</v>
      </c>
      <c r="M436">
        <v>-88.884404500000002</v>
      </c>
    </row>
    <row r="437" spans="1:13" x14ac:dyDescent="0.2">
      <c r="A437" t="s">
        <v>1001</v>
      </c>
      <c r="B437" t="s">
        <v>100</v>
      </c>
      <c r="C437" t="str">
        <f>_xlfn.XLOOKUP(A437,'[1]Putative species manifest'!A:A,'[1]Putative species manifest'!B:B)</f>
        <v>HIRSUTICAULIS</v>
      </c>
      <c r="D437" t="s">
        <v>306</v>
      </c>
      <c r="E437" t="s">
        <v>101</v>
      </c>
      <c r="F437" t="s">
        <v>1002</v>
      </c>
      <c r="G437" t="s">
        <v>17</v>
      </c>
      <c r="H437" t="s">
        <v>1003</v>
      </c>
      <c r="I437" t="s">
        <v>14</v>
      </c>
      <c r="J437" t="s">
        <v>106</v>
      </c>
      <c r="K437" t="s">
        <v>1004</v>
      </c>
      <c r="L437">
        <v>38.461697200000003</v>
      </c>
      <c r="M437">
        <v>-89.932434700000002</v>
      </c>
    </row>
    <row r="438" spans="1:13" x14ac:dyDescent="0.2">
      <c r="A438" t="s">
        <v>1024</v>
      </c>
      <c r="B438" t="s">
        <v>100</v>
      </c>
      <c r="C438" t="str">
        <f>_xlfn.XLOOKUP(A438,'[1]Putative species manifest'!A:A,'[1]Putative species manifest'!B:B)</f>
        <v>HIRSUTICAULIS</v>
      </c>
      <c r="D438" t="s">
        <v>349</v>
      </c>
      <c r="E438" t="s">
        <v>101</v>
      </c>
      <c r="F438" t="s">
        <v>1025</v>
      </c>
      <c r="G438" t="s">
        <v>17</v>
      </c>
      <c r="H438" t="s">
        <v>1026</v>
      </c>
      <c r="I438" t="s">
        <v>14</v>
      </c>
      <c r="J438" t="s">
        <v>63</v>
      </c>
      <c r="K438" t="s">
        <v>64</v>
      </c>
      <c r="L438">
        <v>39.168285500000003</v>
      </c>
      <c r="M438">
        <v>-86.229700399999999</v>
      </c>
    </row>
    <row r="439" spans="1:13" x14ac:dyDescent="0.2">
      <c r="A439" t="s">
        <v>1027</v>
      </c>
      <c r="B439" t="s">
        <v>100</v>
      </c>
      <c r="C439" t="str">
        <f>_xlfn.XLOOKUP(A439,'[1]Putative species manifest'!A:A,'[1]Putative species manifest'!B:B)</f>
        <v>HIRSUTICAULIS</v>
      </c>
      <c r="D439" t="s">
        <v>349</v>
      </c>
      <c r="E439" t="s">
        <v>101</v>
      </c>
      <c r="F439" t="s">
        <v>1028</v>
      </c>
      <c r="G439" t="s">
        <v>17</v>
      </c>
      <c r="H439" t="s">
        <v>1029</v>
      </c>
      <c r="I439" t="s">
        <v>14</v>
      </c>
      <c r="J439" t="s">
        <v>63</v>
      </c>
      <c r="K439" t="s">
        <v>923</v>
      </c>
      <c r="L439">
        <v>40.478706099999997</v>
      </c>
      <c r="M439">
        <v>-86.135034300000001</v>
      </c>
    </row>
    <row r="440" spans="1:13" x14ac:dyDescent="0.2">
      <c r="A440" t="s">
        <v>1030</v>
      </c>
      <c r="B440" t="s">
        <v>100</v>
      </c>
      <c r="C440" t="str">
        <f>_xlfn.XLOOKUP(A440,'[1]Putative species manifest'!A:A,'[1]Putative species manifest'!B:B)</f>
        <v>HIRSUTICAULIS</v>
      </c>
      <c r="D440" t="s">
        <v>349</v>
      </c>
      <c r="E440" t="s">
        <v>101</v>
      </c>
      <c r="F440" t="s">
        <v>1031</v>
      </c>
      <c r="G440" t="s">
        <v>17</v>
      </c>
      <c r="H440" t="s">
        <v>1032</v>
      </c>
      <c r="I440" t="s">
        <v>14</v>
      </c>
      <c r="J440" t="s">
        <v>63</v>
      </c>
      <c r="K440" t="s">
        <v>203</v>
      </c>
      <c r="L440">
        <v>40.036144700000001</v>
      </c>
      <c r="M440">
        <v>-86.900708300000005</v>
      </c>
    </row>
    <row r="441" spans="1:13" x14ac:dyDescent="0.2">
      <c r="A441" t="s">
        <v>1074</v>
      </c>
      <c r="B441" t="s">
        <v>100</v>
      </c>
      <c r="C441" t="str">
        <f>_xlfn.XLOOKUP(A441,'[1]Putative species manifest'!A:A,'[1]Putative species manifest'!B:B)</f>
        <v>GRAYANA</v>
      </c>
      <c r="D441" t="s">
        <v>188</v>
      </c>
      <c r="E441" t="s">
        <v>84</v>
      </c>
      <c r="F441" t="s">
        <v>1075</v>
      </c>
      <c r="G441" t="s">
        <v>17</v>
      </c>
      <c r="H441" t="s">
        <v>1076</v>
      </c>
      <c r="I441" t="s">
        <v>14</v>
      </c>
      <c r="J441" t="s">
        <v>114</v>
      </c>
      <c r="K441" t="s">
        <v>1077</v>
      </c>
      <c r="L441">
        <v>39.015392599999998</v>
      </c>
      <c r="M441">
        <v>-92.330753400000006</v>
      </c>
    </row>
    <row r="442" spans="1:13" x14ac:dyDescent="0.2">
      <c r="A442" t="s">
        <v>1094</v>
      </c>
      <c r="B442" t="s">
        <v>100</v>
      </c>
      <c r="C442" t="str">
        <f>_xlfn.XLOOKUP(A442,'[1]Putative species manifest'!A:A,'[1]Putative species manifest'!B:B)</f>
        <v>HIRSUTICAULIS</v>
      </c>
      <c r="D442" s="1" t="s">
        <v>306</v>
      </c>
      <c r="E442" t="s">
        <v>101</v>
      </c>
      <c r="F442" t="s">
        <v>1095</v>
      </c>
      <c r="G442" t="s">
        <v>17</v>
      </c>
      <c r="H442" t="s">
        <v>1096</v>
      </c>
      <c r="I442" t="s">
        <v>14</v>
      </c>
      <c r="J442" t="s">
        <v>114</v>
      </c>
      <c r="K442" t="s">
        <v>176</v>
      </c>
      <c r="L442">
        <v>37.149805200000003</v>
      </c>
      <c r="M442">
        <v>-91.432824499999995</v>
      </c>
    </row>
    <row r="443" spans="1:13" x14ac:dyDescent="0.2">
      <c r="A443" t="s">
        <v>1097</v>
      </c>
      <c r="B443" t="s">
        <v>100</v>
      </c>
      <c r="C443" t="str">
        <f>_xlfn.XLOOKUP(A443,'[1]Putative species manifest'!A:A,'[1]Putative species manifest'!B:B)</f>
        <v>HIRSUTICAULIS</v>
      </c>
      <c r="D443" s="1" t="s">
        <v>306</v>
      </c>
      <c r="E443" t="s">
        <v>101</v>
      </c>
      <c r="F443" t="s">
        <v>1098</v>
      </c>
      <c r="G443" t="s">
        <v>17</v>
      </c>
      <c r="H443" t="s">
        <v>1099</v>
      </c>
      <c r="I443" t="s">
        <v>14</v>
      </c>
      <c r="J443" t="s">
        <v>114</v>
      </c>
      <c r="K443" t="s">
        <v>176</v>
      </c>
      <c r="L443">
        <v>37.093791000000003</v>
      </c>
      <c r="M443">
        <v>-91.209526999999994</v>
      </c>
    </row>
    <row r="444" spans="1:13" x14ac:dyDescent="0.2">
      <c r="A444" t="s">
        <v>1085</v>
      </c>
      <c r="B444" t="s">
        <v>100</v>
      </c>
      <c r="C444" t="str">
        <f>_xlfn.XLOOKUP(A444,'[1]Putative species manifest'!A:A,'[1]Putative species manifest'!B:B)</f>
        <v>HIRSUTICAULIS</v>
      </c>
      <c r="D444" t="s">
        <v>306</v>
      </c>
      <c r="E444" t="s">
        <v>101</v>
      </c>
      <c r="F444" t="s">
        <v>1086</v>
      </c>
      <c r="G444" t="s">
        <v>17</v>
      </c>
      <c r="H444" t="s">
        <v>1087</v>
      </c>
      <c r="I444" t="s">
        <v>14</v>
      </c>
      <c r="J444" t="s">
        <v>114</v>
      </c>
      <c r="K444" t="s">
        <v>1088</v>
      </c>
      <c r="L444">
        <v>38.631965700000002</v>
      </c>
      <c r="M444">
        <v>-90.242875600000005</v>
      </c>
    </row>
    <row r="445" spans="1:13" x14ac:dyDescent="0.2">
      <c r="A445" t="s">
        <v>1102</v>
      </c>
      <c r="B445" t="s">
        <v>100</v>
      </c>
      <c r="C445" t="str">
        <f>_xlfn.XLOOKUP(A445,'[1]Putative species manifest'!A:A,'[1]Putative species manifest'!B:B)</f>
        <v>HIRSUTICAULIS</v>
      </c>
      <c r="D445" t="s">
        <v>306</v>
      </c>
      <c r="E445" t="s">
        <v>101</v>
      </c>
      <c r="F445" t="s">
        <v>1103</v>
      </c>
      <c r="G445" t="s">
        <v>17</v>
      </c>
      <c r="H445" t="s">
        <v>1104</v>
      </c>
      <c r="I445" t="s">
        <v>14</v>
      </c>
      <c r="J445" t="s">
        <v>114</v>
      </c>
      <c r="K445" t="s">
        <v>1105</v>
      </c>
      <c r="L445">
        <v>36.656372900000001</v>
      </c>
      <c r="M445">
        <v>-93.066577600000002</v>
      </c>
    </row>
    <row r="446" spans="1:13" x14ac:dyDescent="0.2">
      <c r="A446" t="s">
        <v>591</v>
      </c>
      <c r="B446" t="s">
        <v>38</v>
      </c>
      <c r="C446" t="str">
        <f>_xlfn.XLOOKUP(A446,'[1]Putative species manifest'!A:A,'[1]Putative species manifest'!B:B)</f>
        <v>BREVIPETALA</v>
      </c>
      <c r="D446" t="s">
        <v>349</v>
      </c>
      <c r="E446" t="s">
        <v>50</v>
      </c>
      <c r="F446" t="s">
        <v>592</v>
      </c>
      <c r="G446" t="s">
        <v>17</v>
      </c>
      <c r="H446" t="s">
        <v>593</v>
      </c>
      <c r="I446" t="s">
        <v>14</v>
      </c>
      <c r="J446" t="s">
        <v>83</v>
      </c>
      <c r="K446" t="s">
        <v>594</v>
      </c>
      <c r="L446">
        <v>39.274435500000003</v>
      </c>
      <c r="M446">
        <v>-82.474030200000001</v>
      </c>
    </row>
    <row r="447" spans="1:13" x14ac:dyDescent="0.2">
      <c r="A447" t="s">
        <v>1113</v>
      </c>
      <c r="B447" t="s">
        <v>100</v>
      </c>
      <c r="C447" t="str">
        <f>_xlfn.XLOOKUP(A447,'[1]Putative species manifest'!A:A,'[1]Putative species manifest'!B:B)</f>
        <v>HIRSUTICAULIS</v>
      </c>
      <c r="D447" t="s">
        <v>313</v>
      </c>
      <c r="E447" t="s">
        <v>101</v>
      </c>
      <c r="F447" t="s">
        <v>1114</v>
      </c>
      <c r="G447" t="s">
        <v>17</v>
      </c>
      <c r="H447" t="s">
        <v>1115</v>
      </c>
      <c r="I447" t="s">
        <v>14</v>
      </c>
      <c r="J447" t="s">
        <v>117</v>
      </c>
      <c r="K447" t="s">
        <v>1116</v>
      </c>
      <c r="L447">
        <v>35.503586300000002</v>
      </c>
      <c r="M447">
        <v>-94.736057700000003</v>
      </c>
    </row>
    <row r="448" spans="1:13" x14ac:dyDescent="0.2">
      <c r="A448" t="s">
        <v>1343</v>
      </c>
      <c r="B448" t="s">
        <v>84</v>
      </c>
      <c r="C448" t="str">
        <f>_xlfn.XLOOKUP(A448,'[1]Putative species manifest'!A:A,'[1]Putative species manifest'!B:B)</f>
        <v>GRAYANA</v>
      </c>
      <c r="D448" t="s">
        <v>1034</v>
      </c>
      <c r="E448" t="s">
        <v>107</v>
      </c>
      <c r="F448" t="s">
        <v>1344</v>
      </c>
      <c r="G448" t="s">
        <v>17</v>
      </c>
      <c r="H448" t="s">
        <v>1345</v>
      </c>
      <c r="I448" t="s">
        <v>14</v>
      </c>
      <c r="J448" t="s">
        <v>180</v>
      </c>
      <c r="K448" t="s">
        <v>1346</v>
      </c>
      <c r="L448">
        <v>41.760860800000003</v>
      </c>
      <c r="M448">
        <v>-91.126319800000005</v>
      </c>
    </row>
    <row r="449" spans="1:13" x14ac:dyDescent="0.2">
      <c r="A449" t="s">
        <v>1350</v>
      </c>
      <c r="B449" t="s">
        <v>84</v>
      </c>
      <c r="C449" t="str">
        <f>_xlfn.XLOOKUP(A449,'[1]Putative species manifest'!A:A,'[1]Putative species manifest'!B:B)</f>
        <v>GRAYANA</v>
      </c>
      <c r="D449" t="s">
        <v>1034</v>
      </c>
      <c r="E449" t="s">
        <v>107</v>
      </c>
      <c r="F449" t="s">
        <v>1351</v>
      </c>
      <c r="G449" t="s">
        <v>17</v>
      </c>
      <c r="H449" t="s">
        <v>1352</v>
      </c>
      <c r="I449" t="s">
        <v>14</v>
      </c>
      <c r="J449" t="s">
        <v>180</v>
      </c>
      <c r="K449" t="s">
        <v>15</v>
      </c>
      <c r="L449">
        <v>42.142038200000002</v>
      </c>
      <c r="M449">
        <v>-90.548006700000002</v>
      </c>
    </row>
    <row r="450" spans="1:13" x14ac:dyDescent="0.2">
      <c r="A450" t="s">
        <v>1353</v>
      </c>
      <c r="B450" t="s">
        <v>84</v>
      </c>
      <c r="C450" t="str">
        <f>_xlfn.XLOOKUP(A450,'[1]Putative species manifest'!A:A,'[1]Putative species manifest'!B:B)</f>
        <v>GRAYANA</v>
      </c>
      <c r="D450" t="s">
        <v>1034</v>
      </c>
      <c r="E450" t="s">
        <v>107</v>
      </c>
      <c r="F450" t="s">
        <v>1354</v>
      </c>
      <c r="G450" t="s">
        <v>17</v>
      </c>
      <c r="H450" t="s">
        <v>1355</v>
      </c>
      <c r="I450" t="s">
        <v>14</v>
      </c>
      <c r="J450" t="s">
        <v>180</v>
      </c>
      <c r="K450" t="s">
        <v>15</v>
      </c>
      <c r="L450">
        <v>42.142038200000002</v>
      </c>
      <c r="M450">
        <v>-90.548006700000002</v>
      </c>
    </row>
    <row r="451" spans="1:13" x14ac:dyDescent="0.2">
      <c r="A451" t="s">
        <v>1356</v>
      </c>
      <c r="B451" t="s">
        <v>84</v>
      </c>
      <c r="C451" t="str">
        <f>_xlfn.XLOOKUP(A451,'[1]Putative species manifest'!A:A,'[1]Putative species manifest'!B:B)</f>
        <v>GRAYANA</v>
      </c>
      <c r="D451" t="s">
        <v>188</v>
      </c>
      <c r="E451" t="s">
        <v>84</v>
      </c>
      <c r="F451" t="s">
        <v>1357</v>
      </c>
      <c r="G451" t="s">
        <v>17</v>
      </c>
      <c r="H451" t="s">
        <v>1358</v>
      </c>
      <c r="I451" t="s">
        <v>14</v>
      </c>
      <c r="J451" t="s">
        <v>180</v>
      </c>
      <c r="K451" t="s">
        <v>200</v>
      </c>
      <c r="L451">
        <v>43.374707100000002</v>
      </c>
      <c r="M451">
        <v>-96.2081917</v>
      </c>
    </row>
    <row r="452" spans="1:13" x14ac:dyDescent="0.2">
      <c r="A452" t="s">
        <v>1359</v>
      </c>
      <c r="B452" t="s">
        <v>84</v>
      </c>
      <c r="C452" t="str">
        <f>_xlfn.XLOOKUP(A452,'[1]Putative species manifest'!A:A,'[1]Putative species manifest'!B:B)</f>
        <v>GRAYANA</v>
      </c>
      <c r="D452" t="s">
        <v>188</v>
      </c>
      <c r="E452" t="s">
        <v>84</v>
      </c>
      <c r="F452" t="s">
        <v>1360</v>
      </c>
      <c r="G452" t="s">
        <v>17</v>
      </c>
      <c r="H452" t="s">
        <v>1361</v>
      </c>
      <c r="I452" t="s">
        <v>14</v>
      </c>
      <c r="J452" t="s">
        <v>180</v>
      </c>
      <c r="K452" t="s">
        <v>200</v>
      </c>
      <c r="L452">
        <v>43.374707100000002</v>
      </c>
      <c r="M452">
        <v>-96.2081917</v>
      </c>
    </row>
    <row r="453" spans="1:13" x14ac:dyDescent="0.2">
      <c r="A453" t="s">
        <v>1362</v>
      </c>
      <c r="B453" t="s">
        <v>84</v>
      </c>
      <c r="C453" t="str">
        <f>_xlfn.XLOOKUP(A453,'[1]Putative species manifest'!A:A,'[1]Putative species manifest'!B:B)</f>
        <v>GRAYANA</v>
      </c>
      <c r="D453" t="s">
        <v>188</v>
      </c>
      <c r="E453" t="s">
        <v>84</v>
      </c>
      <c r="F453" t="s">
        <v>1363</v>
      </c>
      <c r="G453" t="s">
        <v>17</v>
      </c>
      <c r="H453" t="s">
        <v>1364</v>
      </c>
      <c r="I453" t="s">
        <v>14</v>
      </c>
      <c r="J453" t="s">
        <v>180</v>
      </c>
      <c r="K453" t="s">
        <v>37</v>
      </c>
      <c r="L453">
        <v>42.726268099999999</v>
      </c>
      <c r="M453">
        <v>-94.6477383</v>
      </c>
    </row>
    <row r="454" spans="1:13" x14ac:dyDescent="0.2">
      <c r="A454" t="s">
        <v>1365</v>
      </c>
      <c r="B454" t="s">
        <v>84</v>
      </c>
      <c r="C454" t="str">
        <f>_xlfn.XLOOKUP(A454,'[1]Putative species manifest'!A:A,'[1]Putative species manifest'!B:B)</f>
        <v>GRAYANA</v>
      </c>
      <c r="D454" t="s">
        <v>188</v>
      </c>
      <c r="E454" t="s">
        <v>84</v>
      </c>
      <c r="F454" t="s">
        <v>1366</v>
      </c>
      <c r="G454" t="s">
        <v>17</v>
      </c>
      <c r="H454" t="s">
        <v>1367</v>
      </c>
      <c r="I454" t="s">
        <v>14</v>
      </c>
      <c r="J454" t="s">
        <v>180</v>
      </c>
      <c r="K454" t="s">
        <v>1368</v>
      </c>
      <c r="L454">
        <v>42.040106000000002</v>
      </c>
      <c r="M454">
        <v>-93.634507999999997</v>
      </c>
    </row>
    <row r="455" spans="1:13" x14ac:dyDescent="0.2">
      <c r="A455" t="s">
        <v>1369</v>
      </c>
      <c r="B455" t="s">
        <v>84</v>
      </c>
      <c r="C455" t="str">
        <f>_xlfn.XLOOKUP(A455,'[1]Putative species manifest'!A:A,'[1]Putative species manifest'!B:B)</f>
        <v>GRAYANA</v>
      </c>
      <c r="D455" t="s">
        <v>188</v>
      </c>
      <c r="E455" t="s">
        <v>84</v>
      </c>
      <c r="F455" t="s">
        <v>1370</v>
      </c>
      <c r="G455" t="s">
        <v>17</v>
      </c>
      <c r="H455" t="s">
        <v>1371</v>
      </c>
      <c r="I455" t="s">
        <v>14</v>
      </c>
      <c r="J455" t="s">
        <v>180</v>
      </c>
      <c r="K455" t="s">
        <v>1368</v>
      </c>
      <c r="L455">
        <v>42.016161199999999</v>
      </c>
      <c r="M455">
        <v>-93.489193999999998</v>
      </c>
    </row>
    <row r="456" spans="1:13" x14ac:dyDescent="0.2">
      <c r="A456" t="s">
        <v>1372</v>
      </c>
      <c r="B456" t="s">
        <v>84</v>
      </c>
      <c r="C456" t="str">
        <f>_xlfn.XLOOKUP(A456,'[1]Putative species manifest'!A:A,'[1]Putative species manifest'!B:B)</f>
        <v>GRAYANA</v>
      </c>
      <c r="D456" t="s">
        <v>1034</v>
      </c>
      <c r="E456" t="s">
        <v>107</v>
      </c>
      <c r="F456" t="s">
        <v>1373</v>
      </c>
      <c r="G456" t="s">
        <v>17</v>
      </c>
      <c r="H456" t="s">
        <v>1374</v>
      </c>
      <c r="I456" t="s">
        <v>14</v>
      </c>
      <c r="J456" t="s">
        <v>180</v>
      </c>
      <c r="K456" t="s">
        <v>23</v>
      </c>
      <c r="L456">
        <v>41.316008199999999</v>
      </c>
      <c r="M456">
        <v>-91.7340327</v>
      </c>
    </row>
    <row r="457" spans="1:13" x14ac:dyDescent="0.2">
      <c r="A457" t="s">
        <v>1480</v>
      </c>
      <c r="B457" t="s">
        <v>84</v>
      </c>
      <c r="C457" t="str">
        <f>_xlfn.XLOOKUP(A457,'[1]Putative species manifest'!A:A,'[1]Putative species manifest'!B:B)</f>
        <v>GRAYANA</v>
      </c>
      <c r="D457" t="s">
        <v>1034</v>
      </c>
      <c r="E457" t="s">
        <v>107</v>
      </c>
      <c r="F457" t="s">
        <v>1481</v>
      </c>
      <c r="G457" t="s">
        <v>17</v>
      </c>
      <c r="H457" t="s">
        <v>1482</v>
      </c>
      <c r="I457" t="s">
        <v>14</v>
      </c>
      <c r="J457" t="s">
        <v>1483</v>
      </c>
      <c r="K457" t="s">
        <v>160</v>
      </c>
      <c r="L457">
        <v>43.198239999999998</v>
      </c>
      <c r="M457">
        <v>-90.874082999999999</v>
      </c>
    </row>
    <row r="458" spans="1:13" x14ac:dyDescent="0.2">
      <c r="A458" t="s">
        <v>1484</v>
      </c>
      <c r="B458" t="s">
        <v>84</v>
      </c>
      <c r="C458" t="str">
        <f>_xlfn.XLOOKUP(A458,'[1]Putative species manifest'!A:A,'[1]Putative species manifest'!B:B)</f>
        <v>GRAYANA</v>
      </c>
      <c r="D458" t="s">
        <v>1034</v>
      </c>
      <c r="E458" t="s">
        <v>107</v>
      </c>
      <c r="F458" t="s">
        <v>1485</v>
      </c>
      <c r="G458" t="s">
        <v>17</v>
      </c>
      <c r="H458" t="s">
        <v>1486</v>
      </c>
      <c r="I458" t="s">
        <v>14</v>
      </c>
      <c r="J458" t="s">
        <v>1483</v>
      </c>
      <c r="K458" t="s">
        <v>1487</v>
      </c>
      <c r="L458">
        <v>42.606119</v>
      </c>
      <c r="M458">
        <v>-89.021249999999995</v>
      </c>
    </row>
    <row r="459" spans="1:13" x14ac:dyDescent="0.2">
      <c r="A459" t="s">
        <v>1488</v>
      </c>
      <c r="B459" t="s">
        <v>84</v>
      </c>
      <c r="C459" t="str">
        <f>_xlfn.XLOOKUP(A459,'[1]Putative species manifest'!A:A,'[1]Putative species manifest'!B:B)</f>
        <v>GRAYANA</v>
      </c>
      <c r="D459" t="s">
        <v>1034</v>
      </c>
      <c r="E459" t="s">
        <v>107</v>
      </c>
      <c r="F459" t="s">
        <v>1489</v>
      </c>
      <c r="G459" t="s">
        <v>17</v>
      </c>
      <c r="H459" t="s">
        <v>1490</v>
      </c>
      <c r="I459" t="s">
        <v>14</v>
      </c>
      <c r="J459" t="s">
        <v>1483</v>
      </c>
      <c r="K459" t="s">
        <v>1487</v>
      </c>
      <c r="L459">
        <v>42.606119</v>
      </c>
      <c r="M459">
        <v>-89.021249999999995</v>
      </c>
    </row>
    <row r="460" spans="1:13" x14ac:dyDescent="0.2">
      <c r="A460" t="s">
        <v>1491</v>
      </c>
      <c r="B460" t="s">
        <v>84</v>
      </c>
      <c r="C460" t="str">
        <f>_xlfn.XLOOKUP(A460,'[1]Putative species manifest'!A:A,'[1]Putative species manifest'!B:B)</f>
        <v>GRAYANA</v>
      </c>
      <c r="D460" t="s">
        <v>1034</v>
      </c>
      <c r="E460" t="s">
        <v>107</v>
      </c>
      <c r="F460" t="s">
        <v>1492</v>
      </c>
      <c r="G460" t="s">
        <v>17</v>
      </c>
      <c r="H460" t="s">
        <v>1493</v>
      </c>
      <c r="I460" t="s">
        <v>14</v>
      </c>
      <c r="J460" t="s">
        <v>1483</v>
      </c>
      <c r="K460" t="s">
        <v>1487</v>
      </c>
      <c r="L460">
        <v>42.824114000000002</v>
      </c>
      <c r="M460">
        <v>-89.318987000000007</v>
      </c>
    </row>
    <row r="461" spans="1:13" x14ac:dyDescent="0.2">
      <c r="A461" t="s">
        <v>1494</v>
      </c>
      <c r="B461" t="s">
        <v>84</v>
      </c>
      <c r="C461" t="str">
        <f>_xlfn.XLOOKUP(A461,'[1]Putative species manifest'!A:A,'[1]Putative species manifest'!B:B)</f>
        <v>GRAYANA</v>
      </c>
      <c r="D461" t="s">
        <v>1034</v>
      </c>
      <c r="E461" t="s">
        <v>107</v>
      </c>
      <c r="F461" t="s">
        <v>1495</v>
      </c>
      <c r="G461" t="s">
        <v>17</v>
      </c>
      <c r="H461" t="s">
        <v>1496</v>
      </c>
      <c r="I461" t="s">
        <v>14</v>
      </c>
      <c r="J461" t="s">
        <v>1483</v>
      </c>
      <c r="K461" t="s">
        <v>1487</v>
      </c>
      <c r="L461">
        <v>42.591560000000001</v>
      </c>
      <c r="M461">
        <v>-89.021028999999999</v>
      </c>
    </row>
    <row r="462" spans="1:13" x14ac:dyDescent="0.2">
      <c r="A462" t="s">
        <v>1338</v>
      </c>
      <c r="B462" t="s">
        <v>84</v>
      </c>
      <c r="C462" t="str">
        <f>_xlfn.XLOOKUP(A462,'[1]Putative species manifest'!A:A,'[1]Putative species manifest'!B:B)</f>
        <v>RICHARDSONII</v>
      </c>
      <c r="D462" t="s">
        <v>188</v>
      </c>
      <c r="E462" t="s">
        <v>84</v>
      </c>
      <c r="F462" t="s">
        <v>1339</v>
      </c>
      <c r="G462" t="s">
        <v>17</v>
      </c>
      <c r="H462" t="s">
        <v>1340</v>
      </c>
      <c r="I462" t="s">
        <v>14</v>
      </c>
      <c r="J462" t="s">
        <v>20</v>
      </c>
      <c r="K462" t="s">
        <v>171</v>
      </c>
      <c r="L462">
        <v>38.827382999999998</v>
      </c>
      <c r="M462">
        <v>-104.527472</v>
      </c>
    </row>
    <row r="463" spans="1:13" x14ac:dyDescent="0.2">
      <c r="A463" t="s">
        <v>1392</v>
      </c>
      <c r="B463" t="s">
        <v>84</v>
      </c>
      <c r="C463" t="str">
        <f>_xlfn.XLOOKUP(A463,'[1]Putative species manifest'!A:A,'[1]Putative species manifest'!B:B)</f>
        <v>RICHARDSONII</v>
      </c>
      <c r="D463" t="s">
        <v>1034</v>
      </c>
      <c r="E463" t="s">
        <v>107</v>
      </c>
      <c r="F463" t="s">
        <v>1393</v>
      </c>
      <c r="G463" t="s">
        <v>17</v>
      </c>
      <c r="H463" t="s">
        <v>1394</v>
      </c>
      <c r="I463" t="s">
        <v>14</v>
      </c>
      <c r="J463" t="s">
        <v>63</v>
      </c>
      <c r="K463" t="s">
        <v>28</v>
      </c>
      <c r="L463">
        <v>41.042141600000001</v>
      </c>
      <c r="M463">
        <v>-86.287520599999993</v>
      </c>
    </row>
    <row r="464" spans="1:13" x14ac:dyDescent="0.2">
      <c r="A464" t="s">
        <v>1395</v>
      </c>
      <c r="B464" t="s">
        <v>84</v>
      </c>
      <c r="C464" t="str">
        <f>_xlfn.XLOOKUP(A464,'[1]Putative species manifest'!A:A,'[1]Putative species manifest'!B:B)</f>
        <v>GRAYANA</v>
      </c>
      <c r="D464" t="s">
        <v>1034</v>
      </c>
      <c r="E464" t="s">
        <v>107</v>
      </c>
      <c r="F464" t="s">
        <v>1396</v>
      </c>
      <c r="G464" t="s">
        <v>17</v>
      </c>
      <c r="H464" t="s">
        <v>1397</v>
      </c>
      <c r="I464" t="s">
        <v>14</v>
      </c>
      <c r="J464" t="s">
        <v>63</v>
      </c>
      <c r="K464" t="s">
        <v>1383</v>
      </c>
      <c r="L464">
        <v>41.445703199999997</v>
      </c>
      <c r="M464">
        <v>-87.072497100000007</v>
      </c>
    </row>
    <row r="465" spans="1:13" x14ac:dyDescent="0.2">
      <c r="A465" t="s">
        <v>1398</v>
      </c>
      <c r="B465" t="s">
        <v>84</v>
      </c>
      <c r="C465" t="str">
        <f>_xlfn.XLOOKUP(A465,'[1]Putative species manifest'!A:A,'[1]Putative species manifest'!B:B)</f>
        <v>GRAYANA</v>
      </c>
      <c r="D465" t="s">
        <v>188</v>
      </c>
      <c r="E465" t="s">
        <v>84</v>
      </c>
      <c r="F465" t="s">
        <v>1399</v>
      </c>
      <c r="G465" t="s">
        <v>17</v>
      </c>
      <c r="H465" t="s">
        <v>1400</v>
      </c>
      <c r="I465" t="s">
        <v>14</v>
      </c>
      <c r="J465" t="s">
        <v>181</v>
      </c>
      <c r="K465" t="s">
        <v>157</v>
      </c>
      <c r="L465">
        <v>37.171806799999999</v>
      </c>
      <c r="M465">
        <v>-94.848206899999994</v>
      </c>
    </row>
    <row r="466" spans="1:13" x14ac:dyDescent="0.2">
      <c r="A466" t="s">
        <v>1404</v>
      </c>
      <c r="B466" t="s">
        <v>84</v>
      </c>
      <c r="C466" t="str">
        <f>_xlfn.XLOOKUP(A466,'[1]Putative species manifest'!A:A,'[1]Putative species manifest'!B:B)</f>
        <v>RICHARDSONII</v>
      </c>
      <c r="D466" t="s">
        <v>188</v>
      </c>
      <c r="E466" t="s">
        <v>84</v>
      </c>
      <c r="F466" t="s">
        <v>1405</v>
      </c>
      <c r="G466" t="s">
        <v>17</v>
      </c>
      <c r="H466" t="s">
        <v>1406</v>
      </c>
      <c r="I466" t="s">
        <v>14</v>
      </c>
      <c r="J466" t="s">
        <v>182</v>
      </c>
      <c r="K466" t="s">
        <v>46</v>
      </c>
      <c r="L466">
        <v>46.899490399999998</v>
      </c>
      <c r="M466">
        <v>-96.508820200000002</v>
      </c>
    </row>
    <row r="467" spans="1:13" x14ac:dyDescent="0.2">
      <c r="A467" t="s">
        <v>1420</v>
      </c>
      <c r="B467" t="s">
        <v>84</v>
      </c>
      <c r="C467" t="str">
        <f>_xlfn.XLOOKUP(A467,'[1]Putative species manifest'!A:A,'[1]Putative species manifest'!B:B)</f>
        <v>GRAYANA</v>
      </c>
      <c r="D467" t="s">
        <v>188</v>
      </c>
      <c r="E467" t="s">
        <v>84</v>
      </c>
      <c r="F467" t="s">
        <v>1421</v>
      </c>
      <c r="G467" t="s">
        <v>17</v>
      </c>
      <c r="H467" t="s">
        <v>1422</v>
      </c>
      <c r="I467" t="s">
        <v>14</v>
      </c>
      <c r="J467" t="s">
        <v>114</v>
      </c>
      <c r="K467" t="s">
        <v>1423</v>
      </c>
      <c r="L467">
        <v>39.905813999999999</v>
      </c>
      <c r="M467">
        <v>-94.730975000000001</v>
      </c>
    </row>
    <row r="468" spans="1:13" x14ac:dyDescent="0.2">
      <c r="A468" t="s">
        <v>1449</v>
      </c>
      <c r="B468" t="s">
        <v>84</v>
      </c>
      <c r="C468" t="str">
        <f>_xlfn.XLOOKUP(A468,'[1]Putative species manifest'!A:A,'[1]Putative species manifest'!B:B)</f>
        <v>GRAYANA</v>
      </c>
      <c r="D468" t="s">
        <v>188</v>
      </c>
      <c r="E468" t="s">
        <v>84</v>
      </c>
      <c r="F468" t="s">
        <v>1450</v>
      </c>
      <c r="G468" t="s">
        <v>17</v>
      </c>
      <c r="H468" t="s">
        <v>1451</v>
      </c>
      <c r="I468" t="s">
        <v>14</v>
      </c>
      <c r="J468" t="s">
        <v>114</v>
      </c>
      <c r="K468" t="s">
        <v>57</v>
      </c>
      <c r="L468">
        <v>37.432303599999997</v>
      </c>
      <c r="M468">
        <v>-93.840630200000007</v>
      </c>
    </row>
    <row r="469" spans="1:13" x14ac:dyDescent="0.2">
      <c r="A469" t="s">
        <v>1457</v>
      </c>
      <c r="B469" t="s">
        <v>84</v>
      </c>
      <c r="C469" t="str">
        <f>_xlfn.XLOOKUP(A469,'[1]Putative species manifest'!A:A,'[1]Putative species manifest'!B:B)</f>
        <v>RICHARDSONII</v>
      </c>
      <c r="D469" t="s">
        <v>306</v>
      </c>
      <c r="E469" t="s">
        <v>107</v>
      </c>
      <c r="F469" t="s">
        <v>1458</v>
      </c>
      <c r="G469" t="s">
        <v>17</v>
      </c>
      <c r="H469" t="s">
        <v>1459</v>
      </c>
      <c r="I469" t="s">
        <v>14</v>
      </c>
      <c r="J469" t="s">
        <v>114</v>
      </c>
      <c r="K469" t="s">
        <v>1460</v>
      </c>
      <c r="L469">
        <v>37.781647</v>
      </c>
      <c r="M469">
        <v>-90.284423000000004</v>
      </c>
    </row>
    <row r="470" spans="1:13" x14ac:dyDescent="0.2">
      <c r="A470" t="s">
        <v>1461</v>
      </c>
      <c r="B470" t="s">
        <v>84</v>
      </c>
      <c r="C470" t="str">
        <f>_xlfn.XLOOKUP(A470,'[1]Putative species manifest'!A:A,'[1]Putative species manifest'!B:B)</f>
        <v>RICHARDSONII</v>
      </c>
      <c r="D470" t="s">
        <v>188</v>
      </c>
      <c r="E470" t="s">
        <v>84</v>
      </c>
      <c r="F470" t="s">
        <v>1462</v>
      </c>
      <c r="G470" t="s">
        <v>17</v>
      </c>
      <c r="H470" t="s">
        <v>1463</v>
      </c>
      <c r="I470" t="s">
        <v>14</v>
      </c>
      <c r="J470" t="s">
        <v>187</v>
      </c>
      <c r="K470" t="s">
        <v>1464</v>
      </c>
      <c r="L470">
        <v>46.931794400000001</v>
      </c>
      <c r="M470">
        <v>-96.947074799999996</v>
      </c>
    </row>
    <row r="471" spans="1:13" x14ac:dyDescent="0.2">
      <c r="A471" t="s">
        <v>1465</v>
      </c>
      <c r="B471" t="s">
        <v>84</v>
      </c>
      <c r="C471" t="str">
        <f>_xlfn.XLOOKUP(A471,'[1]Putative species manifest'!A:A,'[1]Putative species manifest'!B:B)</f>
        <v>GRAYANA</v>
      </c>
      <c r="D471" t="s">
        <v>188</v>
      </c>
      <c r="E471" t="s">
        <v>84</v>
      </c>
      <c r="F471" t="s">
        <v>1466</v>
      </c>
      <c r="G471" t="s">
        <v>17</v>
      </c>
      <c r="H471" t="s">
        <v>1467</v>
      </c>
      <c r="I471" t="s">
        <v>14</v>
      </c>
      <c r="J471" t="s">
        <v>117</v>
      </c>
      <c r="K471" t="s">
        <v>1468</v>
      </c>
      <c r="L471">
        <v>36.835763999999998</v>
      </c>
      <c r="M471">
        <v>-94.802681000000007</v>
      </c>
    </row>
    <row r="472" spans="1:13" x14ac:dyDescent="0.2">
      <c r="A472" t="s">
        <v>1473</v>
      </c>
      <c r="B472" t="s">
        <v>84</v>
      </c>
      <c r="C472" t="str">
        <f>_xlfn.XLOOKUP(A472,'[1]Putative species manifest'!A:A,'[1]Putative species manifest'!B:B)</f>
        <v>RICHARDSONII</v>
      </c>
      <c r="D472" t="s">
        <v>188</v>
      </c>
      <c r="E472" t="s">
        <v>84</v>
      </c>
      <c r="F472" t="s">
        <v>1474</v>
      </c>
      <c r="G472" t="s">
        <v>17</v>
      </c>
      <c r="H472" t="s">
        <v>1475</v>
      </c>
      <c r="I472" t="s">
        <v>14</v>
      </c>
      <c r="J472" t="s">
        <v>190</v>
      </c>
      <c r="K472" t="s">
        <v>132</v>
      </c>
      <c r="L472">
        <v>43.684942999999997</v>
      </c>
      <c r="M472">
        <v>-103.46225</v>
      </c>
    </row>
    <row r="473" spans="1:13" x14ac:dyDescent="0.2">
      <c r="A473" t="s">
        <v>402</v>
      </c>
      <c r="B473" t="s">
        <v>38</v>
      </c>
      <c r="C473" t="str">
        <f>_xlfn.XLOOKUP(A473,'[1]Putative species manifest'!A:A,'[1]Putative species manifest'!B:B)</f>
        <v>AMERICANA</v>
      </c>
      <c r="D473" t="s">
        <v>320</v>
      </c>
      <c r="E473" t="s">
        <v>38</v>
      </c>
      <c r="F473" t="s">
        <v>403</v>
      </c>
      <c r="G473" t="s">
        <v>17</v>
      </c>
      <c r="H473" t="s">
        <v>404</v>
      </c>
      <c r="I473" t="s">
        <v>14</v>
      </c>
      <c r="J473" t="s">
        <v>75</v>
      </c>
      <c r="K473" t="s">
        <v>405</v>
      </c>
      <c r="L473">
        <v>34.627971000000002</v>
      </c>
      <c r="M473">
        <v>-78.562771400000003</v>
      </c>
    </row>
    <row r="474" spans="1:13" x14ac:dyDescent="0.2">
      <c r="A474" t="s">
        <v>406</v>
      </c>
      <c r="B474" t="s">
        <v>38</v>
      </c>
      <c r="C474" t="str">
        <f>_xlfn.XLOOKUP(A474,'[1]Putative species manifest'!A:A,'[1]Putative species manifest'!B:B)</f>
        <v>AMERICANA</v>
      </c>
      <c r="D474" t="s">
        <v>396</v>
      </c>
      <c r="E474" t="s">
        <v>38</v>
      </c>
      <c r="F474" t="s">
        <v>407</v>
      </c>
      <c r="G474" t="s">
        <v>17</v>
      </c>
      <c r="H474" t="s">
        <v>408</v>
      </c>
      <c r="I474" t="s">
        <v>14</v>
      </c>
      <c r="J474" t="s">
        <v>75</v>
      </c>
      <c r="K474" t="s">
        <v>141</v>
      </c>
      <c r="L474">
        <v>35.644840000000002</v>
      </c>
      <c r="M474">
        <v>-82.282618999999997</v>
      </c>
    </row>
    <row r="475" spans="1:13" x14ac:dyDescent="0.2">
      <c r="A475" t="s">
        <v>411</v>
      </c>
      <c r="B475" t="s">
        <v>38</v>
      </c>
      <c r="C475" t="str">
        <f>_xlfn.XLOOKUP(A475,'[1]Putative species manifest'!A:A,'[1]Putative species manifest'!B:B)</f>
        <v>AMERICANA</v>
      </c>
      <c r="D475" t="s">
        <v>396</v>
      </c>
      <c r="E475" t="s">
        <v>38</v>
      </c>
      <c r="F475" t="s">
        <v>412</v>
      </c>
      <c r="G475" t="s">
        <v>17</v>
      </c>
      <c r="H475" t="s">
        <v>413</v>
      </c>
      <c r="I475" t="s">
        <v>14</v>
      </c>
      <c r="J475" t="s">
        <v>75</v>
      </c>
      <c r="K475" t="s">
        <v>56</v>
      </c>
      <c r="L475">
        <v>35.834001000000001</v>
      </c>
      <c r="M475">
        <v>-81.711678000000006</v>
      </c>
    </row>
    <row r="476" spans="1:13" x14ac:dyDescent="0.2">
      <c r="A476" t="s">
        <v>414</v>
      </c>
      <c r="B476" t="s">
        <v>38</v>
      </c>
      <c r="C476" t="str">
        <f>_xlfn.XLOOKUP(A476,'[1]Putative species manifest'!A:A,'[1]Putative species manifest'!B:B)</f>
        <v>AMERICANA</v>
      </c>
      <c r="D476" t="s">
        <v>320</v>
      </c>
      <c r="E476" t="s">
        <v>38</v>
      </c>
      <c r="F476" t="s">
        <v>415</v>
      </c>
      <c r="G476" t="s">
        <v>17</v>
      </c>
      <c r="H476" t="s">
        <v>416</v>
      </c>
      <c r="I476" t="s">
        <v>14</v>
      </c>
      <c r="J476" t="s">
        <v>75</v>
      </c>
      <c r="K476" t="s">
        <v>417</v>
      </c>
      <c r="L476">
        <v>36.343308999999998</v>
      </c>
      <c r="M476">
        <v>-79.438355999999999</v>
      </c>
    </row>
    <row r="477" spans="1:13" x14ac:dyDescent="0.2">
      <c r="A477" t="s">
        <v>418</v>
      </c>
      <c r="B477" t="s">
        <v>38</v>
      </c>
      <c r="C477" t="str">
        <f>_xlfn.XLOOKUP(A477,'[1]Putative species manifest'!A:A,'[1]Putative species manifest'!B:B)</f>
        <v>AMERICANA</v>
      </c>
      <c r="D477" t="s">
        <v>320</v>
      </c>
      <c r="E477" t="s">
        <v>38</v>
      </c>
      <c r="F477" t="s">
        <v>419</v>
      </c>
      <c r="G477" t="s">
        <v>17</v>
      </c>
      <c r="H477" t="s">
        <v>420</v>
      </c>
      <c r="I477" t="s">
        <v>14</v>
      </c>
      <c r="J477" t="s">
        <v>75</v>
      </c>
      <c r="K477" t="s">
        <v>421</v>
      </c>
      <c r="L477">
        <v>35.757001000000002</v>
      </c>
      <c r="M477">
        <v>-79.088077999999996</v>
      </c>
    </row>
    <row r="478" spans="1:13" x14ac:dyDescent="0.2">
      <c r="A478" t="s">
        <v>430</v>
      </c>
      <c r="B478" t="s">
        <v>38</v>
      </c>
      <c r="C478" t="str">
        <f>_xlfn.XLOOKUP(A478,'[1]Putative species manifest'!A:A,'[1]Putative species manifest'!B:B)</f>
        <v>AMERICANA</v>
      </c>
      <c r="D478" t="s">
        <v>320</v>
      </c>
      <c r="E478" t="s">
        <v>38</v>
      </c>
      <c r="F478" t="s">
        <v>431</v>
      </c>
      <c r="G478" t="s">
        <v>17</v>
      </c>
      <c r="H478" t="s">
        <v>432</v>
      </c>
      <c r="I478" t="s">
        <v>14</v>
      </c>
      <c r="J478" t="s">
        <v>75</v>
      </c>
      <c r="K478" t="s">
        <v>76</v>
      </c>
      <c r="L478">
        <v>36.073411</v>
      </c>
      <c r="M478">
        <v>-78.873340999999996</v>
      </c>
    </row>
    <row r="479" spans="1:13" x14ac:dyDescent="0.2">
      <c r="A479" t="s">
        <v>435</v>
      </c>
      <c r="B479" t="s">
        <v>38</v>
      </c>
      <c r="C479" t="str">
        <f>_xlfn.XLOOKUP(A479,'[1]Putative species manifest'!A:A,'[1]Putative species manifest'!B:B)</f>
        <v>BREVIPETALA</v>
      </c>
      <c r="D479" t="s">
        <v>339</v>
      </c>
      <c r="E479" t="s">
        <v>38</v>
      </c>
      <c r="F479" t="s">
        <v>436</v>
      </c>
      <c r="G479" t="s">
        <v>17</v>
      </c>
      <c r="H479" t="s">
        <v>437</v>
      </c>
      <c r="I479" t="s">
        <v>14</v>
      </c>
      <c r="J479" t="s">
        <v>75</v>
      </c>
      <c r="K479" t="s">
        <v>137</v>
      </c>
      <c r="L479">
        <v>35.443069999999999</v>
      </c>
      <c r="M479">
        <v>-83.937459000000004</v>
      </c>
    </row>
    <row r="480" spans="1:13" x14ac:dyDescent="0.2">
      <c r="A480" t="s">
        <v>438</v>
      </c>
      <c r="B480" t="s">
        <v>38</v>
      </c>
      <c r="C480" t="str">
        <f>_xlfn.XLOOKUP(A480,'[1]Putative species manifest'!A:A,'[1]Putative species manifest'!B:B)</f>
        <v>AMERICANA</v>
      </c>
      <c r="D480" t="s">
        <v>396</v>
      </c>
      <c r="E480" t="s">
        <v>38</v>
      </c>
      <c r="F480" t="s">
        <v>439</v>
      </c>
      <c r="G480" t="s">
        <v>17</v>
      </c>
      <c r="H480" t="s">
        <v>440</v>
      </c>
      <c r="I480" t="s">
        <v>14</v>
      </c>
      <c r="J480" t="s">
        <v>75</v>
      </c>
      <c r="K480" t="s">
        <v>137</v>
      </c>
      <c r="L480">
        <v>36.069025799999999</v>
      </c>
      <c r="M480">
        <v>-79.400575599999996</v>
      </c>
    </row>
    <row r="481" spans="1:13" x14ac:dyDescent="0.2">
      <c r="A481" t="s">
        <v>441</v>
      </c>
      <c r="B481" t="s">
        <v>38</v>
      </c>
      <c r="C481" t="str">
        <f>_xlfn.XLOOKUP(A481,'[1]Putative species manifest'!A:A,'[1]Putative species manifest'!B:B)</f>
        <v>AMERICANA</v>
      </c>
      <c r="D481" t="s">
        <v>320</v>
      </c>
      <c r="E481" t="s">
        <v>38</v>
      </c>
      <c r="F481" t="s">
        <v>442</v>
      </c>
      <c r="G481" t="s">
        <v>17</v>
      </c>
      <c r="H481" t="s">
        <v>443</v>
      </c>
      <c r="I481" t="s">
        <v>14</v>
      </c>
      <c r="J481" t="s">
        <v>75</v>
      </c>
      <c r="K481" t="s">
        <v>444</v>
      </c>
      <c r="L481">
        <v>36.084311999999997</v>
      </c>
      <c r="M481">
        <v>-78.746671000000006</v>
      </c>
    </row>
    <row r="482" spans="1:13" x14ac:dyDescent="0.2">
      <c r="A482" t="s">
        <v>445</v>
      </c>
      <c r="B482" t="s">
        <v>38</v>
      </c>
      <c r="C482" t="str">
        <f>_xlfn.XLOOKUP(A482,'[1]Putative species manifest'!A:A,'[1]Putative species manifest'!B:B)</f>
        <v>AMERICANA</v>
      </c>
      <c r="D482" t="s">
        <v>320</v>
      </c>
      <c r="E482" t="s">
        <v>38</v>
      </c>
      <c r="F482" t="s">
        <v>446</v>
      </c>
      <c r="G482" t="s">
        <v>17</v>
      </c>
      <c r="H482" t="s">
        <v>447</v>
      </c>
      <c r="I482" t="s">
        <v>14</v>
      </c>
      <c r="J482" t="s">
        <v>75</v>
      </c>
      <c r="K482" t="s">
        <v>448</v>
      </c>
      <c r="L482">
        <v>35.468214000000003</v>
      </c>
      <c r="M482">
        <v>-78.898073999999994</v>
      </c>
    </row>
    <row r="483" spans="1:13" x14ac:dyDescent="0.2">
      <c r="A483" t="s">
        <v>449</v>
      </c>
      <c r="B483" t="s">
        <v>38</v>
      </c>
      <c r="C483" t="str">
        <f>_xlfn.XLOOKUP(A483,'[1]Putative species manifest'!A:A,'[1]Putative species manifest'!B:B)</f>
        <v>AMERICANA</v>
      </c>
      <c r="D483" t="s">
        <v>396</v>
      </c>
      <c r="E483" t="s">
        <v>38</v>
      </c>
      <c r="F483" t="s">
        <v>450</v>
      </c>
      <c r="G483" t="s">
        <v>17</v>
      </c>
      <c r="H483" t="s">
        <v>451</v>
      </c>
      <c r="I483" t="s">
        <v>14</v>
      </c>
      <c r="J483" t="s">
        <v>75</v>
      </c>
      <c r="K483" t="s">
        <v>142</v>
      </c>
      <c r="L483">
        <v>35.645283999999997</v>
      </c>
      <c r="M483">
        <v>-82.941248999999999</v>
      </c>
    </row>
    <row r="484" spans="1:13" x14ac:dyDescent="0.2">
      <c r="A484" t="s">
        <v>452</v>
      </c>
      <c r="B484" t="s">
        <v>38</v>
      </c>
      <c r="C484" t="str">
        <f>_xlfn.XLOOKUP(A484,'[1]Putative species manifest'!A:A,'[1]Putative species manifest'!B:B)</f>
        <v>AMERICANA</v>
      </c>
      <c r="D484" t="s">
        <v>396</v>
      </c>
      <c r="E484" t="s">
        <v>38</v>
      </c>
      <c r="F484" t="s">
        <v>453</v>
      </c>
      <c r="G484" t="s">
        <v>17</v>
      </c>
      <c r="H484" t="s">
        <v>454</v>
      </c>
      <c r="I484" t="s">
        <v>14</v>
      </c>
      <c r="J484" t="s">
        <v>75</v>
      </c>
      <c r="K484" t="s">
        <v>142</v>
      </c>
      <c r="L484">
        <v>35.409551</v>
      </c>
      <c r="M484">
        <v>-82.856243000000006</v>
      </c>
    </row>
    <row r="485" spans="1:13" x14ac:dyDescent="0.2">
      <c r="A485" t="s">
        <v>455</v>
      </c>
      <c r="B485" t="s">
        <v>38</v>
      </c>
      <c r="C485" t="str">
        <f>_xlfn.XLOOKUP(A485,'[1]Putative species manifest'!A:A,'[1]Putative species manifest'!B:B)</f>
        <v>AMERICANA</v>
      </c>
      <c r="D485" t="s">
        <v>320</v>
      </c>
      <c r="E485" t="s">
        <v>38</v>
      </c>
      <c r="F485" t="s">
        <v>456</v>
      </c>
      <c r="G485" t="s">
        <v>17</v>
      </c>
      <c r="H485" t="s">
        <v>457</v>
      </c>
      <c r="I485" t="s">
        <v>14</v>
      </c>
      <c r="J485" t="s">
        <v>75</v>
      </c>
      <c r="K485" t="s">
        <v>458</v>
      </c>
      <c r="L485">
        <v>36.468815999999997</v>
      </c>
      <c r="M485">
        <v>-77.095399</v>
      </c>
    </row>
    <row r="486" spans="1:13" x14ac:dyDescent="0.2">
      <c r="A486" t="s">
        <v>464</v>
      </c>
      <c r="B486" t="s">
        <v>38</v>
      </c>
      <c r="C486" t="str">
        <f>_xlfn.XLOOKUP(A486,'[1]Putative species manifest'!A:A,'[1]Putative species manifest'!B:B)</f>
        <v>AMERICANA</v>
      </c>
      <c r="D486" t="s">
        <v>320</v>
      </c>
      <c r="E486" t="s">
        <v>38</v>
      </c>
      <c r="F486" t="s">
        <v>465</v>
      </c>
      <c r="G486" t="s">
        <v>17</v>
      </c>
      <c r="H486" t="s">
        <v>466</v>
      </c>
      <c r="I486" t="s">
        <v>14</v>
      </c>
      <c r="J486" t="s">
        <v>75</v>
      </c>
      <c r="K486" t="s">
        <v>48</v>
      </c>
      <c r="L486">
        <v>35.469174600000002</v>
      </c>
      <c r="M486">
        <v>-79.154764299999997</v>
      </c>
    </row>
    <row r="487" spans="1:13" x14ac:dyDescent="0.2">
      <c r="A487" t="s">
        <v>467</v>
      </c>
      <c r="B487" t="s">
        <v>38</v>
      </c>
      <c r="C487" t="str">
        <f>_xlfn.XLOOKUP(A487,'[1]Putative species manifest'!A:A,'[1]Putative species manifest'!B:B)</f>
        <v>AMERICANA</v>
      </c>
      <c r="D487" t="s">
        <v>320</v>
      </c>
      <c r="E487" t="s">
        <v>38</v>
      </c>
      <c r="F487" t="s">
        <v>468</v>
      </c>
      <c r="G487" t="s">
        <v>17</v>
      </c>
      <c r="H487" t="s">
        <v>469</v>
      </c>
      <c r="I487" t="s">
        <v>14</v>
      </c>
      <c r="J487" t="s">
        <v>75</v>
      </c>
      <c r="K487" t="s">
        <v>48</v>
      </c>
      <c r="L487">
        <v>35.538600000000002</v>
      </c>
      <c r="M487">
        <v>-79.246692999999993</v>
      </c>
    </row>
    <row r="488" spans="1:13" x14ac:dyDescent="0.2">
      <c r="A488" t="s">
        <v>470</v>
      </c>
      <c r="B488" t="s">
        <v>38</v>
      </c>
      <c r="C488" t="str">
        <f>_xlfn.XLOOKUP(A488,'[1]Putative species manifest'!A:A,'[1]Putative species manifest'!B:B)</f>
        <v>AMERICANA</v>
      </c>
      <c r="D488" t="s">
        <v>320</v>
      </c>
      <c r="E488" t="s">
        <v>38</v>
      </c>
      <c r="F488" t="s">
        <v>471</v>
      </c>
      <c r="G488" t="s">
        <v>17</v>
      </c>
      <c r="H488" t="s">
        <v>472</v>
      </c>
      <c r="I488" t="s">
        <v>14</v>
      </c>
      <c r="J488" t="s">
        <v>75</v>
      </c>
      <c r="K488" t="s">
        <v>48</v>
      </c>
      <c r="L488">
        <v>35.469174600000002</v>
      </c>
      <c r="M488">
        <v>-79.154764299999997</v>
      </c>
    </row>
    <row r="489" spans="1:13" x14ac:dyDescent="0.2">
      <c r="A489" t="s">
        <v>473</v>
      </c>
      <c r="B489" t="s">
        <v>38</v>
      </c>
      <c r="C489" t="str">
        <f>_xlfn.XLOOKUP(A489,'[1]Putative species manifest'!A:A,'[1]Putative species manifest'!B:B)</f>
        <v>AMERICANA</v>
      </c>
      <c r="D489" t="s">
        <v>320</v>
      </c>
      <c r="E489" t="s">
        <v>38</v>
      </c>
      <c r="F489" t="s">
        <v>474</v>
      </c>
      <c r="G489" t="s">
        <v>17</v>
      </c>
      <c r="H489" t="s">
        <v>475</v>
      </c>
      <c r="I489" t="s">
        <v>14</v>
      </c>
      <c r="J489" t="s">
        <v>75</v>
      </c>
      <c r="K489" t="s">
        <v>48</v>
      </c>
      <c r="L489">
        <v>35.536819000000001</v>
      </c>
      <c r="M489">
        <v>-79.252641999999994</v>
      </c>
    </row>
    <row r="490" spans="1:13" x14ac:dyDescent="0.2">
      <c r="A490" t="s">
        <v>476</v>
      </c>
      <c r="B490" t="s">
        <v>38</v>
      </c>
      <c r="C490" t="str">
        <f>_xlfn.XLOOKUP(A490,'[1]Putative species manifest'!A:A,'[1]Putative species manifest'!B:B)</f>
        <v>AMERICANA</v>
      </c>
      <c r="D490" t="s">
        <v>396</v>
      </c>
      <c r="E490" t="s">
        <v>38</v>
      </c>
      <c r="F490" t="s">
        <v>477</v>
      </c>
      <c r="G490" t="s">
        <v>17</v>
      </c>
      <c r="H490" t="s">
        <v>478</v>
      </c>
      <c r="I490" t="s">
        <v>14</v>
      </c>
      <c r="J490" t="s">
        <v>75</v>
      </c>
      <c r="K490" t="s">
        <v>166</v>
      </c>
      <c r="L490">
        <v>35.1436639</v>
      </c>
      <c r="M490">
        <v>-83.397729699999999</v>
      </c>
    </row>
    <row r="491" spans="1:13" x14ac:dyDescent="0.2">
      <c r="A491" t="s">
        <v>479</v>
      </c>
      <c r="B491" t="s">
        <v>38</v>
      </c>
      <c r="C491" t="str">
        <f>_xlfn.XLOOKUP(A491,'[1]Putative species manifest'!A:A,'[1]Putative species manifest'!B:B)</f>
        <v>AMERICANA</v>
      </c>
      <c r="D491" t="s">
        <v>339</v>
      </c>
      <c r="E491" t="s">
        <v>38</v>
      </c>
      <c r="F491" t="s">
        <v>211</v>
      </c>
      <c r="G491" t="s">
        <v>17</v>
      </c>
      <c r="H491" t="s">
        <v>480</v>
      </c>
      <c r="I491" t="s">
        <v>14</v>
      </c>
      <c r="J491" t="s">
        <v>75</v>
      </c>
      <c r="K491" t="s">
        <v>166</v>
      </c>
      <c r="L491">
        <v>35.148812</v>
      </c>
      <c r="M491">
        <v>-83.300076000000004</v>
      </c>
    </row>
    <row r="492" spans="1:13" x14ac:dyDescent="0.2">
      <c r="A492" t="s">
        <v>481</v>
      </c>
      <c r="B492" t="s">
        <v>38</v>
      </c>
      <c r="C492" t="str">
        <f>_xlfn.XLOOKUP(A492,'[1]Putative species manifest'!A:A,'[1]Putative species manifest'!B:B)</f>
        <v>AMERICANA</v>
      </c>
      <c r="D492" t="s">
        <v>320</v>
      </c>
      <c r="E492" t="s">
        <v>38</v>
      </c>
      <c r="F492" t="s">
        <v>482</v>
      </c>
      <c r="G492" t="s">
        <v>17</v>
      </c>
      <c r="H492" t="s">
        <v>483</v>
      </c>
      <c r="I492" t="s">
        <v>14</v>
      </c>
      <c r="J492" t="s">
        <v>75</v>
      </c>
      <c r="K492" t="s">
        <v>49</v>
      </c>
      <c r="L492">
        <v>35.848203400000003</v>
      </c>
      <c r="M492">
        <v>-82.693106299999997</v>
      </c>
    </row>
    <row r="493" spans="1:13" x14ac:dyDescent="0.2">
      <c r="A493" t="s">
        <v>484</v>
      </c>
      <c r="B493" t="s">
        <v>38</v>
      </c>
      <c r="C493" t="str">
        <f>_xlfn.XLOOKUP(A493,'[1]Putative species manifest'!A:A,'[1]Putative species manifest'!B:B)</f>
        <v>AMERICANA</v>
      </c>
      <c r="D493" t="s">
        <v>396</v>
      </c>
      <c r="E493" t="s">
        <v>38</v>
      </c>
      <c r="F493" t="s">
        <v>485</v>
      </c>
      <c r="G493" t="s">
        <v>17</v>
      </c>
      <c r="H493" t="s">
        <v>486</v>
      </c>
      <c r="I493" t="s">
        <v>14</v>
      </c>
      <c r="J493" t="s">
        <v>75</v>
      </c>
      <c r="K493" t="s">
        <v>49</v>
      </c>
      <c r="L493">
        <v>35.737329000000003</v>
      </c>
      <c r="M493">
        <v>-82.869151000000002</v>
      </c>
    </row>
    <row r="494" spans="1:13" x14ac:dyDescent="0.2">
      <c r="A494" t="s">
        <v>487</v>
      </c>
      <c r="B494" t="s">
        <v>38</v>
      </c>
      <c r="C494" t="str">
        <f>_xlfn.XLOOKUP(A494,'[1]Putative species manifest'!A:A,'[1]Putative species manifest'!B:B)</f>
        <v>AMERICANA</v>
      </c>
      <c r="D494" t="s">
        <v>320</v>
      </c>
      <c r="E494" t="s">
        <v>38</v>
      </c>
      <c r="F494" t="s">
        <v>488</v>
      </c>
      <c r="G494" t="s">
        <v>17</v>
      </c>
      <c r="H494" t="s">
        <v>489</v>
      </c>
      <c r="I494" t="s">
        <v>14</v>
      </c>
      <c r="J494" t="s">
        <v>75</v>
      </c>
      <c r="K494" t="s">
        <v>165</v>
      </c>
      <c r="L494">
        <v>35.966358999999997</v>
      </c>
      <c r="M494">
        <v>-77.209683999999996</v>
      </c>
    </row>
    <row r="495" spans="1:13" x14ac:dyDescent="0.2">
      <c r="A495" t="s">
        <v>490</v>
      </c>
      <c r="B495" t="s">
        <v>38</v>
      </c>
      <c r="C495" t="str">
        <f>_xlfn.XLOOKUP(A495,'[1]Putative species manifest'!A:A,'[1]Putative species manifest'!B:B)</f>
        <v>AMERICANA</v>
      </c>
      <c r="D495" t="s">
        <v>396</v>
      </c>
      <c r="E495" t="s">
        <v>38</v>
      </c>
      <c r="F495" t="s">
        <v>491</v>
      </c>
      <c r="G495" t="s">
        <v>17</v>
      </c>
      <c r="H495" t="s">
        <v>492</v>
      </c>
      <c r="I495" t="s">
        <v>14</v>
      </c>
      <c r="J495" t="s">
        <v>75</v>
      </c>
      <c r="K495" t="s">
        <v>77</v>
      </c>
      <c r="L495">
        <v>35.660886900000001</v>
      </c>
      <c r="M495">
        <v>-82.048217100000002</v>
      </c>
    </row>
    <row r="496" spans="1:13" x14ac:dyDescent="0.2">
      <c r="A496" t="s">
        <v>493</v>
      </c>
      <c r="B496" t="s">
        <v>38</v>
      </c>
      <c r="C496" t="str">
        <f>_xlfn.XLOOKUP(A496,'[1]Putative species manifest'!A:A,'[1]Putative species manifest'!B:B)</f>
        <v>AMERICANA</v>
      </c>
      <c r="D496" t="s">
        <v>396</v>
      </c>
      <c r="E496" t="s">
        <v>38</v>
      </c>
      <c r="F496" t="s">
        <v>494</v>
      </c>
      <c r="G496" t="s">
        <v>17</v>
      </c>
      <c r="H496" t="s">
        <v>495</v>
      </c>
      <c r="I496" t="s">
        <v>14</v>
      </c>
      <c r="J496" t="s">
        <v>75</v>
      </c>
      <c r="K496" t="s">
        <v>214</v>
      </c>
      <c r="L496">
        <v>36.000118100000002</v>
      </c>
      <c r="M496">
        <v>-82.134902800000006</v>
      </c>
    </row>
    <row r="497" spans="1:13" x14ac:dyDescent="0.2">
      <c r="A497" t="s">
        <v>496</v>
      </c>
      <c r="B497" t="s">
        <v>38</v>
      </c>
      <c r="C497" t="str">
        <f>_xlfn.XLOOKUP(A497,'[1]Putative species manifest'!A:A,'[1]Putative species manifest'!B:B)</f>
        <v>AMERICANA</v>
      </c>
      <c r="D497" t="s">
        <v>396</v>
      </c>
      <c r="E497" t="s">
        <v>38</v>
      </c>
      <c r="F497" t="s">
        <v>497</v>
      </c>
      <c r="G497" t="s">
        <v>17</v>
      </c>
      <c r="H497" t="s">
        <v>498</v>
      </c>
      <c r="I497" t="s">
        <v>14</v>
      </c>
      <c r="J497" t="s">
        <v>75</v>
      </c>
      <c r="K497" t="s">
        <v>214</v>
      </c>
      <c r="L497">
        <v>36.000118100000002</v>
      </c>
      <c r="M497">
        <v>-82.134902800000006</v>
      </c>
    </row>
    <row r="498" spans="1:13" x14ac:dyDescent="0.2">
      <c r="A498" t="s">
        <v>499</v>
      </c>
      <c r="B498" t="s">
        <v>38</v>
      </c>
      <c r="C498" t="str">
        <f>_xlfn.XLOOKUP(A498,'[1]Putative species manifest'!A:A,'[1]Putative species manifest'!B:B)</f>
        <v>AMERICANA</v>
      </c>
      <c r="D498" t="s">
        <v>320</v>
      </c>
      <c r="E498" t="s">
        <v>38</v>
      </c>
      <c r="F498" t="s">
        <v>500</v>
      </c>
      <c r="G498" t="s">
        <v>17</v>
      </c>
      <c r="H498" t="s">
        <v>501</v>
      </c>
      <c r="I498" t="s">
        <v>14</v>
      </c>
      <c r="J498" t="s">
        <v>75</v>
      </c>
      <c r="K498" t="s">
        <v>203</v>
      </c>
      <c r="L498">
        <v>35.329957200000003</v>
      </c>
      <c r="M498">
        <v>-79.897901899999994</v>
      </c>
    </row>
    <row r="499" spans="1:13" x14ac:dyDescent="0.2">
      <c r="A499" t="s">
        <v>502</v>
      </c>
      <c r="B499" t="s">
        <v>38</v>
      </c>
      <c r="C499" t="str">
        <f>_xlfn.XLOOKUP(A499,'[1]Putative species manifest'!A:A,'[1]Putative species manifest'!B:B)</f>
        <v>AMERICANA</v>
      </c>
      <c r="D499" t="s">
        <v>320</v>
      </c>
      <c r="E499" t="s">
        <v>38</v>
      </c>
      <c r="F499" t="s">
        <v>503</v>
      </c>
      <c r="G499" t="s">
        <v>17</v>
      </c>
      <c r="H499" t="s">
        <v>504</v>
      </c>
      <c r="I499" t="s">
        <v>14</v>
      </c>
      <c r="J499" t="s">
        <v>75</v>
      </c>
      <c r="K499" t="s">
        <v>505</v>
      </c>
      <c r="L499">
        <v>35.305461399999999</v>
      </c>
      <c r="M499">
        <v>-79.476123599999994</v>
      </c>
    </row>
    <row r="500" spans="1:13" x14ac:dyDescent="0.2">
      <c r="A500" t="s">
        <v>509</v>
      </c>
      <c r="B500" t="s">
        <v>38</v>
      </c>
      <c r="C500" t="str">
        <f>_xlfn.XLOOKUP(A500,'[1]Putative species manifest'!A:A,'[1]Putative species manifest'!B:B)</f>
        <v>AMERICANA</v>
      </c>
      <c r="D500" t="s">
        <v>320</v>
      </c>
      <c r="E500" t="s">
        <v>38</v>
      </c>
      <c r="F500" t="s">
        <v>510</v>
      </c>
      <c r="G500" t="s">
        <v>17</v>
      </c>
      <c r="H500" t="s">
        <v>511</v>
      </c>
      <c r="I500" t="s">
        <v>14</v>
      </c>
      <c r="J500" t="s">
        <v>75</v>
      </c>
      <c r="K500" t="s">
        <v>512</v>
      </c>
      <c r="L500">
        <v>35.992983000000002</v>
      </c>
      <c r="M500">
        <v>-77.975530899999995</v>
      </c>
    </row>
    <row r="501" spans="1:13" x14ac:dyDescent="0.2">
      <c r="A501" t="s">
        <v>513</v>
      </c>
      <c r="B501" t="s">
        <v>38</v>
      </c>
      <c r="C501" t="str">
        <f>_xlfn.XLOOKUP(A501,'[1]Putative species manifest'!A:A,'[1]Putative species manifest'!B:B)</f>
        <v>AMERICANA</v>
      </c>
      <c r="D501" t="s">
        <v>320</v>
      </c>
      <c r="E501" t="s">
        <v>38</v>
      </c>
      <c r="F501" t="s">
        <v>514</v>
      </c>
      <c r="G501" t="s">
        <v>17</v>
      </c>
      <c r="H501" t="s">
        <v>515</v>
      </c>
      <c r="I501" t="s">
        <v>14</v>
      </c>
      <c r="J501" t="s">
        <v>75</v>
      </c>
      <c r="K501" t="s">
        <v>516</v>
      </c>
      <c r="L501">
        <v>36.416807800000001</v>
      </c>
      <c r="M501">
        <v>-77.364222699999999</v>
      </c>
    </row>
    <row r="502" spans="1:13" x14ac:dyDescent="0.2">
      <c r="A502" t="s">
        <v>517</v>
      </c>
      <c r="B502" t="s">
        <v>38</v>
      </c>
      <c r="C502" t="str">
        <f>_xlfn.XLOOKUP(A502,'[1]Putative species manifest'!A:A,'[1]Putative species manifest'!B:B)</f>
        <v>AMERICANA</v>
      </c>
      <c r="D502" t="s">
        <v>320</v>
      </c>
      <c r="E502" t="s">
        <v>38</v>
      </c>
      <c r="F502" t="s">
        <v>518</v>
      </c>
      <c r="G502" t="s">
        <v>17</v>
      </c>
      <c r="H502" t="s">
        <v>519</v>
      </c>
      <c r="I502" t="s">
        <v>14</v>
      </c>
      <c r="J502" t="s">
        <v>75</v>
      </c>
      <c r="K502" t="s">
        <v>78</v>
      </c>
      <c r="L502">
        <v>35.914780999999998</v>
      </c>
      <c r="M502">
        <v>-79.039000000000001</v>
      </c>
    </row>
    <row r="503" spans="1:13" x14ac:dyDescent="0.2">
      <c r="A503" t="s">
        <v>520</v>
      </c>
      <c r="B503" t="s">
        <v>38</v>
      </c>
      <c r="C503" t="str">
        <f>_xlfn.XLOOKUP(A503,'[1]Putative species manifest'!A:A,'[1]Putative species manifest'!B:B)</f>
        <v>AMERICANA</v>
      </c>
      <c r="D503" t="s">
        <v>320</v>
      </c>
      <c r="E503" t="s">
        <v>38</v>
      </c>
      <c r="F503" t="s">
        <v>521</v>
      </c>
      <c r="G503" t="s">
        <v>17</v>
      </c>
      <c r="H503" t="s">
        <v>522</v>
      </c>
      <c r="I503" t="s">
        <v>14</v>
      </c>
      <c r="J503" t="s">
        <v>75</v>
      </c>
      <c r="K503" t="s">
        <v>78</v>
      </c>
      <c r="L503">
        <v>36.060509500000002</v>
      </c>
      <c r="M503">
        <v>-79.117267900000002</v>
      </c>
    </row>
    <row r="504" spans="1:13" x14ac:dyDescent="0.2">
      <c r="A504" t="s">
        <v>523</v>
      </c>
      <c r="B504" t="s">
        <v>38</v>
      </c>
      <c r="C504" t="str">
        <f>_xlfn.XLOOKUP(A504,'[1]Putative species manifest'!A:A,'[1]Putative species manifest'!B:B)</f>
        <v>AMERICANA</v>
      </c>
      <c r="D504" t="s">
        <v>320</v>
      </c>
      <c r="E504" t="s">
        <v>38</v>
      </c>
      <c r="F504" t="s">
        <v>524</v>
      </c>
      <c r="G504" t="s">
        <v>17</v>
      </c>
      <c r="H504" t="s">
        <v>525</v>
      </c>
      <c r="I504" t="s">
        <v>14</v>
      </c>
      <c r="J504" t="s">
        <v>75</v>
      </c>
      <c r="K504" t="s">
        <v>78</v>
      </c>
      <c r="L504">
        <v>36.060509500000002</v>
      </c>
      <c r="M504">
        <v>-79.117267900000002</v>
      </c>
    </row>
    <row r="505" spans="1:13" x14ac:dyDescent="0.2">
      <c r="A505" t="s">
        <v>526</v>
      </c>
      <c r="B505" t="s">
        <v>38</v>
      </c>
      <c r="C505" t="str">
        <f>_xlfn.XLOOKUP(A505,'[1]Putative species manifest'!A:A,'[1]Putative species manifest'!B:B)</f>
        <v>AMERICANA</v>
      </c>
      <c r="D505" t="s">
        <v>320</v>
      </c>
      <c r="E505" t="s">
        <v>38</v>
      </c>
      <c r="F505" t="s">
        <v>527</v>
      </c>
      <c r="G505" t="s">
        <v>17</v>
      </c>
      <c r="H505" t="s">
        <v>528</v>
      </c>
      <c r="I505" t="s">
        <v>14</v>
      </c>
      <c r="J505" t="s">
        <v>75</v>
      </c>
      <c r="K505" t="s">
        <v>78</v>
      </c>
      <c r="L505">
        <v>35.891961000000002</v>
      </c>
      <c r="M505">
        <v>-79.037875</v>
      </c>
    </row>
    <row r="506" spans="1:13" x14ac:dyDescent="0.2">
      <c r="A506" t="s">
        <v>529</v>
      </c>
      <c r="B506" t="s">
        <v>38</v>
      </c>
      <c r="C506" t="str">
        <f>_xlfn.XLOOKUP(A506,'[1]Putative species manifest'!A:A,'[1]Putative species manifest'!B:B)</f>
        <v>AMERICANA</v>
      </c>
      <c r="D506" t="s">
        <v>320</v>
      </c>
      <c r="E506" t="s">
        <v>38</v>
      </c>
      <c r="F506" t="s">
        <v>530</v>
      </c>
      <c r="G506" t="s">
        <v>17</v>
      </c>
      <c r="H506" t="s">
        <v>531</v>
      </c>
      <c r="I506" t="s">
        <v>14</v>
      </c>
      <c r="J506" t="s">
        <v>75</v>
      </c>
      <c r="K506" t="s">
        <v>78</v>
      </c>
      <c r="L506">
        <v>36.060509500000002</v>
      </c>
      <c r="M506">
        <v>-79.117267900000002</v>
      </c>
    </row>
    <row r="507" spans="1:13" x14ac:dyDescent="0.2">
      <c r="A507" t="s">
        <v>532</v>
      </c>
      <c r="B507" t="s">
        <v>38</v>
      </c>
      <c r="C507" t="str">
        <f>_xlfn.XLOOKUP(A507,'[1]Putative species manifest'!A:A,'[1]Putative species manifest'!B:B)</f>
        <v>AMERICANA</v>
      </c>
      <c r="D507" t="s">
        <v>320</v>
      </c>
      <c r="E507" t="s">
        <v>38</v>
      </c>
      <c r="F507" t="s">
        <v>533</v>
      </c>
      <c r="G507" t="s">
        <v>17</v>
      </c>
      <c r="H507" t="s">
        <v>534</v>
      </c>
      <c r="I507" t="s">
        <v>14</v>
      </c>
      <c r="J507" t="s">
        <v>75</v>
      </c>
      <c r="K507" t="s">
        <v>52</v>
      </c>
      <c r="L507">
        <v>35.738332999999997</v>
      </c>
      <c r="M507">
        <v>-80.020832999999996</v>
      </c>
    </row>
    <row r="508" spans="1:13" x14ac:dyDescent="0.2">
      <c r="A508" t="s">
        <v>535</v>
      </c>
      <c r="B508" t="s">
        <v>38</v>
      </c>
      <c r="C508" t="str">
        <f>_xlfn.XLOOKUP(A508,'[1]Putative species manifest'!A:A,'[1]Putative species manifest'!B:B)</f>
        <v>AMERICANA</v>
      </c>
      <c r="D508" t="s">
        <v>320</v>
      </c>
      <c r="E508" t="s">
        <v>38</v>
      </c>
      <c r="F508" t="s">
        <v>536</v>
      </c>
      <c r="G508" t="s">
        <v>17</v>
      </c>
      <c r="H508" t="s">
        <v>537</v>
      </c>
      <c r="I508" t="s">
        <v>14</v>
      </c>
      <c r="J508" t="s">
        <v>75</v>
      </c>
      <c r="K508" t="s">
        <v>538</v>
      </c>
      <c r="L508">
        <v>35.028838299999997</v>
      </c>
      <c r="M508">
        <v>-79.733326099999999</v>
      </c>
    </row>
    <row r="509" spans="1:13" x14ac:dyDescent="0.2">
      <c r="A509" t="s">
        <v>539</v>
      </c>
      <c r="B509" t="s">
        <v>38</v>
      </c>
      <c r="C509" t="str">
        <f>_xlfn.XLOOKUP(A509,'[1]Putative species manifest'!A:A,'[1]Putative species manifest'!B:B)</f>
        <v>AMERICANA</v>
      </c>
      <c r="D509" t="s">
        <v>320</v>
      </c>
      <c r="E509" t="s">
        <v>38</v>
      </c>
      <c r="F509" t="s">
        <v>540</v>
      </c>
      <c r="G509" t="s">
        <v>17</v>
      </c>
      <c r="H509" t="s">
        <v>541</v>
      </c>
      <c r="I509" t="s">
        <v>14</v>
      </c>
      <c r="J509" t="s">
        <v>75</v>
      </c>
      <c r="K509" t="s">
        <v>538</v>
      </c>
      <c r="L509">
        <v>35.028838299999997</v>
      </c>
      <c r="M509">
        <v>-79.733326099999999</v>
      </c>
    </row>
    <row r="510" spans="1:13" x14ac:dyDescent="0.2">
      <c r="A510" t="s">
        <v>546</v>
      </c>
      <c r="B510" t="s">
        <v>38</v>
      </c>
      <c r="C510" t="str">
        <f>_xlfn.XLOOKUP(A510,'[1]Putative species manifest'!A:A,'[1]Putative species manifest'!B:B)</f>
        <v>AMERICANA</v>
      </c>
      <c r="D510" t="s">
        <v>339</v>
      </c>
      <c r="E510" t="s">
        <v>38</v>
      </c>
      <c r="F510" t="s">
        <v>547</v>
      </c>
      <c r="G510" t="s">
        <v>17</v>
      </c>
      <c r="H510" t="s">
        <v>548</v>
      </c>
      <c r="I510" t="s">
        <v>14</v>
      </c>
      <c r="J510" t="s">
        <v>75</v>
      </c>
      <c r="K510" t="s">
        <v>81</v>
      </c>
      <c r="L510">
        <v>35.458190000000002</v>
      </c>
      <c r="M510">
        <v>-83.466274999999996</v>
      </c>
    </row>
    <row r="511" spans="1:13" x14ac:dyDescent="0.2">
      <c r="A511" t="s">
        <v>549</v>
      </c>
      <c r="B511" t="s">
        <v>38</v>
      </c>
      <c r="C511" t="str">
        <f>_xlfn.XLOOKUP(A511,'[1]Putative species manifest'!A:A,'[1]Putative species manifest'!B:B)</f>
        <v>AMERICANA</v>
      </c>
      <c r="D511" t="s">
        <v>320</v>
      </c>
      <c r="E511" t="s">
        <v>38</v>
      </c>
      <c r="F511" t="s">
        <v>550</v>
      </c>
      <c r="G511" t="s">
        <v>17</v>
      </c>
      <c r="H511" t="s">
        <v>551</v>
      </c>
      <c r="I511" t="s">
        <v>14</v>
      </c>
      <c r="J511" t="s">
        <v>75</v>
      </c>
      <c r="K511" t="s">
        <v>552</v>
      </c>
      <c r="L511">
        <v>35.797935500000001</v>
      </c>
      <c r="M511">
        <v>-78.611831100000003</v>
      </c>
    </row>
    <row r="512" spans="1:13" x14ac:dyDescent="0.2">
      <c r="A512" t="s">
        <v>553</v>
      </c>
      <c r="B512" t="s">
        <v>38</v>
      </c>
      <c r="C512" t="str">
        <f>_xlfn.XLOOKUP(A512,'[1]Putative species manifest'!A:A,'[1]Putative species manifest'!B:B)</f>
        <v>AMERICANA</v>
      </c>
      <c r="D512" t="s">
        <v>320</v>
      </c>
      <c r="E512" t="s">
        <v>38</v>
      </c>
      <c r="F512" t="s">
        <v>554</v>
      </c>
      <c r="G512" t="s">
        <v>17</v>
      </c>
      <c r="H512" t="s">
        <v>555</v>
      </c>
      <c r="I512" t="s">
        <v>14</v>
      </c>
      <c r="J512" t="s">
        <v>75</v>
      </c>
      <c r="K512" t="s">
        <v>110</v>
      </c>
      <c r="L512">
        <v>36.390169399999998</v>
      </c>
      <c r="M512">
        <v>-78.105212300000005</v>
      </c>
    </row>
    <row r="513" spans="1:13" x14ac:dyDescent="0.2">
      <c r="A513" t="s">
        <v>556</v>
      </c>
      <c r="B513" t="s">
        <v>38</v>
      </c>
      <c r="C513" t="str">
        <f>_xlfn.XLOOKUP(A513,'[1]Putative species manifest'!A:A,'[1]Putative species manifest'!B:B)</f>
        <v>AMERICANA</v>
      </c>
      <c r="D513" t="s">
        <v>396</v>
      </c>
      <c r="E513" t="s">
        <v>38</v>
      </c>
      <c r="F513" t="s">
        <v>557</v>
      </c>
      <c r="G513" t="s">
        <v>17</v>
      </c>
      <c r="H513" t="s">
        <v>558</v>
      </c>
      <c r="I513" t="s">
        <v>14</v>
      </c>
      <c r="J513" t="s">
        <v>75</v>
      </c>
      <c r="K513" t="s">
        <v>559</v>
      </c>
      <c r="L513">
        <v>36.17371</v>
      </c>
      <c r="M513">
        <v>-81.169751000000005</v>
      </c>
    </row>
    <row r="514" spans="1:13" x14ac:dyDescent="0.2">
      <c r="A514" t="s">
        <v>560</v>
      </c>
      <c r="B514" t="s">
        <v>38</v>
      </c>
      <c r="C514" t="str">
        <f>_xlfn.XLOOKUP(A514,'[1]Putative species manifest'!A:A,'[1]Putative species manifest'!B:B)</f>
        <v>AMERICANA</v>
      </c>
      <c r="D514" t="s">
        <v>396</v>
      </c>
      <c r="E514" t="s">
        <v>38</v>
      </c>
      <c r="F514" t="s">
        <v>213</v>
      </c>
      <c r="G514" t="s">
        <v>17</v>
      </c>
      <c r="H514" t="s">
        <v>561</v>
      </c>
      <c r="I514" t="s">
        <v>14</v>
      </c>
      <c r="J514" t="s">
        <v>75</v>
      </c>
      <c r="K514" t="s">
        <v>559</v>
      </c>
      <c r="L514">
        <v>36.199824700000001</v>
      </c>
      <c r="M514">
        <v>-81.134135099999995</v>
      </c>
    </row>
    <row r="515" spans="1:13" x14ac:dyDescent="0.2">
      <c r="A515" t="s">
        <v>562</v>
      </c>
      <c r="B515" t="s">
        <v>38</v>
      </c>
      <c r="C515" t="str">
        <f>_xlfn.XLOOKUP(A515,'[1]Putative species manifest'!A:A,'[1]Putative species manifest'!B:B)</f>
        <v>AMERICANA</v>
      </c>
      <c r="D515" t="s">
        <v>396</v>
      </c>
      <c r="E515" t="s">
        <v>38</v>
      </c>
      <c r="F515" t="s">
        <v>563</v>
      </c>
      <c r="G515" t="s">
        <v>17</v>
      </c>
      <c r="H515" t="s">
        <v>564</v>
      </c>
      <c r="I515" t="s">
        <v>14</v>
      </c>
      <c r="J515" t="s">
        <v>75</v>
      </c>
      <c r="K515" t="s">
        <v>216</v>
      </c>
      <c r="L515">
        <v>35.913356</v>
      </c>
      <c r="M515">
        <v>-82.455335000000005</v>
      </c>
    </row>
    <row r="516" spans="1:13" x14ac:dyDescent="0.2">
      <c r="A516" t="s">
        <v>1261</v>
      </c>
      <c r="B516" t="s">
        <v>122</v>
      </c>
      <c r="C516" t="str">
        <f>_xlfn.XLOOKUP(A516,'[1]Putative species manifest'!A:A,'[1]Putative species manifest'!B:B)</f>
        <v>Heuchera caroliniana E1905 NC Alexander</v>
      </c>
      <c r="D516" t="s">
        <v>396</v>
      </c>
      <c r="E516" t="s">
        <v>122</v>
      </c>
      <c r="F516" t="s">
        <v>1262</v>
      </c>
      <c r="G516" t="s">
        <v>17</v>
      </c>
      <c r="H516" t="s">
        <v>1263</v>
      </c>
      <c r="I516" t="s">
        <v>14</v>
      </c>
      <c r="J516" t="s">
        <v>75</v>
      </c>
      <c r="K516" t="s">
        <v>398</v>
      </c>
      <c r="L516">
        <v>35.972354000000003</v>
      </c>
      <c r="M516">
        <v>-81.108692000000005</v>
      </c>
    </row>
    <row r="517" spans="1:13" x14ac:dyDescent="0.2">
      <c r="A517" t="s">
        <v>1264</v>
      </c>
      <c r="B517" t="s">
        <v>122</v>
      </c>
      <c r="C517" t="str">
        <f>_xlfn.XLOOKUP(A517,'[1]Putative species manifest'!A:A,'[1]Putative species manifest'!B:B)</f>
        <v>Heuchera caroliniana E1911 NC Iredell</v>
      </c>
      <c r="D517" t="s">
        <v>320</v>
      </c>
      <c r="E517" t="s">
        <v>122</v>
      </c>
      <c r="F517" t="s">
        <v>1265</v>
      </c>
      <c r="G517" t="s">
        <v>17</v>
      </c>
      <c r="H517" t="s">
        <v>1266</v>
      </c>
      <c r="I517" t="s">
        <v>14</v>
      </c>
      <c r="J517" t="s">
        <v>75</v>
      </c>
      <c r="K517" t="s">
        <v>123</v>
      </c>
      <c r="L517">
        <v>35.604503000000001</v>
      </c>
      <c r="M517">
        <v>-80.905932000000007</v>
      </c>
    </row>
    <row r="518" spans="1:13" x14ac:dyDescent="0.2">
      <c r="A518" t="s">
        <v>1267</v>
      </c>
      <c r="B518" t="s">
        <v>122</v>
      </c>
      <c r="C518" t="str">
        <f>_xlfn.XLOOKUP(A518,'[1]Putative species manifest'!A:A,'[1]Putative species manifest'!B:B)</f>
        <v>Heuchera caroliniana E1915 NC Mecklenburg</v>
      </c>
      <c r="D518" t="s">
        <v>320</v>
      </c>
      <c r="E518" t="s">
        <v>122</v>
      </c>
      <c r="F518" t="s">
        <v>289</v>
      </c>
      <c r="G518" t="s">
        <v>17</v>
      </c>
      <c r="H518" t="s">
        <v>1268</v>
      </c>
      <c r="I518" t="s">
        <v>14</v>
      </c>
      <c r="J518" t="s">
        <v>75</v>
      </c>
      <c r="K518" t="s">
        <v>1269</v>
      </c>
      <c r="L518">
        <v>35.2356385</v>
      </c>
      <c r="M518">
        <v>-80.813948499999995</v>
      </c>
    </row>
    <row r="519" spans="1:13" x14ac:dyDescent="0.2">
      <c r="A519" t="s">
        <v>506</v>
      </c>
      <c r="B519" t="s">
        <v>38</v>
      </c>
      <c r="C519" t="str">
        <f>_xlfn.XLOOKUP(A519,'[1]Putative species manifest'!A:A,'[1]Putative species manifest'!B:B)</f>
        <v>AMERICANA</v>
      </c>
      <c r="D519" t="s">
        <v>320</v>
      </c>
      <c r="E519" t="s">
        <v>38</v>
      </c>
      <c r="F519" t="s">
        <v>507</v>
      </c>
      <c r="G519" t="s">
        <v>17</v>
      </c>
      <c r="H519" t="s">
        <v>508</v>
      </c>
      <c r="I519" t="s">
        <v>14</v>
      </c>
      <c r="J519" t="s">
        <v>75</v>
      </c>
      <c r="K519" t="s">
        <v>505</v>
      </c>
      <c r="L519">
        <v>35.305461399999999</v>
      </c>
      <c r="M519">
        <v>-79.476123599999994</v>
      </c>
    </row>
    <row r="520" spans="1:13" x14ac:dyDescent="0.2">
      <c r="A520" t="s">
        <v>1270</v>
      </c>
      <c r="B520" t="s">
        <v>122</v>
      </c>
      <c r="C520" t="str">
        <f>_xlfn.XLOOKUP(A520,'[1]Putative species manifest'!A:A,'[1]Putative species manifest'!B:B)</f>
        <v>Heuchera caroliniana E1921 NC Stanly</v>
      </c>
      <c r="D520" t="s">
        <v>320</v>
      </c>
      <c r="E520" t="s">
        <v>122</v>
      </c>
      <c r="F520" t="s">
        <v>1271</v>
      </c>
      <c r="G520" t="s">
        <v>17</v>
      </c>
      <c r="H520" t="s">
        <v>1272</v>
      </c>
      <c r="I520" t="s">
        <v>14</v>
      </c>
      <c r="J520" t="s">
        <v>75</v>
      </c>
      <c r="K520" t="s">
        <v>124</v>
      </c>
      <c r="L520">
        <v>35.323547699999999</v>
      </c>
      <c r="M520">
        <v>-80.239136599999995</v>
      </c>
    </row>
    <row r="521" spans="1:13" x14ac:dyDescent="0.2">
      <c r="A521" t="s">
        <v>1275</v>
      </c>
      <c r="B521" t="s">
        <v>122</v>
      </c>
      <c r="C521" t="str">
        <f>_xlfn.XLOOKUP(A521,'[1]Putative species manifest'!A:A,'[1]Putative species manifest'!B:B)</f>
        <v>Heuchera caroliniana E1924 NC Union</v>
      </c>
      <c r="D521" t="s">
        <v>320</v>
      </c>
      <c r="E521" t="s">
        <v>122</v>
      </c>
      <c r="F521" t="s">
        <v>1276</v>
      </c>
      <c r="G521" t="s">
        <v>17</v>
      </c>
      <c r="H521" t="s">
        <v>1277</v>
      </c>
      <c r="I521" t="s">
        <v>14</v>
      </c>
      <c r="J521" t="s">
        <v>75</v>
      </c>
      <c r="K521" t="s">
        <v>29</v>
      </c>
      <c r="L521">
        <v>34.979515800000001</v>
      </c>
      <c r="M521">
        <v>-80.512820899999994</v>
      </c>
    </row>
    <row r="522" spans="1:13" x14ac:dyDescent="0.2">
      <c r="A522" t="s">
        <v>1147</v>
      </c>
      <c r="B522" t="s">
        <v>118</v>
      </c>
      <c r="C522" t="str">
        <f>_xlfn.XLOOKUP(A522,'[1]Putative species manifest'!A:A,'[1]Putative species manifest'!B:B)</f>
        <v>HISPIDA</v>
      </c>
      <c r="D522" t="s">
        <v>396</v>
      </c>
      <c r="E522" t="s">
        <v>118</v>
      </c>
      <c r="F522" t="s">
        <v>1148</v>
      </c>
      <c r="G522" t="s">
        <v>17</v>
      </c>
      <c r="H522" t="s">
        <v>1149</v>
      </c>
      <c r="I522" t="s">
        <v>14</v>
      </c>
      <c r="J522" t="s">
        <v>75</v>
      </c>
      <c r="K522" t="s">
        <v>212</v>
      </c>
      <c r="L522">
        <v>36.569194400000001</v>
      </c>
      <c r="M522">
        <v>81.1784167</v>
      </c>
    </row>
    <row r="523" spans="1:13" x14ac:dyDescent="0.2">
      <c r="A523" t="s">
        <v>1150</v>
      </c>
      <c r="B523" t="s">
        <v>118</v>
      </c>
      <c r="C523" t="str">
        <f>_xlfn.XLOOKUP(A523,'[1]Putative species manifest'!A:A,'[1]Putative species manifest'!B:B)</f>
        <v>HISPIDA</v>
      </c>
      <c r="D523" t="s">
        <v>396</v>
      </c>
      <c r="E523" t="s">
        <v>118</v>
      </c>
      <c r="F523" t="s">
        <v>1151</v>
      </c>
      <c r="G523" t="s">
        <v>17</v>
      </c>
      <c r="H523" t="s">
        <v>1152</v>
      </c>
      <c r="I523" t="s">
        <v>14</v>
      </c>
      <c r="J523" t="s">
        <v>75</v>
      </c>
      <c r="K523" t="s">
        <v>212</v>
      </c>
      <c r="L523">
        <v>36.5703611</v>
      </c>
      <c r="M523">
        <v>81.4518889</v>
      </c>
    </row>
    <row r="524" spans="1:13" x14ac:dyDescent="0.2">
      <c r="A524" t="s">
        <v>1164</v>
      </c>
      <c r="B524" t="s">
        <v>118</v>
      </c>
      <c r="C524" t="str">
        <f>_xlfn.XLOOKUP(A524,'[1]Putative species manifest'!A:A,'[1]Putative species manifest'!B:B)</f>
        <v>HISPIDA</v>
      </c>
      <c r="D524" t="s">
        <v>396</v>
      </c>
      <c r="E524" t="s">
        <v>118</v>
      </c>
      <c r="F524" t="s">
        <v>1165</v>
      </c>
      <c r="G524" t="s">
        <v>17</v>
      </c>
      <c r="H524" t="s">
        <v>1166</v>
      </c>
      <c r="I524" t="s">
        <v>14</v>
      </c>
      <c r="J524" t="s">
        <v>75</v>
      </c>
      <c r="K524" t="s">
        <v>96</v>
      </c>
      <c r="L524">
        <v>36.551291999999997</v>
      </c>
      <c r="M524">
        <v>-80.909588999999997</v>
      </c>
    </row>
    <row r="525" spans="1:13" x14ac:dyDescent="0.2">
      <c r="A525" t="s">
        <v>1309</v>
      </c>
      <c r="B525" t="s">
        <v>177</v>
      </c>
      <c r="C525" t="str">
        <f>_xlfn.XLOOKUP(A525,'[1]Putative species manifest'!A:A,'[1]Putative species manifest'!B:B)</f>
        <v>Heuchera pubescens E1936 NC Stokes</v>
      </c>
      <c r="D525" t="s">
        <v>396</v>
      </c>
      <c r="E525" t="s">
        <v>177</v>
      </c>
      <c r="F525" t="s">
        <v>1310</v>
      </c>
      <c r="G525" t="s">
        <v>17</v>
      </c>
      <c r="H525" t="s">
        <v>1311</v>
      </c>
      <c r="I525" t="s">
        <v>14</v>
      </c>
      <c r="J525" t="s">
        <v>75</v>
      </c>
      <c r="K525" t="s">
        <v>167</v>
      </c>
      <c r="L525">
        <v>36.412099499999997</v>
      </c>
      <c r="M525">
        <v>-80.228808900000004</v>
      </c>
    </row>
    <row r="526" spans="1:13" x14ac:dyDescent="0.2">
      <c r="A526" t="s">
        <v>222</v>
      </c>
      <c r="B526" t="s">
        <v>21</v>
      </c>
      <c r="D526" t="s">
        <v>223</v>
      </c>
      <c r="E526" t="s">
        <v>21</v>
      </c>
      <c r="F526" t="s">
        <v>34</v>
      </c>
      <c r="G526" t="s">
        <v>16</v>
      </c>
      <c r="I526" t="s">
        <v>14</v>
      </c>
      <c r="J526" t="s">
        <v>32</v>
      </c>
      <c r="K526" t="s">
        <v>33</v>
      </c>
      <c r="L526">
        <v>39.003399999999999</v>
      </c>
      <c r="M526">
        <v>-79.220399999999998</v>
      </c>
    </row>
    <row r="527" spans="1:13" x14ac:dyDescent="0.2">
      <c r="A527" t="s">
        <v>1273</v>
      </c>
      <c r="B527" t="s">
        <v>122</v>
      </c>
      <c r="C527" t="str">
        <f>_xlfn.XLOOKUP(A527,'[1]Putative species manifest'!A:A,'[1]Putative species manifest'!B:B)</f>
        <v>Heuchera caroliniana E35 NC Stanly</v>
      </c>
      <c r="D527" t="s">
        <v>320</v>
      </c>
      <c r="E527" t="s">
        <v>122</v>
      </c>
      <c r="F527" t="s">
        <v>125</v>
      </c>
      <c r="G527" t="s">
        <v>39</v>
      </c>
      <c r="H527" t="s">
        <v>1274</v>
      </c>
      <c r="I527" t="s">
        <v>14</v>
      </c>
      <c r="J527" t="s">
        <v>75</v>
      </c>
      <c r="K527" t="s">
        <v>124</v>
      </c>
      <c r="L527">
        <v>35.323547699999999</v>
      </c>
      <c r="M527">
        <v>-80.239136599999995</v>
      </c>
    </row>
    <row r="528" spans="1:13" x14ac:dyDescent="0.2">
      <c r="A528" t="s">
        <v>657</v>
      </c>
      <c r="B528" t="s">
        <v>38</v>
      </c>
      <c r="C528" t="str">
        <f>_xlfn.XLOOKUP(A528,'[1]Putative species manifest'!A:A,'[1]Putative species manifest'!B:B)</f>
        <v>AMERICANA</v>
      </c>
      <c r="D528" t="s">
        <v>320</v>
      </c>
      <c r="E528" t="s">
        <v>38</v>
      </c>
      <c r="F528" t="s">
        <v>658</v>
      </c>
      <c r="G528" t="s">
        <v>39</v>
      </c>
      <c r="H528" t="s">
        <v>659</v>
      </c>
      <c r="I528" t="s">
        <v>14</v>
      </c>
      <c r="J528" t="s">
        <v>85</v>
      </c>
      <c r="K528" t="s">
        <v>656</v>
      </c>
      <c r="L528">
        <v>34.326687900000003</v>
      </c>
      <c r="M528">
        <v>-81.583008599999999</v>
      </c>
    </row>
    <row r="529" spans="1:13" x14ac:dyDescent="0.2">
      <c r="A529" t="s">
        <v>383</v>
      </c>
      <c r="B529" t="s">
        <v>38</v>
      </c>
      <c r="C529" t="str">
        <f>_xlfn.XLOOKUP(A529,'[1]Putative species manifest'!A:A,'[1]Putative species manifest'!B:B)</f>
        <v>BREVIPETALA</v>
      </c>
      <c r="D529" t="s">
        <v>349</v>
      </c>
      <c r="E529" t="s">
        <v>50</v>
      </c>
      <c r="F529" t="s">
        <v>384</v>
      </c>
      <c r="G529" t="s">
        <v>199</v>
      </c>
      <c r="I529" t="s">
        <v>14</v>
      </c>
      <c r="J529" t="s">
        <v>66</v>
      </c>
      <c r="K529" t="s">
        <v>103</v>
      </c>
      <c r="L529">
        <v>37.112478099999997</v>
      </c>
      <c r="M529">
        <v>-84.593892999999994</v>
      </c>
    </row>
    <row r="530" spans="1:13" x14ac:dyDescent="0.2">
      <c r="A530" t="s">
        <v>379</v>
      </c>
      <c r="B530" t="s">
        <v>38</v>
      </c>
      <c r="C530" t="str">
        <f>_xlfn.XLOOKUP(A530,'[1]Putative species manifest'!A:A,'[1]Putative species manifest'!B:B)</f>
        <v>BREVIPETALA</v>
      </c>
      <c r="D530" t="s">
        <v>349</v>
      </c>
      <c r="E530" t="s">
        <v>50</v>
      </c>
      <c r="F530" t="s">
        <v>380</v>
      </c>
      <c r="G530" t="s">
        <v>199</v>
      </c>
      <c r="I530" t="s">
        <v>14</v>
      </c>
      <c r="J530" t="s">
        <v>66</v>
      </c>
      <c r="K530" t="s">
        <v>68</v>
      </c>
      <c r="L530">
        <v>38.447983000000001</v>
      </c>
      <c r="M530">
        <v>-85.1191168</v>
      </c>
    </row>
    <row r="531" spans="1:13" x14ac:dyDescent="0.2">
      <c r="A531" t="s">
        <v>680</v>
      </c>
      <c r="B531" t="s">
        <v>38</v>
      </c>
      <c r="C531" t="str">
        <f>_xlfn.XLOOKUP(A531,'[1]Putative species manifest'!A:A,'[1]Putative species manifest'!B:B)</f>
        <v>HIRSUTICAULIS</v>
      </c>
      <c r="D531" t="s">
        <v>244</v>
      </c>
      <c r="E531" t="s">
        <v>50</v>
      </c>
      <c r="F531" t="s">
        <v>681</v>
      </c>
      <c r="G531" t="s">
        <v>199</v>
      </c>
      <c r="I531" t="s">
        <v>14</v>
      </c>
      <c r="J531" t="s">
        <v>87</v>
      </c>
      <c r="K531" t="s">
        <v>682</v>
      </c>
      <c r="L531">
        <v>35.606787500000003</v>
      </c>
      <c r="M531">
        <v>-88.108398199999996</v>
      </c>
    </row>
    <row r="532" spans="1:13" x14ac:dyDescent="0.2">
      <c r="A532" t="s">
        <v>1117</v>
      </c>
      <c r="B532" t="s">
        <v>100</v>
      </c>
      <c r="C532" t="str">
        <f>_xlfn.XLOOKUP(A532,'[1]Putative species manifest'!A:A,'[1]Putative species manifest'!B:B)</f>
        <v>HIRSUTICAULIS</v>
      </c>
      <c r="D532" t="s">
        <v>244</v>
      </c>
      <c r="E532" t="s">
        <v>101</v>
      </c>
      <c r="F532" t="s">
        <v>1118</v>
      </c>
      <c r="G532" t="s">
        <v>199</v>
      </c>
      <c r="I532" t="s">
        <v>14</v>
      </c>
      <c r="J532" t="s">
        <v>87</v>
      </c>
      <c r="K532" t="s">
        <v>1119</v>
      </c>
      <c r="L532">
        <v>35.174305799999999</v>
      </c>
      <c r="M532">
        <v>-88.996335900000005</v>
      </c>
    </row>
    <row r="533" spans="1:13" x14ac:dyDescent="0.2">
      <c r="A533" t="s">
        <v>1120</v>
      </c>
      <c r="B533" t="s">
        <v>100</v>
      </c>
      <c r="C533" t="str">
        <f>_xlfn.XLOOKUP(A533,'[1]Putative species manifest'!A:A,'[1]Putative species manifest'!B:B)</f>
        <v>HIRSUTICAULIS</v>
      </c>
      <c r="D533" t="s">
        <v>244</v>
      </c>
      <c r="E533" t="s">
        <v>101</v>
      </c>
      <c r="F533" t="s">
        <v>1121</v>
      </c>
      <c r="G533" t="s">
        <v>199</v>
      </c>
      <c r="I533" t="s">
        <v>14</v>
      </c>
      <c r="J533" t="s">
        <v>87</v>
      </c>
      <c r="K533" t="s">
        <v>1122</v>
      </c>
      <c r="L533">
        <v>35.166337499999997</v>
      </c>
      <c r="M533">
        <v>-88.576617200000001</v>
      </c>
    </row>
    <row r="534" spans="1:13" x14ac:dyDescent="0.2">
      <c r="A534" t="s">
        <v>371</v>
      </c>
      <c r="B534" t="s">
        <v>38</v>
      </c>
      <c r="C534" t="str">
        <f>_xlfn.XLOOKUP(A534,'[1]Putative species manifest'!A:A,'[1]Putative species manifest'!B:B)</f>
        <v>BREVIPETALA</v>
      </c>
      <c r="D534" t="s">
        <v>339</v>
      </c>
      <c r="E534" t="s">
        <v>38</v>
      </c>
      <c r="F534" t="s">
        <v>65</v>
      </c>
      <c r="G534" t="s">
        <v>199</v>
      </c>
      <c r="I534" t="s">
        <v>14</v>
      </c>
      <c r="J534" t="s">
        <v>66</v>
      </c>
      <c r="K534" t="s">
        <v>67</v>
      </c>
      <c r="L534">
        <v>36.737034399999999</v>
      </c>
      <c r="M534">
        <v>-83.649169499999999</v>
      </c>
    </row>
    <row r="535" spans="1:13" x14ac:dyDescent="0.2">
      <c r="A535" t="s">
        <v>744</v>
      </c>
      <c r="B535" t="s">
        <v>38</v>
      </c>
      <c r="C535" t="str">
        <f>_xlfn.XLOOKUP(A535,'[1]Putative species manifest'!A:A,'[1]Putative species manifest'!B:B)</f>
        <v>BREVIPETALA</v>
      </c>
      <c r="D535" t="s">
        <v>306</v>
      </c>
      <c r="E535" t="s">
        <v>50</v>
      </c>
      <c r="F535" t="s">
        <v>745</v>
      </c>
      <c r="G535" t="s">
        <v>19</v>
      </c>
      <c r="H535">
        <v>211832</v>
      </c>
      <c r="I535" t="s">
        <v>14</v>
      </c>
      <c r="J535" t="s">
        <v>94</v>
      </c>
      <c r="K535" t="s">
        <v>743</v>
      </c>
      <c r="L535">
        <v>33.4198886</v>
      </c>
      <c r="M535">
        <v>-94.447962599999997</v>
      </c>
    </row>
    <row r="536" spans="1:13" x14ac:dyDescent="0.2">
      <c r="A536" t="s">
        <v>746</v>
      </c>
      <c r="B536" t="s">
        <v>38</v>
      </c>
      <c r="C536" t="str">
        <f>_xlfn.XLOOKUP(A536,'[1]Putative species manifest'!A:A,'[1]Putative species manifest'!B:B)</f>
        <v>BREVIPETALA</v>
      </c>
      <c r="D536" t="s">
        <v>306</v>
      </c>
      <c r="E536" t="s">
        <v>50</v>
      </c>
      <c r="F536" t="s">
        <v>741</v>
      </c>
      <c r="G536" t="s">
        <v>19</v>
      </c>
      <c r="H536">
        <v>459919</v>
      </c>
      <c r="I536" t="s">
        <v>14</v>
      </c>
      <c r="J536" t="s">
        <v>94</v>
      </c>
      <c r="K536" t="s">
        <v>743</v>
      </c>
      <c r="L536">
        <v>33.4198886</v>
      </c>
      <c r="M536">
        <v>-94.447962599999997</v>
      </c>
    </row>
    <row r="537" spans="1:13" x14ac:dyDescent="0.2">
      <c r="A537" t="s">
        <v>747</v>
      </c>
      <c r="B537" t="s">
        <v>38</v>
      </c>
      <c r="C537" t="str">
        <f>_xlfn.XLOOKUP(A537,'[1]Putative species manifest'!A:A,'[1]Putative species manifest'!B:B)</f>
        <v>BREVIPETALA</v>
      </c>
      <c r="D537" t="s">
        <v>306</v>
      </c>
      <c r="E537" t="s">
        <v>50</v>
      </c>
      <c r="F537" t="s">
        <v>748</v>
      </c>
      <c r="G537" t="s">
        <v>19</v>
      </c>
      <c r="H537">
        <v>352864</v>
      </c>
      <c r="I537" t="s">
        <v>14</v>
      </c>
      <c r="J537" t="s">
        <v>94</v>
      </c>
      <c r="K537" t="s">
        <v>743</v>
      </c>
      <c r="L537">
        <v>33.4198886</v>
      </c>
      <c r="M537">
        <v>-94.447962599999997</v>
      </c>
    </row>
    <row r="538" spans="1:13" x14ac:dyDescent="0.2">
      <c r="A538" t="s">
        <v>981</v>
      </c>
      <c r="B538" t="s">
        <v>100</v>
      </c>
      <c r="C538" t="str">
        <f>_xlfn.XLOOKUP(A538,'[1]Putative species manifest'!A:A,'[1]Putative species manifest'!B:B)</f>
        <v>HIRSUTICAULIS</v>
      </c>
      <c r="D538" t="s">
        <v>313</v>
      </c>
      <c r="E538" t="s">
        <v>101</v>
      </c>
      <c r="F538" t="s">
        <v>982</v>
      </c>
      <c r="G538" t="s">
        <v>19</v>
      </c>
      <c r="I538" t="s">
        <v>14</v>
      </c>
      <c r="J538" t="s">
        <v>54</v>
      </c>
      <c r="K538" t="s">
        <v>983</v>
      </c>
      <c r="L538">
        <v>35.221944000000001</v>
      </c>
      <c r="M538">
        <v>-93.243611000000001</v>
      </c>
    </row>
    <row r="539" spans="1:13" x14ac:dyDescent="0.2">
      <c r="A539" t="s">
        <v>918</v>
      </c>
      <c r="B539" t="s">
        <v>100</v>
      </c>
      <c r="C539" t="str">
        <f>_xlfn.XLOOKUP(A539,'[1]Putative species manifest'!A:A,'[1]Putative species manifest'!B:B)</f>
        <v>HIRSUTICAULIS</v>
      </c>
      <c r="D539" t="s">
        <v>306</v>
      </c>
      <c r="E539" t="s">
        <v>101</v>
      </c>
      <c r="F539" t="s">
        <v>919</v>
      </c>
      <c r="G539" t="s">
        <v>19</v>
      </c>
      <c r="I539" t="s">
        <v>14</v>
      </c>
      <c r="J539" t="s">
        <v>54</v>
      </c>
      <c r="K539" t="s">
        <v>920</v>
      </c>
      <c r="L539">
        <v>34.548894400000002</v>
      </c>
      <c r="M539">
        <v>-93.183853900000003</v>
      </c>
    </row>
    <row r="540" spans="1:13" x14ac:dyDescent="0.2">
      <c r="A540" t="s">
        <v>921</v>
      </c>
      <c r="B540" t="s">
        <v>100</v>
      </c>
      <c r="C540" t="str">
        <f>_xlfn.XLOOKUP(A540,'[1]Putative species manifest'!A:A,'[1]Putative species manifest'!B:B)</f>
        <v>HIRSUTICAULIS</v>
      </c>
      <c r="D540" t="s">
        <v>306</v>
      </c>
      <c r="E540" t="s">
        <v>101</v>
      </c>
      <c r="F540" t="s">
        <v>922</v>
      </c>
      <c r="G540" t="s">
        <v>19</v>
      </c>
      <c r="I540" t="s">
        <v>14</v>
      </c>
      <c r="J540" t="s">
        <v>54</v>
      </c>
      <c r="K540" t="s">
        <v>923</v>
      </c>
      <c r="L540">
        <v>34.0744088</v>
      </c>
      <c r="M540">
        <v>-93.974577600000003</v>
      </c>
    </row>
    <row r="541" spans="1:13" x14ac:dyDescent="0.2">
      <c r="A541" t="s">
        <v>906</v>
      </c>
      <c r="B541" t="s">
        <v>100</v>
      </c>
      <c r="C541" t="str">
        <f>_xlfn.XLOOKUP(A541,'[1]Putative species manifest'!A:A,'[1]Putative species manifest'!B:B)</f>
        <v>HIRSUTICAULIS</v>
      </c>
      <c r="D541" t="s">
        <v>306</v>
      </c>
      <c r="E541" t="s">
        <v>101</v>
      </c>
      <c r="F541" t="s">
        <v>907</v>
      </c>
      <c r="G541" t="s">
        <v>19</v>
      </c>
      <c r="I541" t="s">
        <v>14</v>
      </c>
      <c r="J541" t="s">
        <v>54</v>
      </c>
      <c r="K541" t="s">
        <v>201</v>
      </c>
      <c r="L541">
        <v>35.147085099999998</v>
      </c>
      <c r="M541">
        <v>-92.321905299999997</v>
      </c>
    </row>
    <row r="542" spans="1:13" x14ac:dyDescent="0.2">
      <c r="A542" t="s">
        <v>275</v>
      </c>
      <c r="B542" t="s">
        <v>38</v>
      </c>
      <c r="C542" t="str">
        <f>_xlfn.XLOOKUP(A542,'[1]Putative species manifest'!A:A,'[1]Putative species manifest'!B:B)</f>
        <v>CALYCOSA</v>
      </c>
      <c r="D542" t="s">
        <v>249</v>
      </c>
      <c r="E542" t="s">
        <v>43</v>
      </c>
      <c r="F542" t="s">
        <v>273</v>
      </c>
      <c r="G542" t="s">
        <v>19</v>
      </c>
      <c r="I542" t="s">
        <v>14</v>
      </c>
      <c r="J542" t="s">
        <v>40</v>
      </c>
      <c r="K542" t="s">
        <v>257</v>
      </c>
      <c r="L542">
        <v>33.721111000000001</v>
      </c>
      <c r="M542">
        <v>-85.604444000000001</v>
      </c>
    </row>
    <row r="543" spans="1:13" x14ac:dyDescent="0.2">
      <c r="A543" t="s">
        <v>1081</v>
      </c>
      <c r="B543" t="s">
        <v>100</v>
      </c>
      <c r="C543" t="str">
        <f>_xlfn.XLOOKUP(A543,'[1]Putative species manifest'!A:A,'[1]Putative species manifest'!B:B)</f>
        <v>HIRSUTICAULIS</v>
      </c>
      <c r="D543" t="s">
        <v>306</v>
      </c>
      <c r="E543" t="s">
        <v>101</v>
      </c>
      <c r="F543" t="s">
        <v>1079</v>
      </c>
      <c r="G543" t="s">
        <v>19</v>
      </c>
      <c r="I543" t="s">
        <v>14</v>
      </c>
      <c r="J543" t="s">
        <v>114</v>
      </c>
      <c r="K543" t="s">
        <v>69</v>
      </c>
      <c r="L543">
        <v>38.125</v>
      </c>
      <c r="M543">
        <v>-90.674999999999997</v>
      </c>
    </row>
    <row r="544" spans="1:13" x14ac:dyDescent="0.2">
      <c r="A544" t="s">
        <v>324</v>
      </c>
      <c r="B544" t="s">
        <v>38</v>
      </c>
      <c r="C544" t="str">
        <f>_xlfn.XLOOKUP(A544,'[1]Putative species manifest'!A:A,'[1]Putative species manifest'!B:B)</f>
        <v>CALYCOSA</v>
      </c>
      <c r="D544" t="s">
        <v>249</v>
      </c>
      <c r="E544" t="s">
        <v>43</v>
      </c>
      <c r="F544" t="s">
        <v>325</v>
      </c>
      <c r="G544" t="s">
        <v>19</v>
      </c>
      <c r="I544" t="s">
        <v>14</v>
      </c>
      <c r="J544" t="s">
        <v>55</v>
      </c>
      <c r="K544" t="s">
        <v>56</v>
      </c>
      <c r="L544">
        <v>33.048224699999999</v>
      </c>
      <c r="M544">
        <v>-81.957598300000001</v>
      </c>
    </row>
    <row r="545" spans="1:13" x14ac:dyDescent="0.2">
      <c r="A545" t="s">
        <v>752</v>
      </c>
      <c r="B545" t="s">
        <v>38</v>
      </c>
      <c r="C545" t="str">
        <f>_xlfn.XLOOKUP(A545,'[1]Putative species manifest'!A:A,'[1]Putative species manifest'!B:B)</f>
        <v>AMERICANA</v>
      </c>
      <c r="D545" t="s">
        <v>320</v>
      </c>
      <c r="E545" t="s">
        <v>38</v>
      </c>
      <c r="F545" t="s">
        <v>753</v>
      </c>
      <c r="G545" t="s">
        <v>19</v>
      </c>
      <c r="I545" t="s">
        <v>14</v>
      </c>
      <c r="J545" t="s">
        <v>30</v>
      </c>
      <c r="K545" t="s">
        <v>754</v>
      </c>
      <c r="L545">
        <v>37.331966399999999</v>
      </c>
      <c r="M545">
        <v>-78.008448000000001</v>
      </c>
    </row>
    <row r="546" spans="1:13" x14ac:dyDescent="0.2">
      <c r="A546" t="s">
        <v>542</v>
      </c>
      <c r="B546" t="s">
        <v>38</v>
      </c>
      <c r="C546" t="str">
        <f>_xlfn.XLOOKUP(A546,'[1]Putative species manifest'!A:A,'[1]Putative species manifest'!B:B)</f>
        <v>AMERICANA</v>
      </c>
      <c r="D546" t="s">
        <v>396</v>
      </c>
      <c r="E546" t="s">
        <v>38</v>
      </c>
      <c r="F546" t="s">
        <v>543</v>
      </c>
      <c r="G546" t="s">
        <v>19</v>
      </c>
      <c r="I546" t="s">
        <v>14</v>
      </c>
      <c r="J546" t="s">
        <v>75</v>
      </c>
      <c r="K546" t="s">
        <v>215</v>
      </c>
      <c r="L546">
        <v>35.4833</v>
      </c>
      <c r="M546">
        <v>-81.95</v>
      </c>
    </row>
    <row r="547" spans="1:13" x14ac:dyDescent="0.2">
      <c r="A547" t="s">
        <v>305</v>
      </c>
      <c r="B547" t="s">
        <v>38</v>
      </c>
      <c r="C547" t="str">
        <f>_xlfn.XLOOKUP(A547,'[1]Putative species manifest'!A:A,'[1]Putative species manifest'!B:B)</f>
        <v>BREVIPETALA</v>
      </c>
      <c r="D547" t="s">
        <v>306</v>
      </c>
      <c r="E547" t="s">
        <v>50</v>
      </c>
      <c r="F547" t="s">
        <v>307</v>
      </c>
      <c r="G547" t="s">
        <v>19</v>
      </c>
      <c r="I547" t="s">
        <v>14</v>
      </c>
      <c r="J547" t="s">
        <v>54</v>
      </c>
      <c r="K547" t="s">
        <v>257</v>
      </c>
      <c r="L547">
        <v>35.529893700000002</v>
      </c>
      <c r="M547">
        <v>-92.031281800000002</v>
      </c>
    </row>
    <row r="548" spans="1:13" x14ac:dyDescent="0.2">
      <c r="A548" t="s">
        <v>433</v>
      </c>
      <c r="B548" t="s">
        <v>38</v>
      </c>
      <c r="C548" t="str">
        <f>_xlfn.XLOOKUP(A548,'[1]Putative species manifest'!A:A,'[1]Putative species manifest'!B:B)</f>
        <v>AMERICANA</v>
      </c>
      <c r="D548" t="s">
        <v>320</v>
      </c>
      <c r="E548" t="s">
        <v>38</v>
      </c>
      <c r="F548" t="s">
        <v>434</v>
      </c>
      <c r="G548" t="s">
        <v>19</v>
      </c>
      <c r="I548" t="s">
        <v>14</v>
      </c>
      <c r="J548" t="s">
        <v>75</v>
      </c>
      <c r="K548" t="s">
        <v>76</v>
      </c>
      <c r="L548">
        <v>35.996653000000002</v>
      </c>
      <c r="M548">
        <v>-78.901805300000007</v>
      </c>
    </row>
    <row r="549" spans="1:13" x14ac:dyDescent="0.2">
      <c r="A549" t="s">
        <v>283</v>
      </c>
      <c r="B549" t="s">
        <v>38</v>
      </c>
      <c r="C549" t="str">
        <f>_xlfn.XLOOKUP(A549,'[1]Putative species manifest'!A:A,'[1]Putative species manifest'!B:B)</f>
        <v>CALYCOSA</v>
      </c>
      <c r="D549" t="s">
        <v>244</v>
      </c>
      <c r="E549" t="s">
        <v>50</v>
      </c>
      <c r="F549" t="s">
        <v>284</v>
      </c>
      <c r="G549" t="s">
        <v>19</v>
      </c>
      <c r="I549" t="s">
        <v>14</v>
      </c>
      <c r="J549" t="s">
        <v>40</v>
      </c>
      <c r="K549" t="s">
        <v>27</v>
      </c>
      <c r="L549">
        <v>33.7303493</v>
      </c>
      <c r="M549">
        <v>-87.741908800000004</v>
      </c>
    </row>
    <row r="550" spans="1:13" x14ac:dyDescent="0.2">
      <c r="A550" t="s">
        <v>1082</v>
      </c>
      <c r="B550" t="s">
        <v>100</v>
      </c>
      <c r="C550" t="str">
        <f>_xlfn.XLOOKUP(A550,'[1]Putative species manifest'!A:A,'[1]Putative species manifest'!B:B)</f>
        <v>HIRSUTICAULIS</v>
      </c>
      <c r="D550" t="s">
        <v>306</v>
      </c>
      <c r="E550" t="s">
        <v>101</v>
      </c>
      <c r="F550" t="s">
        <v>1083</v>
      </c>
      <c r="G550" t="s">
        <v>19</v>
      </c>
      <c r="I550" t="s">
        <v>14</v>
      </c>
      <c r="J550" t="s">
        <v>114</v>
      </c>
      <c r="K550" t="s">
        <v>1084</v>
      </c>
      <c r="L550">
        <v>37.828888999999997</v>
      </c>
      <c r="M550">
        <v>-90.225555999999997</v>
      </c>
    </row>
    <row r="551" spans="1:13" x14ac:dyDescent="0.2">
      <c r="A551" t="s">
        <v>326</v>
      </c>
      <c r="B551" t="s">
        <v>38</v>
      </c>
      <c r="C551" t="str">
        <f>_xlfn.XLOOKUP(A551,'[1]Putative species manifest'!A:A,'[1]Putative species manifest'!B:B)</f>
        <v>CALYCOSA</v>
      </c>
      <c r="D551" t="s">
        <v>249</v>
      </c>
      <c r="E551" t="s">
        <v>43</v>
      </c>
      <c r="F551" t="s">
        <v>327</v>
      </c>
      <c r="G551" t="s">
        <v>19</v>
      </c>
      <c r="I551" t="s">
        <v>14</v>
      </c>
      <c r="J551" t="s">
        <v>55</v>
      </c>
      <c r="K551" t="s">
        <v>149</v>
      </c>
      <c r="L551">
        <v>34.242198399999999</v>
      </c>
      <c r="M551">
        <v>-85.222924800000001</v>
      </c>
    </row>
    <row r="552" spans="1:13" x14ac:dyDescent="0.2">
      <c r="A552" t="s">
        <v>721</v>
      </c>
      <c r="B552" t="s">
        <v>38</v>
      </c>
      <c r="C552" t="str">
        <f>_xlfn.XLOOKUP(A552,'[1]Putative species manifest'!A:A,'[1]Putative species manifest'!B:B)</f>
        <v>BREVIPETALA</v>
      </c>
      <c r="D552" t="s">
        <v>339</v>
      </c>
      <c r="E552" t="s">
        <v>38</v>
      </c>
      <c r="F552" t="s">
        <v>722</v>
      </c>
      <c r="G552" t="s">
        <v>19</v>
      </c>
      <c r="I552" t="s">
        <v>14</v>
      </c>
      <c r="J552" t="s">
        <v>87</v>
      </c>
      <c r="K552" t="s">
        <v>720</v>
      </c>
      <c r="L552">
        <v>36.281082099999999</v>
      </c>
      <c r="M552">
        <v>-83.510701800000007</v>
      </c>
    </row>
    <row r="553" spans="1:13" x14ac:dyDescent="0.2">
      <c r="A553" t="s">
        <v>544</v>
      </c>
      <c r="B553" t="s">
        <v>38</v>
      </c>
      <c r="C553" t="str">
        <f>_xlfn.XLOOKUP(A553,'[1]Putative species manifest'!A:A,'[1]Putative species manifest'!B:B)</f>
        <v>AMERICANA</v>
      </c>
      <c r="D553" t="s">
        <v>320</v>
      </c>
      <c r="E553" t="s">
        <v>38</v>
      </c>
      <c r="F553" t="s">
        <v>125</v>
      </c>
      <c r="G553" t="s">
        <v>19</v>
      </c>
      <c r="I553" t="s">
        <v>14</v>
      </c>
      <c r="J553" t="s">
        <v>75</v>
      </c>
      <c r="K553" t="s">
        <v>124</v>
      </c>
      <c r="L553">
        <v>35.323547699999999</v>
      </c>
      <c r="M553">
        <v>-80.239136599999995</v>
      </c>
    </row>
    <row r="554" spans="1:13" x14ac:dyDescent="0.2">
      <c r="A554" t="s">
        <v>381</v>
      </c>
      <c r="B554" t="s">
        <v>38</v>
      </c>
      <c r="C554" t="str">
        <f>_xlfn.XLOOKUP(A554,'[1]Putative species manifest'!A:A,'[1]Putative species manifest'!B:B)</f>
        <v>BREVIPETALA</v>
      </c>
      <c r="D554" t="s">
        <v>349</v>
      </c>
      <c r="E554" t="s">
        <v>50</v>
      </c>
      <c r="F554" t="s">
        <v>382</v>
      </c>
      <c r="G554" t="s">
        <v>19</v>
      </c>
      <c r="I554" t="s">
        <v>14</v>
      </c>
      <c r="J554" t="s">
        <v>66</v>
      </c>
      <c r="K554" t="s">
        <v>49</v>
      </c>
      <c r="L554">
        <v>37.7298081</v>
      </c>
      <c r="M554">
        <v>-84.297473499999995</v>
      </c>
    </row>
    <row r="555" spans="1:13" x14ac:dyDescent="0.2">
      <c r="A555" t="s">
        <v>669</v>
      </c>
      <c r="B555" t="s">
        <v>38</v>
      </c>
      <c r="C555" t="str">
        <f>_xlfn.XLOOKUP(A555,'[1]Putative species manifest'!A:A,'[1]Putative species manifest'!B:B)</f>
        <v>BREVIPETALA</v>
      </c>
      <c r="D555" t="s">
        <v>339</v>
      </c>
      <c r="E555" t="s">
        <v>38</v>
      </c>
      <c r="F555" t="s">
        <v>670</v>
      </c>
      <c r="G555" t="s">
        <v>19</v>
      </c>
      <c r="I555" t="s">
        <v>14</v>
      </c>
      <c r="J555" t="s">
        <v>87</v>
      </c>
      <c r="K555" t="s">
        <v>41</v>
      </c>
      <c r="L555">
        <v>35.671972199999999</v>
      </c>
      <c r="M555">
        <v>-83.931446500000007</v>
      </c>
    </row>
    <row r="556" spans="1:13" x14ac:dyDescent="0.2">
      <c r="A556" t="s">
        <v>651</v>
      </c>
      <c r="B556" t="s">
        <v>38</v>
      </c>
      <c r="C556" t="str">
        <f>_xlfn.XLOOKUP(A556,'[1]Putative species manifest'!A:A,'[1]Putative species manifest'!B:B)</f>
        <v>AMERICANA</v>
      </c>
      <c r="D556" t="s">
        <v>320</v>
      </c>
      <c r="E556" t="s">
        <v>38</v>
      </c>
      <c r="F556" t="s">
        <v>652</v>
      </c>
      <c r="G556" t="s">
        <v>19</v>
      </c>
      <c r="I556" t="s">
        <v>14</v>
      </c>
      <c r="J556" t="s">
        <v>85</v>
      </c>
      <c r="K556" t="s">
        <v>650</v>
      </c>
      <c r="L556">
        <v>33.911441000000003</v>
      </c>
      <c r="M556">
        <v>-82.295433000000003</v>
      </c>
    </row>
    <row r="557" spans="1:13" x14ac:dyDescent="0.2">
      <c r="A557" t="s">
        <v>917</v>
      </c>
      <c r="B557" t="s">
        <v>100</v>
      </c>
      <c r="C557" t="str">
        <f>_xlfn.XLOOKUP(A557,'[1]Putative species manifest'!A:A,'[1]Putative species manifest'!B:B)</f>
        <v>HIRSUTICAULIS</v>
      </c>
      <c r="D557" t="s">
        <v>313</v>
      </c>
      <c r="E557" t="s">
        <v>101</v>
      </c>
      <c r="F557" t="s">
        <v>915</v>
      </c>
      <c r="G557" t="s">
        <v>19</v>
      </c>
      <c r="I557" t="s">
        <v>14</v>
      </c>
      <c r="J557" t="s">
        <v>54</v>
      </c>
      <c r="K557" t="s">
        <v>89</v>
      </c>
      <c r="L557">
        <v>35.511007499999998</v>
      </c>
      <c r="M557">
        <v>-93.886484699999997</v>
      </c>
    </row>
    <row r="558" spans="1:13" x14ac:dyDescent="0.2">
      <c r="A558" t="s">
        <v>295</v>
      </c>
      <c r="B558" t="s">
        <v>38</v>
      </c>
      <c r="C558" t="str">
        <f>_xlfn.XLOOKUP(A558,'[1]Putative species manifest'!A:A,'[1]Putative species manifest'!B:B)</f>
        <v>CALYCOSA</v>
      </c>
      <c r="D558" t="s">
        <v>249</v>
      </c>
      <c r="E558" t="s">
        <v>43</v>
      </c>
      <c r="F558" t="s">
        <v>296</v>
      </c>
      <c r="G558" t="s">
        <v>19</v>
      </c>
      <c r="I558" t="s">
        <v>14</v>
      </c>
      <c r="J558" t="s">
        <v>40</v>
      </c>
      <c r="K558" t="s">
        <v>52</v>
      </c>
      <c r="L558">
        <v>33.2651763</v>
      </c>
      <c r="M558">
        <v>-85.469396099999997</v>
      </c>
    </row>
    <row r="559" spans="1:13" x14ac:dyDescent="0.2">
      <c r="A559" t="s">
        <v>599</v>
      </c>
      <c r="B559" t="s">
        <v>38</v>
      </c>
      <c r="C559" t="str">
        <f>_xlfn.XLOOKUP(A559,'[1]Putative species manifest'!A:A,'[1]Putative species manifest'!B:B)</f>
        <v>BREVIPETALA</v>
      </c>
      <c r="D559" t="s">
        <v>349</v>
      </c>
      <c r="E559" t="s">
        <v>50</v>
      </c>
      <c r="F559" t="s">
        <v>600</v>
      </c>
      <c r="G559" t="s">
        <v>19</v>
      </c>
      <c r="I559" t="s">
        <v>14</v>
      </c>
      <c r="J559" t="s">
        <v>25</v>
      </c>
      <c r="K559" t="s">
        <v>601</v>
      </c>
      <c r="L559">
        <v>40.459720400000002</v>
      </c>
      <c r="M559">
        <v>-79.976040499999996</v>
      </c>
    </row>
    <row r="560" spans="1:13" x14ac:dyDescent="0.2">
      <c r="A560" t="s">
        <v>671</v>
      </c>
      <c r="B560" t="s">
        <v>38</v>
      </c>
      <c r="C560" t="str">
        <f>_xlfn.XLOOKUP(A560,'[1]Putative species manifest'!A:A,'[1]Putative species manifest'!B:B)</f>
        <v>BREVIPETALA</v>
      </c>
      <c r="D560" t="s">
        <v>339</v>
      </c>
      <c r="E560" t="s">
        <v>38</v>
      </c>
      <c r="F560" t="s">
        <v>672</v>
      </c>
      <c r="G560" t="s">
        <v>19</v>
      </c>
      <c r="I560" t="s">
        <v>14</v>
      </c>
      <c r="J560" t="s">
        <v>87</v>
      </c>
      <c r="K560" t="s">
        <v>172</v>
      </c>
      <c r="L560">
        <v>36.386538899999998</v>
      </c>
      <c r="M560">
        <v>-84.135161699999998</v>
      </c>
    </row>
    <row r="561" spans="1:13" x14ac:dyDescent="0.2">
      <c r="A561" t="s">
        <v>1375</v>
      </c>
      <c r="B561" t="s">
        <v>84</v>
      </c>
      <c r="C561" t="str">
        <f>_xlfn.XLOOKUP(A561,'[1]Putative species manifest'!A:A,'[1]Putative species manifest'!B:B)</f>
        <v>GRAYANA</v>
      </c>
      <c r="D561" t="s">
        <v>1034</v>
      </c>
      <c r="E561" t="s">
        <v>107</v>
      </c>
      <c r="F561" t="s">
        <v>1376</v>
      </c>
      <c r="G561" t="s">
        <v>19</v>
      </c>
      <c r="I561" t="s">
        <v>14</v>
      </c>
      <c r="J561" t="s">
        <v>106</v>
      </c>
      <c r="K561" t="s">
        <v>1377</v>
      </c>
      <c r="L561">
        <v>42.329439100000002</v>
      </c>
      <c r="M561">
        <v>-88.460571299999998</v>
      </c>
    </row>
    <row r="562" spans="1:13" x14ac:dyDescent="0.2">
      <c r="A562" t="s">
        <v>1347</v>
      </c>
      <c r="B562" t="s">
        <v>84</v>
      </c>
      <c r="C562" t="str">
        <f>_xlfn.XLOOKUP(A562,'[1]Putative species manifest'!A:A,'[1]Putative species manifest'!B:B)</f>
        <v>GRAYANA</v>
      </c>
      <c r="D562" t="s">
        <v>188</v>
      </c>
      <c r="E562" t="s">
        <v>84</v>
      </c>
      <c r="F562" t="s">
        <v>1348</v>
      </c>
      <c r="G562" t="s">
        <v>19</v>
      </c>
      <c r="I562" t="s">
        <v>14</v>
      </c>
      <c r="J562" t="s">
        <v>180</v>
      </c>
      <c r="K562" t="s">
        <v>1349</v>
      </c>
      <c r="L562">
        <v>43.375301800000003</v>
      </c>
      <c r="M562">
        <v>-95.165427899999997</v>
      </c>
    </row>
    <row r="563" spans="1:13" x14ac:dyDescent="0.2">
      <c r="A563" t="s">
        <v>1469</v>
      </c>
      <c r="B563" t="s">
        <v>84</v>
      </c>
      <c r="C563" t="str">
        <f>_xlfn.XLOOKUP(A563,'[1]Putative species manifest'!A:A,'[1]Putative species manifest'!B:B)</f>
        <v>RICHARDSONII</v>
      </c>
      <c r="D563" t="s">
        <v>188</v>
      </c>
      <c r="E563" t="s">
        <v>84</v>
      </c>
      <c r="F563" t="s">
        <v>1470</v>
      </c>
      <c r="G563" t="s">
        <v>19</v>
      </c>
      <c r="I563" t="s">
        <v>18</v>
      </c>
      <c r="J563" t="s">
        <v>1471</v>
      </c>
      <c r="K563" t="s">
        <v>1472</v>
      </c>
      <c r="L563">
        <v>52.570450000000001</v>
      </c>
      <c r="M563">
        <v>-104.01685500000001</v>
      </c>
    </row>
    <row r="564" spans="1:13" x14ac:dyDescent="0.2">
      <c r="A564" t="s">
        <v>1378</v>
      </c>
      <c r="B564" t="s">
        <v>84</v>
      </c>
      <c r="C564" t="str">
        <f>_xlfn.XLOOKUP(A564,'[1]Putative species manifest'!A:A,'[1]Putative species manifest'!B:B)</f>
        <v>GRAYANA</v>
      </c>
      <c r="D564" t="s">
        <v>188</v>
      </c>
      <c r="E564" t="s">
        <v>84</v>
      </c>
      <c r="F564" t="s">
        <v>1379</v>
      </c>
      <c r="G564" t="s">
        <v>19</v>
      </c>
      <c r="I564" t="s">
        <v>14</v>
      </c>
      <c r="J564" t="s">
        <v>106</v>
      </c>
      <c r="K564" t="s">
        <v>1380</v>
      </c>
      <c r="L564">
        <v>41.4194058</v>
      </c>
      <c r="M564">
        <v>-89.589100799999997</v>
      </c>
    </row>
    <row r="565" spans="1:13" x14ac:dyDescent="0.2">
      <c r="A565" t="s">
        <v>1389</v>
      </c>
      <c r="B565" t="s">
        <v>84</v>
      </c>
      <c r="C565" t="str">
        <f>_xlfn.XLOOKUP(A565,'[1]Putative species manifest'!A:A,'[1]Putative species manifest'!B:B)</f>
        <v>RICHARDSONII</v>
      </c>
      <c r="D565" t="s">
        <v>1034</v>
      </c>
      <c r="E565" t="s">
        <v>107</v>
      </c>
      <c r="F565" t="s">
        <v>1390</v>
      </c>
      <c r="G565" t="s">
        <v>19</v>
      </c>
      <c r="I565" t="s">
        <v>14</v>
      </c>
      <c r="J565" t="s">
        <v>106</v>
      </c>
      <c r="K565" t="s">
        <v>1391</v>
      </c>
      <c r="L565">
        <v>45.900910600000003</v>
      </c>
      <c r="M565">
        <v>-87.999475399999994</v>
      </c>
    </row>
    <row r="566" spans="1:13" x14ac:dyDescent="0.2">
      <c r="A566" t="s">
        <v>1304</v>
      </c>
      <c r="B566" t="s">
        <v>147</v>
      </c>
      <c r="C566" t="str">
        <f>_xlfn.XLOOKUP(A566,'[1]Putative species manifest'!A:A,'[1]Putative species manifest'!B:B)</f>
        <v>Heuchera longiflora var. longiflora FL-25 VA</v>
      </c>
      <c r="D566" t="s">
        <v>339</v>
      </c>
      <c r="E566" t="s">
        <v>147</v>
      </c>
      <c r="F566" t="s">
        <v>154</v>
      </c>
      <c r="G566" t="s">
        <v>13</v>
      </c>
      <c r="I566" t="s">
        <v>14</v>
      </c>
      <c r="J566" t="s">
        <v>30</v>
      </c>
      <c r="K566" t="s">
        <v>48</v>
      </c>
      <c r="L566">
        <v>36.667983300000003</v>
      </c>
      <c r="M566">
        <v>-83.230924999999999</v>
      </c>
    </row>
    <row r="567" spans="1:13" x14ac:dyDescent="0.2">
      <c r="A567" t="s">
        <v>1298</v>
      </c>
      <c r="B567" t="s">
        <v>147</v>
      </c>
      <c r="C567" t="str">
        <f>_xlfn.XLOOKUP(A567,'[1]Putative species manifest'!A:A,'[1]Putative species manifest'!B:B)</f>
        <v>Heuchera longiflora var. longiflora FL-26 AL</v>
      </c>
      <c r="D567" t="s">
        <v>339</v>
      </c>
      <c r="E567" t="s">
        <v>147</v>
      </c>
      <c r="F567" t="s">
        <v>1299</v>
      </c>
      <c r="G567" t="s">
        <v>13</v>
      </c>
      <c r="I567" t="s">
        <v>14</v>
      </c>
      <c r="J567" t="s">
        <v>40</v>
      </c>
      <c r="K567" t="s">
        <v>53</v>
      </c>
      <c r="L567">
        <v>33.1415972</v>
      </c>
      <c r="M567">
        <v>-86.258377999999993</v>
      </c>
    </row>
    <row r="568" spans="1:13" x14ac:dyDescent="0.2">
      <c r="A568" t="s">
        <v>1476</v>
      </c>
      <c r="B568" t="s">
        <v>84</v>
      </c>
      <c r="C568" t="str">
        <f>_xlfn.XLOOKUP(A568,'[1]Putative species manifest'!A:A,'[1]Putative species manifest'!B:B)</f>
        <v>RICHARDSONII</v>
      </c>
      <c r="D568" t="s">
        <v>188</v>
      </c>
      <c r="E568" t="s">
        <v>84</v>
      </c>
      <c r="F568" t="s">
        <v>189</v>
      </c>
      <c r="G568" t="s">
        <v>13</v>
      </c>
      <c r="I568" t="s">
        <v>14</v>
      </c>
      <c r="J568" t="s">
        <v>190</v>
      </c>
      <c r="K568" t="s">
        <v>191</v>
      </c>
      <c r="L568">
        <v>43.843836099999997</v>
      </c>
      <c r="M568">
        <v>-102.43763</v>
      </c>
    </row>
    <row r="569" spans="1:13" x14ac:dyDescent="0.2">
      <c r="A569" t="s">
        <v>1477</v>
      </c>
      <c r="B569" t="s">
        <v>84</v>
      </c>
      <c r="C569" t="str">
        <f>_xlfn.XLOOKUP(A569,'[1]Putative species manifest'!A:A,'[1]Putative species manifest'!B:B)</f>
        <v>RICHARDSONII</v>
      </c>
      <c r="D569" t="s">
        <v>188</v>
      </c>
      <c r="E569" t="s">
        <v>84</v>
      </c>
      <c r="F569" t="s">
        <v>1478</v>
      </c>
      <c r="G569" t="s">
        <v>13</v>
      </c>
      <c r="I569" t="s">
        <v>14</v>
      </c>
      <c r="J569" t="s">
        <v>190</v>
      </c>
      <c r="K569" t="s">
        <v>191</v>
      </c>
      <c r="L569">
        <v>44.466666699999998</v>
      </c>
      <c r="M569">
        <v>-102.05249999999999</v>
      </c>
    </row>
    <row r="570" spans="1:13" x14ac:dyDescent="0.2">
      <c r="A570" t="s">
        <v>1479</v>
      </c>
      <c r="B570" t="s">
        <v>84</v>
      </c>
      <c r="C570" t="str">
        <f>_xlfn.XLOOKUP(A570,'[1]Putative species manifest'!A:A,'[1]Putative species manifest'!B:B)</f>
        <v>RICHARDSONII</v>
      </c>
      <c r="D570" t="s">
        <v>188</v>
      </c>
      <c r="E570" t="s">
        <v>84</v>
      </c>
      <c r="F570" t="s">
        <v>1478</v>
      </c>
      <c r="G570" t="s">
        <v>13</v>
      </c>
      <c r="I570" t="s">
        <v>14</v>
      </c>
      <c r="J570" t="s">
        <v>190</v>
      </c>
      <c r="K570" t="s">
        <v>191</v>
      </c>
      <c r="L570">
        <v>44.466666699999998</v>
      </c>
      <c r="M570">
        <v>-102.05249999999999</v>
      </c>
    </row>
    <row r="571" spans="1:13" x14ac:dyDescent="0.2">
      <c r="A571" t="s">
        <v>1341</v>
      </c>
      <c r="B571" t="s">
        <v>84</v>
      </c>
      <c r="C571" t="str">
        <f>_xlfn.XLOOKUP(A571,'[1]Putative species manifest'!A:A,'[1]Putative species manifest'!B:B)</f>
        <v>GRAYANA</v>
      </c>
      <c r="D571" t="s">
        <v>188</v>
      </c>
      <c r="E571" t="s">
        <v>84</v>
      </c>
      <c r="F571" t="s">
        <v>1342</v>
      </c>
      <c r="G571" t="s">
        <v>13</v>
      </c>
      <c r="I571" t="s">
        <v>14</v>
      </c>
      <c r="J571" t="s">
        <v>180</v>
      </c>
      <c r="K571" t="s">
        <v>1077</v>
      </c>
      <c r="L571">
        <v>41.996666699999999</v>
      </c>
      <c r="M571">
        <v>-93.883611000000002</v>
      </c>
    </row>
    <row r="572" spans="1:13" x14ac:dyDescent="0.2">
      <c r="A572" t="s">
        <v>1381</v>
      </c>
      <c r="B572" t="s">
        <v>84</v>
      </c>
      <c r="C572" t="str">
        <f>_xlfn.XLOOKUP(A572,'[1]Putative species manifest'!A:A,'[1]Putative species manifest'!B:B)</f>
        <v>GRAYANA</v>
      </c>
      <c r="D572" t="s">
        <v>1034</v>
      </c>
      <c r="E572" t="s">
        <v>107</v>
      </c>
      <c r="F572" t="s">
        <v>1382</v>
      </c>
      <c r="G572" t="s">
        <v>13</v>
      </c>
      <c r="I572" t="s">
        <v>14</v>
      </c>
      <c r="J572" t="s">
        <v>106</v>
      </c>
      <c r="K572" t="s">
        <v>1383</v>
      </c>
      <c r="L572">
        <v>41.321388900000002</v>
      </c>
      <c r="M572">
        <v>-87.006388999999999</v>
      </c>
    </row>
    <row r="573" spans="1:13" x14ac:dyDescent="0.2">
      <c r="A573" t="s">
        <v>1384</v>
      </c>
      <c r="B573" t="s">
        <v>84</v>
      </c>
      <c r="C573" t="str">
        <f>_xlfn.XLOOKUP(A573,'[1]Putative species manifest'!A:A,'[1]Putative species manifest'!B:B)</f>
        <v>GRAYANA</v>
      </c>
      <c r="D573" t="s">
        <v>1034</v>
      </c>
      <c r="E573" t="s">
        <v>107</v>
      </c>
      <c r="F573" t="s">
        <v>1382</v>
      </c>
      <c r="G573" t="s">
        <v>13</v>
      </c>
      <c r="I573" t="s">
        <v>14</v>
      </c>
      <c r="J573" t="s">
        <v>106</v>
      </c>
      <c r="K573" t="s">
        <v>1383</v>
      </c>
      <c r="L573">
        <v>41.321388900000002</v>
      </c>
      <c r="M573">
        <v>-87.006388999999999</v>
      </c>
    </row>
    <row r="574" spans="1:13" x14ac:dyDescent="0.2">
      <c r="A574" t="s">
        <v>1022</v>
      </c>
      <c r="B574" t="s">
        <v>100</v>
      </c>
      <c r="C574" t="str">
        <f>_xlfn.XLOOKUP(A574,'[1]Putative species manifest'!A:A,'[1]Putative species manifest'!B:B)</f>
        <v>HIRSUTICAULIS</v>
      </c>
      <c r="D574" t="s">
        <v>306</v>
      </c>
      <c r="E574" t="s">
        <v>101</v>
      </c>
      <c r="F574" t="s">
        <v>1023</v>
      </c>
      <c r="G574" t="s">
        <v>13</v>
      </c>
      <c r="I574" t="s">
        <v>14</v>
      </c>
      <c r="J574" t="s">
        <v>106</v>
      </c>
      <c r="K574" t="s">
        <v>29</v>
      </c>
      <c r="L574">
        <v>37.541533299999998</v>
      </c>
      <c r="M574">
        <v>-89.426917000000003</v>
      </c>
    </row>
    <row r="575" spans="1:13" x14ac:dyDescent="0.2">
      <c r="A575" t="s">
        <v>572</v>
      </c>
      <c r="B575" t="s">
        <v>38</v>
      </c>
      <c r="C575" t="str">
        <f>_xlfn.XLOOKUP(A575,'[1]Putative species manifest'!A:A,'[1]Putative species manifest'!B:B)</f>
        <v>BREVIPETALA</v>
      </c>
      <c r="D575" t="s">
        <v>349</v>
      </c>
      <c r="E575" t="s">
        <v>50</v>
      </c>
      <c r="F575" t="s">
        <v>573</v>
      </c>
      <c r="G575" t="s">
        <v>13</v>
      </c>
      <c r="I575" t="s">
        <v>14</v>
      </c>
      <c r="J575" t="s">
        <v>83</v>
      </c>
      <c r="K575" t="s">
        <v>574</v>
      </c>
      <c r="L575">
        <v>40.267491</v>
      </c>
      <c r="M575">
        <v>-82.951414</v>
      </c>
    </row>
    <row r="576" spans="1:13" x14ac:dyDescent="0.2">
      <c r="A576" t="s">
        <v>1100</v>
      </c>
      <c r="B576" t="s">
        <v>100</v>
      </c>
      <c r="C576" t="str">
        <f>_xlfn.XLOOKUP(A576,'[1]Putative species manifest'!A:A,'[1]Putative species manifest'!B:B)</f>
        <v>HIRSUTICAULIS</v>
      </c>
      <c r="D576" s="1" t="s">
        <v>306</v>
      </c>
      <c r="E576" t="s">
        <v>101</v>
      </c>
      <c r="F576" t="s">
        <v>1101</v>
      </c>
      <c r="G576" t="s">
        <v>13</v>
      </c>
      <c r="I576" t="s">
        <v>14</v>
      </c>
      <c r="J576" t="s">
        <v>114</v>
      </c>
      <c r="K576" t="s">
        <v>176</v>
      </c>
      <c r="L576">
        <v>37.390230000000003</v>
      </c>
      <c r="M576">
        <v>-91.452719999999999</v>
      </c>
    </row>
    <row r="577" spans="1:13" x14ac:dyDescent="0.2">
      <c r="A577" t="s">
        <v>1100</v>
      </c>
      <c r="B577" t="s">
        <v>100</v>
      </c>
      <c r="C577" t="str">
        <f>_xlfn.XLOOKUP(A577,'[1]Putative species manifest'!A:A,'[1]Putative species manifest'!B:B)</f>
        <v>HIRSUTICAULIS</v>
      </c>
      <c r="D577" s="1" t="s">
        <v>306</v>
      </c>
      <c r="E577" t="s">
        <v>101</v>
      </c>
      <c r="F577" t="s">
        <v>1101</v>
      </c>
      <c r="G577" t="s">
        <v>13</v>
      </c>
      <c r="I577" t="s">
        <v>14</v>
      </c>
      <c r="J577" t="s">
        <v>114</v>
      </c>
      <c r="K577" t="s">
        <v>176</v>
      </c>
      <c r="L577">
        <v>37.390230000000003</v>
      </c>
      <c r="M577">
        <v>-91.452719999999999</v>
      </c>
    </row>
    <row r="578" spans="1:13" x14ac:dyDescent="0.2">
      <c r="A578" t="s">
        <v>1089</v>
      </c>
      <c r="B578" t="s">
        <v>100</v>
      </c>
      <c r="C578" t="str">
        <f>_xlfn.XLOOKUP(A578,'[1]Putative species manifest'!A:A,'[1]Putative species manifest'!B:B)</f>
        <v>HIRSUTICAULIS</v>
      </c>
      <c r="D578" s="1" t="s">
        <v>306</v>
      </c>
      <c r="E578" t="s">
        <v>101</v>
      </c>
      <c r="F578" t="s">
        <v>115</v>
      </c>
      <c r="G578" t="s">
        <v>13</v>
      </c>
      <c r="I578" t="s">
        <v>14</v>
      </c>
      <c r="J578" t="s">
        <v>114</v>
      </c>
      <c r="K578" t="s">
        <v>116</v>
      </c>
      <c r="L578">
        <v>37.191180000000003</v>
      </c>
      <c r="M578">
        <v>89.63458</v>
      </c>
    </row>
    <row r="579" spans="1:13" x14ac:dyDescent="0.2">
      <c r="A579" t="s">
        <v>1090</v>
      </c>
      <c r="B579" t="s">
        <v>100</v>
      </c>
      <c r="C579" t="str">
        <f>_xlfn.XLOOKUP(A579,'[1]Putative species manifest'!A:A,'[1]Putative species manifest'!B:B)</f>
        <v>HIRSUTICAULIS</v>
      </c>
      <c r="D579" s="1" t="s">
        <v>306</v>
      </c>
      <c r="E579" t="s">
        <v>101</v>
      </c>
      <c r="F579" t="s">
        <v>115</v>
      </c>
      <c r="G579" t="s">
        <v>13</v>
      </c>
      <c r="I579" t="s">
        <v>14</v>
      </c>
      <c r="J579" t="s">
        <v>114</v>
      </c>
      <c r="K579" t="s">
        <v>116</v>
      </c>
      <c r="L579">
        <v>37.191180000000003</v>
      </c>
      <c r="M579">
        <v>89.63458</v>
      </c>
    </row>
    <row r="580" spans="1:13" x14ac:dyDescent="0.2">
      <c r="A580" t="s">
        <v>1090</v>
      </c>
      <c r="B580" t="s">
        <v>100</v>
      </c>
      <c r="C580" t="str">
        <f>_xlfn.XLOOKUP(A580,'[1]Putative species manifest'!A:A,'[1]Putative species manifest'!B:B)</f>
        <v>HIRSUTICAULIS</v>
      </c>
      <c r="D580" s="1" t="s">
        <v>306</v>
      </c>
      <c r="E580" t="s">
        <v>101</v>
      </c>
      <c r="F580" t="s">
        <v>115</v>
      </c>
      <c r="G580" t="s">
        <v>13</v>
      </c>
      <c r="I580" t="s">
        <v>14</v>
      </c>
      <c r="J580" t="s">
        <v>114</v>
      </c>
      <c r="K580" t="s">
        <v>116</v>
      </c>
      <c r="L580">
        <v>37.191180000000003</v>
      </c>
      <c r="M580">
        <v>-89.63458</v>
      </c>
    </row>
    <row r="581" spans="1:13" x14ac:dyDescent="0.2">
      <c r="A581" t="s">
        <v>1091</v>
      </c>
      <c r="B581" t="s">
        <v>100</v>
      </c>
      <c r="C581" t="str">
        <f>_xlfn.XLOOKUP(A581,'[1]Putative species manifest'!A:A,'[1]Putative species manifest'!B:B)</f>
        <v>HIRSUTICAULIS</v>
      </c>
      <c r="D581" s="1" t="s">
        <v>306</v>
      </c>
      <c r="E581" t="s">
        <v>101</v>
      </c>
      <c r="F581" t="s">
        <v>115</v>
      </c>
      <c r="G581" t="s">
        <v>13</v>
      </c>
      <c r="I581" t="s">
        <v>14</v>
      </c>
      <c r="J581" t="s">
        <v>114</v>
      </c>
      <c r="K581" t="s">
        <v>116</v>
      </c>
      <c r="L581">
        <v>37.191180000000003</v>
      </c>
      <c r="M581">
        <v>89.63458</v>
      </c>
    </row>
    <row r="582" spans="1:13" x14ac:dyDescent="0.2">
      <c r="A582" t="s">
        <v>1091</v>
      </c>
      <c r="B582" t="s">
        <v>100</v>
      </c>
      <c r="C582" t="str">
        <f>_xlfn.XLOOKUP(A582,'[1]Putative species manifest'!A:A,'[1]Putative species manifest'!B:B)</f>
        <v>HIRSUTICAULIS</v>
      </c>
      <c r="D582" s="1" t="s">
        <v>306</v>
      </c>
      <c r="E582" t="s">
        <v>101</v>
      </c>
      <c r="F582" t="s">
        <v>115</v>
      </c>
      <c r="G582" t="s">
        <v>13</v>
      </c>
      <c r="I582" t="s">
        <v>14</v>
      </c>
      <c r="J582" t="s">
        <v>114</v>
      </c>
      <c r="K582" t="s">
        <v>116</v>
      </c>
      <c r="L582">
        <v>37.191180000000003</v>
      </c>
      <c r="M582">
        <v>-89.63458</v>
      </c>
    </row>
    <row r="583" spans="1:13" x14ac:dyDescent="0.2">
      <c r="A583" t="s">
        <v>1092</v>
      </c>
      <c r="B583" t="s">
        <v>100</v>
      </c>
      <c r="C583" t="str">
        <f>_xlfn.XLOOKUP(A583,'[1]Putative species manifest'!A:A,'[1]Putative species manifest'!B:B)</f>
        <v>HIRSUTICAULIS</v>
      </c>
      <c r="D583" s="1" t="s">
        <v>306</v>
      </c>
      <c r="E583" t="s">
        <v>101</v>
      </c>
      <c r="F583" t="s">
        <v>115</v>
      </c>
      <c r="G583" t="s">
        <v>13</v>
      </c>
      <c r="I583" t="s">
        <v>14</v>
      </c>
      <c r="J583" t="s">
        <v>114</v>
      </c>
      <c r="K583" t="s">
        <v>116</v>
      </c>
      <c r="L583">
        <v>37.191180000000003</v>
      </c>
      <c r="M583">
        <v>89.63458</v>
      </c>
    </row>
    <row r="584" spans="1:13" x14ac:dyDescent="0.2">
      <c r="A584" t="s">
        <v>1092</v>
      </c>
      <c r="B584" t="s">
        <v>100</v>
      </c>
      <c r="C584" t="str">
        <f>_xlfn.XLOOKUP(A584,'[1]Putative species manifest'!A:A,'[1]Putative species manifest'!B:B)</f>
        <v>HIRSUTICAULIS</v>
      </c>
      <c r="D584" s="1" t="s">
        <v>306</v>
      </c>
      <c r="E584" t="s">
        <v>101</v>
      </c>
      <c r="F584" t="s">
        <v>115</v>
      </c>
      <c r="G584" t="s">
        <v>13</v>
      </c>
      <c r="I584" t="s">
        <v>14</v>
      </c>
      <c r="J584" t="s">
        <v>114</v>
      </c>
      <c r="K584" t="s">
        <v>116</v>
      </c>
      <c r="L584">
        <v>37.191180000000003</v>
      </c>
      <c r="M584">
        <v>-89.63458</v>
      </c>
    </row>
    <row r="585" spans="1:13" x14ac:dyDescent="0.2">
      <c r="A585" t="s">
        <v>1093</v>
      </c>
      <c r="B585" t="s">
        <v>100</v>
      </c>
      <c r="C585" t="str">
        <f>_xlfn.XLOOKUP(A585,'[1]Putative species manifest'!A:A,'[1]Putative species manifest'!B:B)</f>
        <v>HIRSUTICAULIS</v>
      </c>
      <c r="D585" s="1" t="s">
        <v>306</v>
      </c>
      <c r="E585" t="s">
        <v>101</v>
      </c>
      <c r="F585" t="s">
        <v>115</v>
      </c>
      <c r="G585" t="s">
        <v>13</v>
      </c>
      <c r="I585" t="s">
        <v>14</v>
      </c>
      <c r="J585" t="s">
        <v>114</v>
      </c>
      <c r="K585" t="s">
        <v>116</v>
      </c>
      <c r="L585">
        <v>37.191180000000003</v>
      </c>
      <c r="M585">
        <v>89.63458</v>
      </c>
    </row>
    <row r="586" spans="1:13" x14ac:dyDescent="0.2">
      <c r="A586" t="s">
        <v>1093</v>
      </c>
      <c r="B586" t="s">
        <v>100</v>
      </c>
      <c r="C586" t="str">
        <f>_xlfn.XLOOKUP(A586,'[1]Putative species manifest'!A:A,'[1]Putative species manifest'!B:B)</f>
        <v>HIRSUTICAULIS</v>
      </c>
      <c r="D586" s="1" t="s">
        <v>306</v>
      </c>
      <c r="E586" t="s">
        <v>101</v>
      </c>
      <c r="F586" t="s">
        <v>115</v>
      </c>
      <c r="G586" t="s">
        <v>13</v>
      </c>
      <c r="I586" t="s">
        <v>14</v>
      </c>
      <c r="J586" t="s">
        <v>114</v>
      </c>
      <c r="K586" t="s">
        <v>116</v>
      </c>
      <c r="L586">
        <v>37.191180000000003</v>
      </c>
      <c r="M586">
        <v>-89.63458</v>
      </c>
    </row>
    <row r="587" spans="1:13" x14ac:dyDescent="0.2">
      <c r="A587" t="s">
        <v>578</v>
      </c>
      <c r="B587" t="s">
        <v>38</v>
      </c>
      <c r="C587" t="str">
        <f>_xlfn.XLOOKUP(A587,'[1]Putative species manifest'!A:A,'[1]Putative species manifest'!B:B)</f>
        <v>BREVIPETALA</v>
      </c>
      <c r="D587" t="s">
        <v>349</v>
      </c>
      <c r="E587" t="s">
        <v>50</v>
      </c>
      <c r="F587" t="s">
        <v>579</v>
      </c>
      <c r="G587" t="s">
        <v>13</v>
      </c>
      <c r="I587" t="s">
        <v>14</v>
      </c>
      <c r="J587" t="s">
        <v>83</v>
      </c>
      <c r="K587" t="s">
        <v>47</v>
      </c>
      <c r="L587">
        <v>38.576956000000003</v>
      </c>
      <c r="M587">
        <v>-82.335821999999993</v>
      </c>
    </row>
    <row r="588" spans="1:13" x14ac:dyDescent="0.2">
      <c r="A588" t="s">
        <v>409</v>
      </c>
      <c r="B588" t="s">
        <v>38</v>
      </c>
      <c r="C588" t="str">
        <f>_xlfn.XLOOKUP(A588,'[1]Putative species manifest'!A:A,'[1]Putative species manifest'!B:B)</f>
        <v>AMERICANA</v>
      </c>
      <c r="D588" t="s">
        <v>396</v>
      </c>
      <c r="E588" t="s">
        <v>38</v>
      </c>
      <c r="F588" t="s">
        <v>410</v>
      </c>
      <c r="G588" t="s">
        <v>13</v>
      </c>
      <c r="I588" t="s">
        <v>14</v>
      </c>
      <c r="J588" t="s">
        <v>75</v>
      </c>
      <c r="K588" t="s">
        <v>141</v>
      </c>
      <c r="L588">
        <v>35.625552999999996</v>
      </c>
      <c r="M588">
        <v>-82.518968000000001</v>
      </c>
    </row>
    <row r="589" spans="1:13" x14ac:dyDescent="0.2">
      <c r="A589" t="s">
        <v>224</v>
      </c>
      <c r="B589" t="s">
        <v>21</v>
      </c>
      <c r="D589" t="s">
        <v>223</v>
      </c>
      <c r="E589" t="s">
        <v>21</v>
      </c>
      <c r="F589" t="s">
        <v>225</v>
      </c>
      <c r="G589" t="s">
        <v>24</v>
      </c>
      <c r="I589" t="s">
        <v>14</v>
      </c>
      <c r="J589" t="s">
        <v>32</v>
      </c>
      <c r="K589" t="s">
        <v>33</v>
      </c>
      <c r="L589">
        <v>38.927458999999999</v>
      </c>
      <c r="M589">
        <v>-79.237162999999995</v>
      </c>
    </row>
    <row r="590" spans="1:13" x14ac:dyDescent="0.2">
      <c r="A590" t="s">
        <v>226</v>
      </c>
      <c r="B590" t="s">
        <v>21</v>
      </c>
      <c r="D590" t="s">
        <v>223</v>
      </c>
      <c r="E590" t="s">
        <v>21</v>
      </c>
      <c r="F590" t="s">
        <v>227</v>
      </c>
      <c r="G590" t="s">
        <v>24</v>
      </c>
      <c r="I590" t="s">
        <v>14</v>
      </c>
      <c r="J590" t="s">
        <v>32</v>
      </c>
      <c r="K590" t="s">
        <v>33</v>
      </c>
      <c r="L590">
        <v>39.000503999999999</v>
      </c>
      <c r="M590">
        <v>-79.081646000000006</v>
      </c>
    </row>
    <row r="591" spans="1:13" x14ac:dyDescent="0.2">
      <c r="A591" t="s">
        <v>238</v>
      </c>
      <c r="B591" t="s">
        <v>21</v>
      </c>
      <c r="D591" t="s">
        <v>223</v>
      </c>
      <c r="E591" t="s">
        <v>21</v>
      </c>
      <c r="F591" t="s">
        <v>239</v>
      </c>
      <c r="G591" t="s">
        <v>24</v>
      </c>
      <c r="I591" t="s">
        <v>14</v>
      </c>
      <c r="J591" t="s">
        <v>32</v>
      </c>
      <c r="K591" t="s">
        <v>37</v>
      </c>
      <c r="L591">
        <v>38.202503999999998</v>
      </c>
      <c r="M591">
        <v>-80.194892999999993</v>
      </c>
    </row>
    <row r="592" spans="1:13" x14ac:dyDescent="0.2">
      <c r="A592" t="s">
        <v>232</v>
      </c>
      <c r="B592" t="s">
        <v>21</v>
      </c>
      <c r="D592" t="s">
        <v>223</v>
      </c>
      <c r="E592" t="s">
        <v>21</v>
      </c>
      <c r="F592" t="s">
        <v>233</v>
      </c>
      <c r="G592" t="s">
        <v>24</v>
      </c>
      <c r="I592" t="s">
        <v>14</v>
      </c>
      <c r="J592" t="s">
        <v>32</v>
      </c>
      <c r="K592" t="s">
        <v>36</v>
      </c>
      <c r="L592">
        <v>38.505710999999998</v>
      </c>
      <c r="M592">
        <v>-79.209616999999994</v>
      </c>
    </row>
    <row r="593" spans="1:13" x14ac:dyDescent="0.2">
      <c r="A593" t="s">
        <v>240</v>
      </c>
      <c r="B593" t="s">
        <v>21</v>
      </c>
      <c r="D593" t="s">
        <v>223</v>
      </c>
      <c r="E593" t="s">
        <v>21</v>
      </c>
      <c r="F593" t="s">
        <v>241</v>
      </c>
      <c r="G593" t="s">
        <v>24</v>
      </c>
      <c r="I593" t="s">
        <v>14</v>
      </c>
      <c r="J593" t="s">
        <v>32</v>
      </c>
      <c r="K593" t="s">
        <v>37</v>
      </c>
      <c r="L593">
        <v>38.365892000000002</v>
      </c>
      <c r="M593">
        <v>-79.937460000000002</v>
      </c>
    </row>
    <row r="594" spans="1:13" x14ac:dyDescent="0.2">
      <c r="A594" t="s">
        <v>228</v>
      </c>
      <c r="B594" t="s">
        <v>21</v>
      </c>
      <c r="D594" t="s">
        <v>223</v>
      </c>
      <c r="E594" t="s">
        <v>21</v>
      </c>
      <c r="F594" t="s">
        <v>229</v>
      </c>
      <c r="G594" t="s">
        <v>24</v>
      </c>
      <c r="I594" t="s">
        <v>14</v>
      </c>
      <c r="J594" t="s">
        <v>32</v>
      </c>
      <c r="K594" t="s">
        <v>33</v>
      </c>
      <c r="L594">
        <v>38.984892000000002</v>
      </c>
      <c r="M594">
        <v>-79.218756999999997</v>
      </c>
    </row>
    <row r="595" spans="1:13" x14ac:dyDescent="0.2">
      <c r="A595" t="s">
        <v>234</v>
      </c>
      <c r="B595" t="s">
        <v>21</v>
      </c>
      <c r="D595" t="s">
        <v>223</v>
      </c>
      <c r="E595" t="s">
        <v>21</v>
      </c>
      <c r="F595" t="s">
        <v>235</v>
      </c>
      <c r="G595" t="s">
        <v>24</v>
      </c>
      <c r="I595" t="s">
        <v>14</v>
      </c>
      <c r="J595" t="s">
        <v>32</v>
      </c>
      <c r="K595" t="s">
        <v>36</v>
      </c>
      <c r="L595">
        <v>38.636814999999999</v>
      </c>
      <c r="M595">
        <v>-79.394064</v>
      </c>
    </row>
    <row r="596" spans="1:13" x14ac:dyDescent="0.2">
      <c r="A596" t="s">
        <v>236</v>
      </c>
      <c r="B596" t="s">
        <v>21</v>
      </c>
      <c r="D596" t="s">
        <v>223</v>
      </c>
      <c r="E596" t="s">
        <v>21</v>
      </c>
      <c r="F596" t="s">
        <v>237</v>
      </c>
      <c r="G596" t="s">
        <v>24</v>
      </c>
      <c r="I596" t="s">
        <v>14</v>
      </c>
      <c r="J596" t="s">
        <v>32</v>
      </c>
      <c r="K596" t="s">
        <v>36</v>
      </c>
      <c r="L596">
        <v>38.666659000000003</v>
      </c>
      <c r="M596">
        <v>-79.235843000000003</v>
      </c>
    </row>
    <row r="597" spans="1:13" x14ac:dyDescent="0.2">
      <c r="A597" t="s">
        <v>569</v>
      </c>
      <c r="B597" t="s">
        <v>38</v>
      </c>
      <c r="C597" t="str">
        <f>_xlfn.XLOOKUP(A597,'[1]Putative species manifest'!A:A,'[1]Putative species manifest'!B:B)</f>
        <v>BREVIPETALA</v>
      </c>
      <c r="D597" t="s">
        <v>349</v>
      </c>
      <c r="E597" t="s">
        <v>50</v>
      </c>
      <c r="F597" t="s">
        <v>570</v>
      </c>
      <c r="G597" t="s">
        <v>13</v>
      </c>
      <c r="I597" t="s">
        <v>14</v>
      </c>
      <c r="J597" t="s">
        <v>83</v>
      </c>
      <c r="K597" t="s">
        <v>571</v>
      </c>
      <c r="L597">
        <v>41.174475999999999</v>
      </c>
      <c r="M597">
        <v>-84.256818999999993</v>
      </c>
    </row>
    <row r="598" spans="1:13" x14ac:dyDescent="0.2">
      <c r="A598" t="s">
        <v>749</v>
      </c>
      <c r="B598" t="s">
        <v>38</v>
      </c>
      <c r="C598" t="str">
        <f>_xlfn.XLOOKUP(A598,'[1]Putative species manifest'!A:A,'[1]Putative species manifest'!B:B)</f>
        <v>AMERICANA</v>
      </c>
      <c r="D598" t="s">
        <v>1521</v>
      </c>
      <c r="E598" t="s">
        <v>38</v>
      </c>
      <c r="F598" t="s">
        <v>750</v>
      </c>
      <c r="G598" t="s">
        <v>13</v>
      </c>
      <c r="I598" t="s">
        <v>14</v>
      </c>
      <c r="J598" t="s">
        <v>30</v>
      </c>
      <c r="K598" t="s">
        <v>751</v>
      </c>
      <c r="L598">
        <v>38.094963999999997</v>
      </c>
      <c r="M598">
        <v>-78.489373000000001</v>
      </c>
    </row>
    <row r="599" spans="1:13" x14ac:dyDescent="0.2">
      <c r="A599" t="s">
        <v>1401</v>
      </c>
      <c r="B599" t="s">
        <v>84</v>
      </c>
      <c r="C599" t="str">
        <f>_xlfn.XLOOKUP(A599,'[1]Putative species manifest'!A:A,'[1]Putative species manifest'!B:B)</f>
        <v>GRAYANA</v>
      </c>
      <c r="D599" t="s">
        <v>1034</v>
      </c>
      <c r="E599" t="s">
        <v>107</v>
      </c>
      <c r="F599" t="s">
        <v>1402</v>
      </c>
      <c r="G599" t="s">
        <v>13</v>
      </c>
      <c r="I599" t="s">
        <v>14</v>
      </c>
      <c r="J599" t="s">
        <v>113</v>
      </c>
      <c r="K599" t="s">
        <v>1403</v>
      </c>
      <c r="L599">
        <v>41.868479000000001</v>
      </c>
      <c r="M599">
        <v>-86.348771999999997</v>
      </c>
    </row>
    <row r="600" spans="1:13" x14ac:dyDescent="0.2">
      <c r="A600" t="s">
        <v>230</v>
      </c>
      <c r="B600" t="s">
        <v>21</v>
      </c>
      <c r="D600" t="s">
        <v>223</v>
      </c>
      <c r="E600" t="s">
        <v>21</v>
      </c>
      <c r="F600" t="s">
        <v>231</v>
      </c>
      <c r="G600" t="s">
        <v>13</v>
      </c>
      <c r="I600" t="s">
        <v>14</v>
      </c>
      <c r="J600" t="s">
        <v>32</v>
      </c>
      <c r="K600" t="s">
        <v>178</v>
      </c>
      <c r="L600">
        <v>38.594237999999997</v>
      </c>
      <c r="M600">
        <v>-79.181809999999999</v>
      </c>
    </row>
    <row r="601" spans="1:13" x14ac:dyDescent="0.2">
      <c r="A601" t="s">
        <v>1336</v>
      </c>
      <c r="B601" t="s">
        <v>84</v>
      </c>
      <c r="C601" t="str">
        <f>_xlfn.XLOOKUP(A601,'[1]Putative species manifest'!A:A,'[1]Putative species manifest'!B:B)</f>
        <v>RICHARDSONII</v>
      </c>
      <c r="D601" t="s">
        <v>188</v>
      </c>
      <c r="E601" t="s">
        <v>84</v>
      </c>
      <c r="F601" t="s">
        <v>1337</v>
      </c>
      <c r="G601" t="s">
        <v>13</v>
      </c>
      <c r="I601" t="s">
        <v>18</v>
      </c>
      <c r="J601" t="s">
        <v>130</v>
      </c>
      <c r="L601">
        <v>49.949883</v>
      </c>
      <c r="M601">
        <v>-113.97906999999999</v>
      </c>
    </row>
    <row r="602" spans="1:13" x14ac:dyDescent="0.2">
      <c r="A602" t="s">
        <v>1292</v>
      </c>
      <c r="B602" t="s">
        <v>138</v>
      </c>
      <c r="C602" t="str">
        <f>_xlfn.XLOOKUP(A602,'[1]Putative species manifest'!A:A,'[1]Putative species manifest'!B:B)</f>
        <v>Heuchera inconstans I90-C AZ Coconino</v>
      </c>
      <c r="D602" t="s">
        <v>1520</v>
      </c>
      <c r="E602" t="s">
        <v>138</v>
      </c>
      <c r="F602" t="s">
        <v>1293</v>
      </c>
      <c r="G602" t="s">
        <v>13</v>
      </c>
      <c r="I602" t="s">
        <v>14</v>
      </c>
      <c r="J602" t="s">
        <v>133</v>
      </c>
      <c r="K602" t="s">
        <v>139</v>
      </c>
      <c r="L602">
        <v>34.991259999999997</v>
      </c>
      <c r="M602">
        <v>-111.73521</v>
      </c>
    </row>
    <row r="603" spans="1:13" x14ac:dyDescent="0.2">
      <c r="A603" t="s">
        <v>1294</v>
      </c>
      <c r="B603" t="s">
        <v>140</v>
      </c>
      <c r="C603" t="str">
        <f>_xlfn.XLOOKUP(A603,'[1]Putative species manifest'!A:A,'[1]Putative species manifest'!B:B)</f>
        <v>Heuchera longiflora var. aceroides L1-1 NC</v>
      </c>
      <c r="D603" t="s">
        <v>396</v>
      </c>
      <c r="E603" t="s">
        <v>140</v>
      </c>
      <c r="F603" t="s">
        <v>143</v>
      </c>
      <c r="G603" t="s">
        <v>13</v>
      </c>
      <c r="I603" t="s">
        <v>14</v>
      </c>
      <c r="J603" t="s">
        <v>75</v>
      </c>
      <c r="K603" t="s">
        <v>49</v>
      </c>
      <c r="L603">
        <v>35.746713900000003</v>
      </c>
      <c r="M603">
        <v>-82.872478000000001</v>
      </c>
    </row>
    <row r="604" spans="1:13" x14ac:dyDescent="0.2">
      <c r="A604" t="s">
        <v>1295</v>
      </c>
      <c r="B604" t="s">
        <v>140</v>
      </c>
      <c r="C604" t="str">
        <f>_xlfn.XLOOKUP(A604,'[1]Putative species manifest'!A:A,'[1]Putative species manifest'!B:B)</f>
        <v>Heuchera longiflora var. aceroides L1-3 NC</v>
      </c>
      <c r="D604" t="s">
        <v>396</v>
      </c>
      <c r="E604" t="s">
        <v>140</v>
      </c>
      <c r="F604" t="s">
        <v>143</v>
      </c>
      <c r="G604" t="s">
        <v>13</v>
      </c>
      <c r="I604" t="s">
        <v>14</v>
      </c>
      <c r="J604" t="s">
        <v>75</v>
      </c>
      <c r="K604" t="s">
        <v>49</v>
      </c>
      <c r="L604">
        <v>35.746713900000003</v>
      </c>
      <c r="M604">
        <v>-82.872478000000001</v>
      </c>
    </row>
    <row r="605" spans="1:13" x14ac:dyDescent="0.2">
      <c r="A605" t="s">
        <v>1300</v>
      </c>
      <c r="B605" t="s">
        <v>147</v>
      </c>
      <c r="C605" t="str">
        <f>_xlfn.XLOOKUP(A605,'[1]Putative species manifest'!A:A,'[1]Putative species manifest'!B:B)</f>
        <v>Heuchera longiflora var. longiflora L14-1 KY</v>
      </c>
      <c r="D605" t="s">
        <v>339</v>
      </c>
      <c r="E605" t="s">
        <v>147</v>
      </c>
      <c r="F605" t="s">
        <v>148</v>
      </c>
      <c r="G605" t="s">
        <v>13</v>
      </c>
      <c r="I605" t="s">
        <v>14</v>
      </c>
      <c r="J605" t="s">
        <v>66</v>
      </c>
      <c r="K605" t="s">
        <v>149</v>
      </c>
      <c r="L605">
        <v>37.669838900000002</v>
      </c>
      <c r="M605">
        <v>-82.913272000000006</v>
      </c>
    </row>
    <row r="606" spans="1:13" x14ac:dyDescent="0.2">
      <c r="A606" t="s">
        <v>1301</v>
      </c>
      <c r="B606" t="s">
        <v>147</v>
      </c>
      <c r="C606" t="str">
        <f>_xlfn.XLOOKUP(A606,'[1]Putative species manifest'!A:A,'[1]Putative species manifest'!B:B)</f>
        <v>Heuchera longiflora var. longiflora L14-2 KY</v>
      </c>
      <c r="D606" t="s">
        <v>339</v>
      </c>
      <c r="E606" t="s">
        <v>147</v>
      </c>
      <c r="F606" t="s">
        <v>148</v>
      </c>
      <c r="G606" t="s">
        <v>13</v>
      </c>
      <c r="I606" t="s">
        <v>14</v>
      </c>
      <c r="J606" t="s">
        <v>66</v>
      </c>
      <c r="K606" t="s">
        <v>149</v>
      </c>
      <c r="L606">
        <v>37.669838900000002</v>
      </c>
      <c r="M606">
        <v>-82.913272000000006</v>
      </c>
    </row>
    <row r="607" spans="1:13" x14ac:dyDescent="0.2">
      <c r="A607" t="s">
        <v>1302</v>
      </c>
      <c r="B607" t="s">
        <v>147</v>
      </c>
      <c r="C607" t="str">
        <f>_xlfn.XLOOKUP(A607,'[1]Putative species manifest'!A:A,'[1]Putative species manifest'!B:B)</f>
        <v>Heuchera longiflora var. longiflora L20-1 KY</v>
      </c>
      <c r="D607" t="s">
        <v>339</v>
      </c>
      <c r="E607" t="s">
        <v>147</v>
      </c>
      <c r="F607" t="s">
        <v>146</v>
      </c>
      <c r="G607" t="s">
        <v>13</v>
      </c>
      <c r="I607" t="s">
        <v>14</v>
      </c>
      <c r="J607" t="s">
        <v>66</v>
      </c>
      <c r="K607" t="s">
        <v>48</v>
      </c>
      <c r="L607">
        <v>37.630466699999999</v>
      </c>
      <c r="M607">
        <v>-83.770767000000006</v>
      </c>
    </row>
    <row r="608" spans="1:13" x14ac:dyDescent="0.2">
      <c r="A608" t="s">
        <v>1303</v>
      </c>
      <c r="B608" t="s">
        <v>147</v>
      </c>
      <c r="C608" t="str">
        <f>_xlfn.XLOOKUP(A608,'[1]Putative species manifest'!A:A,'[1]Putative species manifest'!B:B)</f>
        <v>Heuchera longiflora var. longiflora L20-2 KY</v>
      </c>
      <c r="D608" t="s">
        <v>339</v>
      </c>
      <c r="E608" t="s">
        <v>147</v>
      </c>
      <c r="F608" t="s">
        <v>146</v>
      </c>
      <c r="G608" t="s">
        <v>13</v>
      </c>
      <c r="I608" t="s">
        <v>14</v>
      </c>
      <c r="J608" t="s">
        <v>66</v>
      </c>
      <c r="K608" t="s">
        <v>48</v>
      </c>
      <c r="L608">
        <v>37.630466699999999</v>
      </c>
      <c r="M608">
        <v>-83.770767000000006</v>
      </c>
    </row>
    <row r="609" spans="1:13" x14ac:dyDescent="0.2">
      <c r="A609" t="s">
        <v>1296</v>
      </c>
      <c r="B609" t="s">
        <v>140</v>
      </c>
      <c r="C609" t="str">
        <f>_xlfn.XLOOKUP(A609,'[1]Putative species manifest'!A:A,'[1]Putative species manifest'!B:B)</f>
        <v>Heuchera longiflora var. aceroides L3-1 NC</v>
      </c>
      <c r="D609" t="s">
        <v>396</v>
      </c>
      <c r="E609" t="s">
        <v>140</v>
      </c>
      <c r="F609" t="s">
        <v>144</v>
      </c>
      <c r="G609" t="s">
        <v>13</v>
      </c>
      <c r="I609" t="s">
        <v>14</v>
      </c>
      <c r="J609" t="s">
        <v>75</v>
      </c>
      <c r="K609" t="s">
        <v>49</v>
      </c>
      <c r="L609">
        <v>35.928649999999998</v>
      </c>
      <c r="M609">
        <v>-82.750078000000002</v>
      </c>
    </row>
    <row r="610" spans="1:13" x14ac:dyDescent="0.2">
      <c r="A610" t="s">
        <v>1297</v>
      </c>
      <c r="B610" t="s">
        <v>140</v>
      </c>
      <c r="C610" t="str">
        <f>_xlfn.XLOOKUP(A610,'[1]Putative species manifest'!A:A,'[1]Putative species manifest'!B:B)</f>
        <v>Heuchera longiflora var. aceroides L3-2 NC</v>
      </c>
      <c r="D610" t="s">
        <v>396</v>
      </c>
      <c r="E610" t="s">
        <v>140</v>
      </c>
      <c r="F610" t="s">
        <v>144</v>
      </c>
      <c r="G610" t="s">
        <v>13</v>
      </c>
      <c r="I610" t="s">
        <v>14</v>
      </c>
      <c r="J610" t="s">
        <v>75</v>
      </c>
      <c r="K610" t="s">
        <v>49</v>
      </c>
      <c r="L610">
        <v>35.928649999999998</v>
      </c>
      <c r="M610">
        <v>-82.750078000000002</v>
      </c>
    </row>
    <row r="611" spans="1:13" x14ac:dyDescent="0.2">
      <c r="A611" t="s">
        <v>1305</v>
      </c>
      <c r="B611" t="s">
        <v>147</v>
      </c>
      <c r="C611" t="str">
        <f>_xlfn.XLOOKUP(A611,'[1]Putative species manifest'!A:A,'[1]Putative species manifest'!B:B)</f>
        <v>Heuchera longiflora var. longiflora L6-1 VA</v>
      </c>
      <c r="D611" t="s">
        <v>339</v>
      </c>
      <c r="E611" t="s">
        <v>147</v>
      </c>
      <c r="F611" t="s">
        <v>150</v>
      </c>
      <c r="G611" t="s">
        <v>13</v>
      </c>
      <c r="I611" t="s">
        <v>14</v>
      </c>
      <c r="J611" t="s">
        <v>30</v>
      </c>
      <c r="K611" t="s">
        <v>151</v>
      </c>
      <c r="L611">
        <v>36.855816699999998</v>
      </c>
      <c r="M611">
        <v>-82.747758000000005</v>
      </c>
    </row>
    <row r="612" spans="1:13" x14ac:dyDescent="0.2">
      <c r="A612" t="s">
        <v>1306</v>
      </c>
      <c r="B612" t="s">
        <v>147</v>
      </c>
      <c r="C612" t="str">
        <f>_xlfn.XLOOKUP(A612,'[1]Putative species manifest'!A:A,'[1]Putative species manifest'!B:B)</f>
        <v>Heuchera longiflora var. longiflora L6-2 VA</v>
      </c>
      <c r="D612" t="s">
        <v>339</v>
      </c>
      <c r="E612" t="s">
        <v>147</v>
      </c>
      <c r="F612" t="s">
        <v>150</v>
      </c>
      <c r="G612" t="s">
        <v>13</v>
      </c>
      <c r="I612" t="s">
        <v>14</v>
      </c>
      <c r="J612" t="s">
        <v>30</v>
      </c>
      <c r="K612" t="s">
        <v>151</v>
      </c>
      <c r="L612">
        <v>36.855816699999998</v>
      </c>
      <c r="M612">
        <v>-82.747758000000005</v>
      </c>
    </row>
    <row r="613" spans="1:13" x14ac:dyDescent="0.2">
      <c r="A613" t="s">
        <v>1307</v>
      </c>
      <c r="B613" t="s">
        <v>147</v>
      </c>
      <c r="C613" t="str">
        <f>_xlfn.XLOOKUP(A613,'[1]Putative species manifest'!A:A,'[1]Putative species manifest'!B:B)</f>
        <v>Heuchera longiflora var. longiflora L9-2 VA</v>
      </c>
      <c r="D613" t="s">
        <v>339</v>
      </c>
      <c r="E613" t="s">
        <v>147</v>
      </c>
      <c r="F613" t="s">
        <v>152</v>
      </c>
      <c r="G613" t="s">
        <v>13</v>
      </c>
      <c r="I613" t="s">
        <v>14</v>
      </c>
      <c r="J613" t="s">
        <v>30</v>
      </c>
      <c r="K613" t="s">
        <v>151</v>
      </c>
      <c r="L613">
        <v>37.1037417</v>
      </c>
      <c r="M613">
        <v>-82.668385999999998</v>
      </c>
    </row>
  </sheetData>
  <sortState xmlns:xlrd2="http://schemas.microsoft.com/office/spreadsheetml/2017/richdata2" ref="A2:M613">
    <sortCondition ref="A2:A6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Folk</dc:creator>
  <cp:lastModifiedBy>Ryan Folk</cp:lastModifiedBy>
  <dcterms:created xsi:type="dcterms:W3CDTF">2026-02-03T19:52:09Z</dcterms:created>
  <dcterms:modified xsi:type="dcterms:W3CDTF">2026-02-03T20:06:19Z</dcterms:modified>
</cp:coreProperties>
</file>