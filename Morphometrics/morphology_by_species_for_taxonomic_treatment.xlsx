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GitHub/Heuchera-americana-group-species-manuscript/Morphometrics/"/>
    </mc:Choice>
  </mc:AlternateContent>
  <xr:revisionPtr revIDLastSave="0" documentId="13_ncr:1_{316664A5-E8F8-4C45-8E35-1648E4DE5BD8}" xr6:coauthVersionLast="47" xr6:coauthVersionMax="47" xr10:uidLastSave="{00000000-0000-0000-0000-000000000000}"/>
  <bookViews>
    <workbookView xWindow="0" yWindow="0" windowWidth="28800" windowHeight="18000" xr2:uid="{37DF62A1-309C-2E49-B246-2BDE6342D869}"/>
  </bookViews>
  <sheets>
    <sheet name="Median &amp; Ranges" sheetId="10" r:id="rId1"/>
    <sheet name="morphometric_data_final" sheetId="1" r:id="rId2"/>
    <sheet name="Hispida" sheetId="9" r:id="rId3"/>
    <sheet name="Hirsuticaulis" sheetId="8" r:id="rId4"/>
    <sheet name="Richardsonii" sheetId="7" r:id="rId5"/>
    <sheet name="Grayana" sheetId="6" r:id="rId6"/>
    <sheet name="Fumosimontana" sheetId="5" r:id="rId7"/>
    <sheet name="Calycosa" sheetId="4" r:id="rId8"/>
    <sheet name="Brevipetala" sheetId="3" r:id="rId9"/>
    <sheet name="Americana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0" l="1"/>
  <c r="R37" i="10"/>
  <c r="S37" i="10"/>
  <c r="T37" i="10"/>
  <c r="U37" i="10"/>
  <c r="V37" i="10"/>
  <c r="W37" i="10"/>
  <c r="X37" i="10"/>
  <c r="Y37" i="10"/>
  <c r="W28" i="10"/>
  <c r="V28" i="10"/>
  <c r="R28" i="10"/>
  <c r="S28" i="10"/>
  <c r="T28" i="10"/>
  <c r="U28" i="10"/>
  <c r="Q28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P72" i="10" a="1"/>
  <c r="P72" i="10" s="1"/>
  <c r="O72" i="10" a="1"/>
  <c r="O72" i="10" s="1"/>
  <c r="N72" i="10" a="1"/>
  <c r="N72" i="10" s="1"/>
  <c r="M72" i="10" a="1"/>
  <c r="M72" i="10" s="1"/>
  <c r="L72" i="10" a="1"/>
  <c r="L72" i="10" s="1"/>
  <c r="K72" i="10" a="1"/>
  <c r="K72" i="10" s="1"/>
  <c r="J72" i="10" a="1"/>
  <c r="J72" i="10" s="1"/>
  <c r="I72" i="10" a="1"/>
  <c r="I72" i="10" s="1"/>
  <c r="H72" i="10" a="1"/>
  <c r="H72" i="10" s="1"/>
  <c r="G72" i="10" a="1"/>
  <c r="G72" i="10" s="1"/>
  <c r="F72" i="10" a="1"/>
  <c r="F72" i="10" s="1"/>
  <c r="E72" i="10" a="1"/>
  <c r="E72" i="10" s="1"/>
  <c r="D72" i="10" a="1"/>
  <c r="D72" i="10" s="1"/>
  <c r="P71" i="10" a="1"/>
  <c r="P71" i="10" s="1"/>
  <c r="O71" i="10" a="1"/>
  <c r="O71" i="10" s="1"/>
  <c r="N71" i="10" a="1"/>
  <c r="N71" i="10" s="1"/>
  <c r="M71" i="10" a="1"/>
  <c r="M71" i="10" s="1"/>
  <c r="L71" i="10" a="1"/>
  <c r="L71" i="10" s="1"/>
  <c r="K71" i="10" a="1"/>
  <c r="K71" i="10" s="1"/>
  <c r="J71" i="10" a="1"/>
  <c r="J71" i="10" s="1"/>
  <c r="I71" i="10" a="1"/>
  <c r="I71" i="10" s="1"/>
  <c r="H71" i="10" a="1"/>
  <c r="H71" i="10" s="1"/>
  <c r="G71" i="10" a="1"/>
  <c r="G71" i="10" s="1"/>
  <c r="F71" i="10" a="1"/>
  <c r="F71" i="10" s="1"/>
  <c r="E71" i="10" a="1"/>
  <c r="E71" i="10" s="1"/>
  <c r="D71" i="10" a="1"/>
  <c r="D71" i="10" s="1"/>
  <c r="P70" i="10" a="1"/>
  <c r="P70" i="10" s="1"/>
  <c r="O70" i="10" a="1"/>
  <c r="O70" i="10" s="1"/>
  <c r="N70" i="10" a="1"/>
  <c r="N70" i="10" s="1"/>
  <c r="M70" i="10" a="1"/>
  <c r="M70" i="10" s="1"/>
  <c r="L70" i="10" a="1"/>
  <c r="L70" i="10" s="1"/>
  <c r="K70" i="10" a="1"/>
  <c r="K70" i="10" s="1"/>
  <c r="J70" i="10" a="1"/>
  <c r="J70" i="10" s="1"/>
  <c r="I70" i="10" a="1"/>
  <c r="I70" i="10" s="1"/>
  <c r="H70" i="10" a="1"/>
  <c r="H70" i="10" s="1"/>
  <c r="G70" i="10" a="1"/>
  <c r="G70" i="10" s="1"/>
  <c r="F70" i="10" a="1"/>
  <c r="F70" i="10" s="1"/>
  <c r="E70" i="10" a="1"/>
  <c r="E70" i="10" s="1"/>
  <c r="D70" i="10" a="1"/>
  <c r="D70" i="10" s="1"/>
  <c r="P69" i="10" a="1"/>
  <c r="P69" i="10" s="1"/>
  <c r="O69" i="10" a="1"/>
  <c r="O69" i="10" s="1"/>
  <c r="N69" i="10" a="1"/>
  <c r="N69" i="10" s="1"/>
  <c r="M69" i="10" a="1"/>
  <c r="M69" i="10" s="1"/>
  <c r="L69" i="10" a="1"/>
  <c r="L69" i="10" s="1"/>
  <c r="K69" i="10" a="1"/>
  <c r="K69" i="10" s="1"/>
  <c r="J69" i="10" a="1"/>
  <c r="J69" i="10" s="1"/>
  <c r="I69" i="10" a="1"/>
  <c r="I69" i="10" s="1"/>
  <c r="H69" i="10" a="1"/>
  <c r="H69" i="10" s="1"/>
  <c r="G69" i="10" a="1"/>
  <c r="G69" i="10" s="1"/>
  <c r="F69" i="10" a="1"/>
  <c r="F69" i="10" s="1"/>
  <c r="E69" i="10" a="1"/>
  <c r="E69" i="10" s="1"/>
  <c r="D69" i="10" a="1"/>
  <c r="D69" i="10" s="1"/>
  <c r="P68" i="10" a="1"/>
  <c r="P68" i="10" s="1"/>
  <c r="O68" i="10" a="1"/>
  <c r="O68" i="10" s="1"/>
  <c r="N68" i="10" a="1"/>
  <c r="N68" i="10" s="1"/>
  <c r="M68" i="10" a="1"/>
  <c r="M68" i="10" s="1"/>
  <c r="L68" i="10" a="1"/>
  <c r="L68" i="10" s="1"/>
  <c r="K68" i="10" a="1"/>
  <c r="K68" i="10" s="1"/>
  <c r="J68" i="10" a="1"/>
  <c r="J68" i="10" s="1"/>
  <c r="I68" i="10" a="1"/>
  <c r="I68" i="10" s="1"/>
  <c r="H68" i="10" a="1"/>
  <c r="H68" i="10" s="1"/>
  <c r="G68" i="10" a="1"/>
  <c r="G68" i="10" s="1"/>
  <c r="F68" i="10" a="1"/>
  <c r="F68" i="10" s="1"/>
  <c r="E68" i="10" a="1"/>
  <c r="E68" i="10" s="1"/>
  <c r="D68" i="10" a="1"/>
  <c r="D68" i="10" s="1"/>
  <c r="P67" i="10" a="1"/>
  <c r="P67" i="10" s="1"/>
  <c r="O67" i="10" a="1"/>
  <c r="O67" i="10" s="1"/>
  <c r="N67" i="10" a="1"/>
  <c r="N67" i="10" s="1"/>
  <c r="M67" i="10" a="1"/>
  <c r="M67" i="10" s="1"/>
  <c r="L67" i="10" a="1"/>
  <c r="L67" i="10" s="1"/>
  <c r="K67" i="10" a="1"/>
  <c r="K67" i="10" s="1"/>
  <c r="J67" i="10" a="1"/>
  <c r="J67" i="10" s="1"/>
  <c r="I67" i="10" a="1"/>
  <c r="I67" i="10" s="1"/>
  <c r="H67" i="10" a="1"/>
  <c r="H67" i="10" s="1"/>
  <c r="G67" i="10" a="1"/>
  <c r="G67" i="10" s="1"/>
  <c r="F67" i="10" a="1"/>
  <c r="F67" i="10" s="1"/>
  <c r="E67" i="10" a="1"/>
  <c r="E67" i="10" s="1"/>
  <c r="D67" i="10" a="1"/>
  <c r="D67" i="10" s="1"/>
  <c r="P66" i="10" a="1"/>
  <c r="P66" i="10" s="1"/>
  <c r="O66" i="10" a="1"/>
  <c r="O66" i="10" s="1"/>
  <c r="N66" i="10" a="1"/>
  <c r="N66" i="10" s="1"/>
  <c r="M66" i="10" a="1"/>
  <c r="M66" i="10" s="1"/>
  <c r="L66" i="10" a="1"/>
  <c r="L66" i="10" s="1"/>
  <c r="K66" i="10" a="1"/>
  <c r="K66" i="10" s="1"/>
  <c r="J66" i="10" a="1"/>
  <c r="J66" i="10" s="1"/>
  <c r="I66" i="10" a="1"/>
  <c r="I66" i="10" s="1"/>
  <c r="H66" i="10" a="1"/>
  <c r="H66" i="10" s="1"/>
  <c r="G66" i="10" a="1"/>
  <c r="G66" i="10" s="1"/>
  <c r="F66" i="10" a="1"/>
  <c r="F66" i="10" s="1"/>
  <c r="E66" i="10" a="1"/>
  <c r="E66" i="10" s="1"/>
  <c r="D66" i="10" a="1"/>
  <c r="D66" i="10" s="1"/>
  <c r="P65" i="10" a="1"/>
  <c r="P65" i="10" s="1"/>
  <c r="O65" i="10" a="1"/>
  <c r="O65" i="10" s="1"/>
  <c r="N65" i="10" a="1"/>
  <c r="N65" i="10" s="1"/>
  <c r="M65" i="10" a="1"/>
  <c r="M65" i="10" s="1"/>
  <c r="L65" i="10" a="1"/>
  <c r="L65" i="10" s="1"/>
  <c r="K65" i="10" a="1"/>
  <c r="K65" i="10" s="1"/>
  <c r="J65" i="10" a="1"/>
  <c r="J65" i="10" s="1"/>
  <c r="I65" i="10" a="1"/>
  <c r="I65" i="10" s="1"/>
  <c r="H65" i="10" a="1"/>
  <c r="H65" i="10" s="1"/>
  <c r="G65" i="10" a="1"/>
  <c r="G65" i="10" s="1"/>
  <c r="F65" i="10" a="1"/>
  <c r="F65" i="10" s="1"/>
  <c r="E65" i="10" a="1"/>
  <c r="E65" i="10" s="1"/>
  <c r="D65" i="10" a="1"/>
  <c r="D65" i="10" s="1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P63" i="10" a="1"/>
  <c r="P63" i="10" s="1"/>
  <c r="O63" i="10" a="1"/>
  <c r="O63" i="10" s="1"/>
  <c r="N63" i="10" a="1"/>
  <c r="N63" i="10" s="1"/>
  <c r="M63" i="10" a="1"/>
  <c r="M63" i="10" s="1"/>
  <c r="L63" i="10" a="1"/>
  <c r="L63" i="10" s="1"/>
  <c r="K63" i="10" a="1"/>
  <c r="K63" i="10" s="1"/>
  <c r="J63" i="10" a="1"/>
  <c r="J63" i="10" s="1"/>
  <c r="I63" i="10" a="1"/>
  <c r="I63" i="10" s="1"/>
  <c r="H63" i="10" a="1"/>
  <c r="H63" i="10" s="1"/>
  <c r="G63" i="10" a="1"/>
  <c r="G63" i="10" s="1"/>
  <c r="F63" i="10" a="1"/>
  <c r="F63" i="10" s="1"/>
  <c r="E63" i="10" a="1"/>
  <c r="E63" i="10" s="1"/>
  <c r="D63" i="10" a="1"/>
  <c r="D63" i="10" s="1"/>
  <c r="P62" i="10" a="1"/>
  <c r="P62" i="10" s="1"/>
  <c r="O62" i="10" a="1"/>
  <c r="O62" i="10" s="1"/>
  <c r="N62" i="10" a="1"/>
  <c r="N62" i="10" s="1"/>
  <c r="M62" i="10" a="1"/>
  <c r="M62" i="10" s="1"/>
  <c r="L62" i="10" a="1"/>
  <c r="L62" i="10" s="1"/>
  <c r="K62" i="10" a="1"/>
  <c r="K62" i="10" s="1"/>
  <c r="J62" i="10" a="1"/>
  <c r="J62" i="10" s="1"/>
  <c r="I62" i="10" a="1"/>
  <c r="I62" i="10" s="1"/>
  <c r="H62" i="10" a="1"/>
  <c r="H62" i="10" s="1"/>
  <c r="G62" i="10" a="1"/>
  <c r="G62" i="10" s="1"/>
  <c r="F62" i="10" a="1"/>
  <c r="F62" i="10" s="1"/>
  <c r="E62" i="10" a="1"/>
  <c r="E62" i="10" s="1"/>
  <c r="D62" i="10" a="1"/>
  <c r="D62" i="10" s="1"/>
  <c r="P61" i="10" a="1"/>
  <c r="P61" i="10" s="1"/>
  <c r="O61" i="10" a="1"/>
  <c r="O61" i="10" s="1"/>
  <c r="N61" i="10" a="1"/>
  <c r="N61" i="10" s="1"/>
  <c r="M61" i="10" a="1"/>
  <c r="M61" i="10" s="1"/>
  <c r="L61" i="10" a="1"/>
  <c r="L61" i="10" s="1"/>
  <c r="K61" i="10" a="1"/>
  <c r="K61" i="10" s="1"/>
  <c r="J61" i="10" a="1"/>
  <c r="J61" i="10" s="1"/>
  <c r="I61" i="10" a="1"/>
  <c r="I61" i="10" s="1"/>
  <c r="H61" i="10" a="1"/>
  <c r="H61" i="10" s="1"/>
  <c r="G61" i="10" a="1"/>
  <c r="G61" i="10" s="1"/>
  <c r="F61" i="10" a="1"/>
  <c r="F61" i="10" s="1"/>
  <c r="E61" i="10" a="1"/>
  <c r="E61" i="10" s="1"/>
  <c r="D61" i="10" a="1"/>
  <c r="D61" i="10" s="1"/>
  <c r="P60" i="10" a="1"/>
  <c r="P60" i="10" s="1"/>
  <c r="O60" i="10" a="1"/>
  <c r="O60" i="10" s="1"/>
  <c r="N60" i="10" a="1"/>
  <c r="N60" i="10" s="1"/>
  <c r="M60" i="10" a="1"/>
  <c r="M60" i="10" s="1"/>
  <c r="L60" i="10" a="1"/>
  <c r="L60" i="10" s="1"/>
  <c r="K60" i="10" a="1"/>
  <c r="K60" i="10" s="1"/>
  <c r="J60" i="10" a="1"/>
  <c r="J60" i="10" s="1"/>
  <c r="I60" i="10" a="1"/>
  <c r="I60" i="10" s="1"/>
  <c r="H60" i="10" a="1"/>
  <c r="H60" i="10" s="1"/>
  <c r="G60" i="10" a="1"/>
  <c r="G60" i="10" s="1"/>
  <c r="F60" i="10" a="1"/>
  <c r="F60" i="10" s="1"/>
  <c r="E60" i="10" a="1"/>
  <c r="E60" i="10" s="1"/>
  <c r="D60" i="10" a="1"/>
  <c r="D60" i="10" s="1"/>
  <c r="P59" i="10" a="1"/>
  <c r="P59" i="10" s="1"/>
  <c r="O59" i="10" a="1"/>
  <c r="O59" i="10" s="1"/>
  <c r="N59" i="10" a="1"/>
  <c r="N59" i="10" s="1"/>
  <c r="M59" i="10" a="1"/>
  <c r="M59" i="10" s="1"/>
  <c r="L59" i="10" a="1"/>
  <c r="L59" i="10" s="1"/>
  <c r="K59" i="10" a="1"/>
  <c r="K59" i="10" s="1"/>
  <c r="J59" i="10" a="1"/>
  <c r="J59" i="10" s="1"/>
  <c r="I59" i="10" a="1"/>
  <c r="I59" i="10" s="1"/>
  <c r="H59" i="10" a="1"/>
  <c r="H59" i="10" s="1"/>
  <c r="G59" i="10" a="1"/>
  <c r="G59" i="10" s="1"/>
  <c r="F59" i="10" a="1"/>
  <c r="F59" i="10" s="1"/>
  <c r="E59" i="10" a="1"/>
  <c r="E59" i="10" s="1"/>
  <c r="D59" i="10" a="1"/>
  <c r="D59" i="10" s="1"/>
  <c r="P58" i="10" a="1"/>
  <c r="P58" i="10" s="1"/>
  <c r="O58" i="10" a="1"/>
  <c r="O58" i="10" s="1"/>
  <c r="N58" i="10" a="1"/>
  <c r="N58" i="10" s="1"/>
  <c r="M58" i="10" a="1"/>
  <c r="M58" i="10" s="1"/>
  <c r="L58" i="10" a="1"/>
  <c r="L58" i="10" s="1"/>
  <c r="K58" i="10" a="1"/>
  <c r="K58" i="10" s="1"/>
  <c r="J58" i="10" a="1"/>
  <c r="J58" i="10" s="1"/>
  <c r="I58" i="10" a="1"/>
  <c r="I58" i="10" s="1"/>
  <c r="H58" i="10" a="1"/>
  <c r="H58" i="10" s="1"/>
  <c r="G58" i="10" a="1"/>
  <c r="G58" i="10" s="1"/>
  <c r="F58" i="10" a="1"/>
  <c r="F58" i="10" s="1"/>
  <c r="E58" i="10" a="1"/>
  <c r="E58" i="10" s="1"/>
  <c r="D58" i="10" a="1"/>
  <c r="D58" i="10" s="1"/>
  <c r="P57" i="10" a="1"/>
  <c r="P57" i="10" s="1"/>
  <c r="O57" i="10" a="1"/>
  <c r="O57" i="10" s="1"/>
  <c r="N57" i="10" a="1"/>
  <c r="N57" i="10" s="1"/>
  <c r="M57" i="10" a="1"/>
  <c r="M57" i="10" s="1"/>
  <c r="L57" i="10" a="1"/>
  <c r="L57" i="10" s="1"/>
  <c r="K57" i="10" a="1"/>
  <c r="K57" i="10" s="1"/>
  <c r="J57" i="10" a="1"/>
  <c r="J57" i="10" s="1"/>
  <c r="I57" i="10" a="1"/>
  <c r="I57" i="10" s="1"/>
  <c r="H57" i="10" a="1"/>
  <c r="H57" i="10" s="1"/>
  <c r="G57" i="10" a="1"/>
  <c r="G57" i="10" s="1"/>
  <c r="F57" i="10" a="1"/>
  <c r="F57" i="10" s="1"/>
  <c r="E57" i="10" a="1"/>
  <c r="E57" i="10" s="1"/>
  <c r="D57" i="10" a="1"/>
  <c r="D57" i="10" s="1"/>
  <c r="P56" i="10" a="1"/>
  <c r="P56" i="10" s="1"/>
  <c r="O56" i="10" a="1"/>
  <c r="O56" i="10" s="1"/>
  <c r="N56" i="10" a="1"/>
  <c r="N56" i="10" s="1"/>
  <c r="M56" i="10" a="1"/>
  <c r="M56" i="10" s="1"/>
  <c r="L56" i="10" a="1"/>
  <c r="L56" i="10" s="1"/>
  <c r="K56" i="10" a="1"/>
  <c r="K56" i="10" s="1"/>
  <c r="J56" i="10" a="1"/>
  <c r="J56" i="10" s="1"/>
  <c r="I56" i="10" a="1"/>
  <c r="I56" i="10" s="1"/>
  <c r="H56" i="10" a="1"/>
  <c r="H56" i="10" s="1"/>
  <c r="G56" i="10" a="1"/>
  <c r="G56" i="10" s="1"/>
  <c r="F56" i="10" a="1"/>
  <c r="F56" i="10" s="1"/>
  <c r="E56" i="10" a="1"/>
  <c r="E56" i="10" s="1"/>
  <c r="D56" i="10" a="1"/>
  <c r="D56" i="10" s="1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P54" i="10" a="1"/>
  <c r="P54" i="10" s="1"/>
  <c r="O54" i="10" a="1"/>
  <c r="O54" i="10" s="1"/>
  <c r="N54" i="10" a="1"/>
  <c r="N54" i="10" s="1"/>
  <c r="M54" i="10" a="1"/>
  <c r="M54" i="10" s="1"/>
  <c r="L54" i="10" a="1"/>
  <c r="L54" i="10" s="1"/>
  <c r="K54" i="10" a="1"/>
  <c r="K54" i="10" s="1"/>
  <c r="J54" i="10" a="1"/>
  <c r="J54" i="10" s="1"/>
  <c r="I54" i="10" a="1"/>
  <c r="I54" i="10" s="1"/>
  <c r="H54" i="10" a="1"/>
  <c r="H54" i="10" s="1"/>
  <c r="G54" i="10" a="1"/>
  <c r="G54" i="10" s="1"/>
  <c r="F54" i="10" a="1"/>
  <c r="F54" i="10"/>
  <c r="E54" i="10" a="1"/>
  <c r="E54" i="10" s="1"/>
  <c r="D54" i="10" a="1"/>
  <c r="D54" i="10" s="1"/>
  <c r="P53" i="10" a="1"/>
  <c r="P53" i="10" s="1"/>
  <c r="O53" i="10" a="1"/>
  <c r="O53" i="10" s="1"/>
  <c r="N53" i="10" a="1"/>
  <c r="N53" i="10" s="1"/>
  <c r="M53" i="10" a="1"/>
  <c r="M53" i="10" s="1"/>
  <c r="L53" i="10" a="1"/>
  <c r="L53" i="10" s="1"/>
  <c r="K53" i="10" a="1"/>
  <c r="K53" i="10" s="1"/>
  <c r="J53" i="10" a="1"/>
  <c r="J53" i="10" s="1"/>
  <c r="I53" i="10" a="1"/>
  <c r="I53" i="10" s="1"/>
  <c r="H53" i="10" a="1"/>
  <c r="H53" i="10" s="1"/>
  <c r="G53" i="10" a="1"/>
  <c r="G53" i="10" s="1"/>
  <c r="F53" i="10" a="1"/>
  <c r="F53" i="10" s="1"/>
  <c r="E53" i="10" a="1"/>
  <c r="E53" i="10" s="1"/>
  <c r="D53" i="10" a="1"/>
  <c r="D53" i="10" s="1"/>
  <c r="P52" i="10" a="1"/>
  <c r="P52" i="10" s="1"/>
  <c r="O52" i="10" a="1"/>
  <c r="O52" i="10" s="1"/>
  <c r="N52" i="10" a="1"/>
  <c r="N52" i="10" s="1"/>
  <c r="M52" i="10" a="1"/>
  <c r="M52" i="10" s="1"/>
  <c r="L52" i="10" a="1"/>
  <c r="L52" i="10" s="1"/>
  <c r="K52" i="10" a="1"/>
  <c r="K52" i="10" s="1"/>
  <c r="J52" i="10" a="1"/>
  <c r="J52" i="10" s="1"/>
  <c r="I52" i="10" a="1"/>
  <c r="I52" i="10" s="1"/>
  <c r="H52" i="10" a="1"/>
  <c r="H52" i="10" s="1"/>
  <c r="G52" i="10" a="1"/>
  <c r="G52" i="10" s="1"/>
  <c r="F52" i="10" a="1"/>
  <c r="F52" i="10" s="1"/>
  <c r="E52" i="10" a="1"/>
  <c r="E52" i="10" s="1"/>
  <c r="D52" i="10" a="1"/>
  <c r="D52" i="10" s="1"/>
  <c r="P51" i="10" a="1"/>
  <c r="P51" i="10" s="1"/>
  <c r="O51" i="10" a="1"/>
  <c r="O51" i="10" s="1"/>
  <c r="N51" i="10" a="1"/>
  <c r="N51" i="10" s="1"/>
  <c r="M51" i="10" a="1"/>
  <c r="M51" i="10" s="1"/>
  <c r="L51" i="10" a="1"/>
  <c r="L51" i="10" s="1"/>
  <c r="K51" i="10" a="1"/>
  <c r="K51" i="10" s="1"/>
  <c r="J51" i="10" a="1"/>
  <c r="J51" i="10" s="1"/>
  <c r="I51" i="10" a="1"/>
  <c r="I51" i="10" s="1"/>
  <c r="H51" i="10" a="1"/>
  <c r="H51" i="10" s="1"/>
  <c r="G51" i="10" a="1"/>
  <c r="G51" i="10" s="1"/>
  <c r="F51" i="10" a="1"/>
  <c r="F51" i="10" s="1"/>
  <c r="E51" i="10" a="1"/>
  <c r="E51" i="10" s="1"/>
  <c r="D51" i="10" a="1"/>
  <c r="D51" i="10" s="1"/>
  <c r="P50" i="10" a="1"/>
  <c r="P50" i="10" s="1"/>
  <c r="O50" i="10" a="1"/>
  <c r="O50" i="10" s="1"/>
  <c r="N50" i="10" a="1"/>
  <c r="N50" i="10" s="1"/>
  <c r="M50" i="10" a="1"/>
  <c r="M50" i="10" s="1"/>
  <c r="L50" i="10" a="1"/>
  <c r="L50" i="10" s="1"/>
  <c r="K50" i="10" a="1"/>
  <c r="K50" i="10" s="1"/>
  <c r="J50" i="10" a="1"/>
  <c r="J50" i="10" s="1"/>
  <c r="I50" i="10" a="1"/>
  <c r="I50" i="10" s="1"/>
  <c r="H50" i="10" a="1"/>
  <c r="H50" i="10" s="1"/>
  <c r="G50" i="10" a="1"/>
  <c r="G50" i="10" s="1"/>
  <c r="F50" i="10" a="1"/>
  <c r="F50" i="10" s="1"/>
  <c r="E50" i="10" a="1"/>
  <c r="E50" i="10" s="1"/>
  <c r="D50" i="10" a="1"/>
  <c r="D50" i="10" s="1"/>
  <c r="P49" i="10" a="1"/>
  <c r="P49" i="10" s="1"/>
  <c r="O49" i="10" a="1"/>
  <c r="O49" i="10" s="1"/>
  <c r="N49" i="10" a="1"/>
  <c r="N49" i="10" s="1"/>
  <c r="M49" i="10" a="1"/>
  <c r="M49" i="10" s="1"/>
  <c r="L49" i="10" a="1"/>
  <c r="L49" i="10" s="1"/>
  <c r="K49" i="10" a="1"/>
  <c r="K49" i="10" s="1"/>
  <c r="J49" i="10" a="1"/>
  <c r="J49" i="10" s="1"/>
  <c r="I49" i="10" a="1"/>
  <c r="I49" i="10" s="1"/>
  <c r="H49" i="10" a="1"/>
  <c r="H49" i="10" s="1"/>
  <c r="G49" i="10" a="1"/>
  <c r="G49" i="10" s="1"/>
  <c r="F49" i="10" a="1"/>
  <c r="F49" i="10" s="1"/>
  <c r="E49" i="10" a="1"/>
  <c r="E49" i="10" s="1"/>
  <c r="D49" i="10" a="1"/>
  <c r="D49" i="10" s="1"/>
  <c r="P48" i="10" a="1"/>
  <c r="P48" i="10" s="1"/>
  <c r="O48" i="10" a="1"/>
  <c r="O48" i="10" s="1"/>
  <c r="N48" i="10" a="1"/>
  <c r="N48" i="10" s="1"/>
  <c r="M48" i="10" a="1"/>
  <c r="M48" i="10" s="1"/>
  <c r="L48" i="10" a="1"/>
  <c r="L48" i="10" s="1"/>
  <c r="K48" i="10" a="1"/>
  <c r="K48" i="10" s="1"/>
  <c r="J48" i="10" a="1"/>
  <c r="J48" i="10" s="1"/>
  <c r="I48" i="10" a="1"/>
  <c r="I48" i="10" s="1"/>
  <c r="H48" i="10" a="1"/>
  <c r="H48" i="10" s="1"/>
  <c r="G48" i="10" a="1"/>
  <c r="G48" i="10" s="1"/>
  <c r="F48" i="10" a="1"/>
  <c r="F48" i="10" s="1"/>
  <c r="E48" i="10" a="1"/>
  <c r="E48" i="10" s="1"/>
  <c r="D48" i="10" a="1"/>
  <c r="D48" i="10" s="1"/>
  <c r="P47" i="10" a="1"/>
  <c r="P47" i="10" s="1"/>
  <c r="O47" i="10" a="1"/>
  <c r="O47" i="10" s="1"/>
  <c r="N47" i="10" a="1"/>
  <c r="N47" i="10" s="1"/>
  <c r="M47" i="10" a="1"/>
  <c r="M47" i="10" s="1"/>
  <c r="L47" i="10" a="1"/>
  <c r="L47" i="10" s="1"/>
  <c r="K47" i="10" a="1"/>
  <c r="K47" i="10" s="1"/>
  <c r="J47" i="10" a="1"/>
  <c r="J47" i="10" s="1"/>
  <c r="I47" i="10" a="1"/>
  <c r="I47" i="10" s="1"/>
  <c r="H47" i="10" a="1"/>
  <c r="H47" i="10" s="1"/>
  <c r="G47" i="10" a="1"/>
  <c r="G47" i="10" s="1"/>
  <c r="F47" i="10" a="1"/>
  <c r="F47" i="10" s="1"/>
  <c r="E47" i="10" a="1"/>
  <c r="E47" i="10" s="1"/>
  <c r="D47" i="10" a="1"/>
  <c r="D47" i="10" s="1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P45" i="10" a="1"/>
  <c r="P45" i="10" s="1"/>
  <c r="O45" i="10" a="1"/>
  <c r="O45" i="10" s="1"/>
  <c r="N45" i="10" a="1"/>
  <c r="N45" i="10" s="1"/>
  <c r="M45" i="10" a="1"/>
  <c r="M45" i="10" s="1"/>
  <c r="L45" i="10" a="1"/>
  <c r="L45" i="10" s="1"/>
  <c r="K45" i="10" a="1"/>
  <c r="K45" i="10" s="1"/>
  <c r="J45" i="10" a="1"/>
  <c r="J45" i="10" s="1"/>
  <c r="I45" i="10" a="1"/>
  <c r="I45" i="10" s="1"/>
  <c r="H45" i="10" a="1"/>
  <c r="H45" i="10" s="1"/>
  <c r="G45" i="10" a="1"/>
  <c r="G45" i="10" s="1"/>
  <c r="F45" i="10" a="1"/>
  <c r="F45" i="10" s="1"/>
  <c r="E45" i="10" a="1"/>
  <c r="E45" i="10" s="1"/>
  <c r="D45" i="10" a="1"/>
  <c r="D45" i="10"/>
  <c r="P44" i="10" a="1"/>
  <c r="P44" i="10" s="1"/>
  <c r="O44" i="10" a="1"/>
  <c r="O44" i="10" s="1"/>
  <c r="N44" i="10" a="1"/>
  <c r="N44" i="10" s="1"/>
  <c r="M44" i="10" a="1"/>
  <c r="M44" i="10" s="1"/>
  <c r="L44" i="10" a="1"/>
  <c r="L44" i="10" s="1"/>
  <c r="K44" i="10" a="1"/>
  <c r="K44" i="10" s="1"/>
  <c r="J44" i="10" a="1"/>
  <c r="J44" i="10" s="1"/>
  <c r="I44" i="10" a="1"/>
  <c r="I44" i="10"/>
  <c r="H44" i="10" a="1"/>
  <c r="H44" i="10" s="1"/>
  <c r="G44" i="10" a="1"/>
  <c r="G44" i="10" s="1"/>
  <c r="F44" i="10" a="1"/>
  <c r="F44" i="10" s="1"/>
  <c r="E44" i="10" a="1"/>
  <c r="E44" i="10" s="1"/>
  <c r="D44" i="10" a="1"/>
  <c r="D44" i="10" s="1"/>
  <c r="P43" i="10" a="1"/>
  <c r="P43" i="10" s="1"/>
  <c r="O43" i="10" a="1"/>
  <c r="O43" i="10" s="1"/>
  <c r="N43" i="10" a="1"/>
  <c r="N43" i="10" s="1"/>
  <c r="M43" i="10" a="1"/>
  <c r="M43" i="10" s="1"/>
  <c r="L43" i="10" a="1"/>
  <c r="L43" i="10" s="1"/>
  <c r="K43" i="10" a="1"/>
  <c r="K43" i="10" s="1"/>
  <c r="J43" i="10" a="1"/>
  <c r="J43" i="10" s="1"/>
  <c r="I43" i="10" a="1"/>
  <c r="I43" i="10" s="1"/>
  <c r="H43" i="10" a="1"/>
  <c r="H43" i="10" s="1"/>
  <c r="G43" i="10" a="1"/>
  <c r="G43" i="10" s="1"/>
  <c r="F43" i="10" a="1"/>
  <c r="F43" i="10" s="1"/>
  <c r="E43" i="10" a="1"/>
  <c r="E43" i="10" s="1"/>
  <c r="D43" i="10" a="1"/>
  <c r="D43" i="10" s="1"/>
  <c r="P42" i="10" a="1"/>
  <c r="P42" i="10" s="1"/>
  <c r="O42" i="10" a="1"/>
  <c r="O42" i="10" s="1"/>
  <c r="N42" i="10" a="1"/>
  <c r="N42" i="10" s="1"/>
  <c r="M42" i="10" a="1"/>
  <c r="M42" i="10" s="1"/>
  <c r="L42" i="10" a="1"/>
  <c r="L42" i="10" s="1"/>
  <c r="K42" i="10" a="1"/>
  <c r="K42" i="10" s="1"/>
  <c r="J42" i="10" a="1"/>
  <c r="J42" i="10" s="1"/>
  <c r="I42" i="10" a="1"/>
  <c r="I42" i="10" s="1"/>
  <c r="H42" i="10" a="1"/>
  <c r="H42" i="10" s="1"/>
  <c r="G42" i="10" a="1"/>
  <c r="G42" i="10"/>
  <c r="F42" i="10" a="1"/>
  <c r="F42" i="10" s="1"/>
  <c r="E42" i="10" a="1"/>
  <c r="E42" i="10" s="1"/>
  <c r="D42" i="10" a="1"/>
  <c r="D42" i="10" s="1"/>
  <c r="P41" i="10" a="1"/>
  <c r="P41" i="10" s="1"/>
  <c r="O41" i="10" a="1"/>
  <c r="O41" i="10" s="1"/>
  <c r="N41" i="10" a="1"/>
  <c r="N41" i="10" s="1"/>
  <c r="M41" i="10" a="1"/>
  <c r="M41" i="10" s="1"/>
  <c r="L41" i="10" a="1"/>
  <c r="L41" i="10" s="1"/>
  <c r="K41" i="10" a="1"/>
  <c r="K41" i="10" s="1"/>
  <c r="J41" i="10" a="1"/>
  <c r="J41" i="10" s="1"/>
  <c r="I41" i="10" a="1"/>
  <c r="I41" i="10" s="1"/>
  <c r="H41" i="10" a="1"/>
  <c r="H41" i="10" s="1"/>
  <c r="G41" i="10" a="1"/>
  <c r="G41" i="10" s="1"/>
  <c r="F41" i="10" a="1"/>
  <c r="F41" i="10"/>
  <c r="E41" i="10" a="1"/>
  <c r="E41" i="10"/>
  <c r="D41" i="10" a="1"/>
  <c r="D41" i="10" s="1"/>
  <c r="P40" i="10" a="1"/>
  <c r="P40" i="10" s="1"/>
  <c r="O40" i="10" a="1"/>
  <c r="O40" i="10" s="1"/>
  <c r="N40" i="10" a="1"/>
  <c r="N40" i="10" s="1"/>
  <c r="M40" i="10" a="1"/>
  <c r="M40" i="10" s="1"/>
  <c r="L40" i="10" a="1"/>
  <c r="L40" i="10" s="1"/>
  <c r="K40" i="10" a="1"/>
  <c r="K40" i="10" s="1"/>
  <c r="J40" i="10" a="1"/>
  <c r="J40" i="10" s="1"/>
  <c r="I40" i="10" a="1"/>
  <c r="I40" i="10" s="1"/>
  <c r="H40" i="10" a="1"/>
  <c r="H40" i="10" s="1"/>
  <c r="G40" i="10" a="1"/>
  <c r="G40" i="10" s="1"/>
  <c r="F40" i="10" a="1"/>
  <c r="F40" i="10" s="1"/>
  <c r="E40" i="10" a="1"/>
  <c r="E40" i="10" s="1"/>
  <c r="D40" i="10" a="1"/>
  <c r="D40" i="10" s="1"/>
  <c r="P39" i="10" a="1"/>
  <c r="P39" i="10" s="1"/>
  <c r="O39" i="10" a="1"/>
  <c r="O39" i="10" s="1"/>
  <c r="N39" i="10" a="1"/>
  <c r="N39" i="10" s="1"/>
  <c r="M39" i="10" a="1"/>
  <c r="M39" i="10" s="1"/>
  <c r="L39" i="10" a="1"/>
  <c r="L39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P38" i="10" a="1"/>
  <c r="P38" i="10" s="1"/>
  <c r="O38" i="10" a="1"/>
  <c r="O38" i="10" s="1"/>
  <c r="N38" i="10" a="1"/>
  <c r="N38" i="10" s="1"/>
  <c r="M38" i="10" a="1"/>
  <c r="M38" i="10" s="1"/>
  <c r="L38" i="10" a="1"/>
  <c r="L38" i="10" s="1"/>
  <c r="K38" i="10" a="1"/>
  <c r="K38" i="10" s="1"/>
  <c r="J38" i="10" a="1"/>
  <c r="J38" i="10" s="1"/>
  <c r="I38" i="10" a="1"/>
  <c r="I38" i="10" s="1"/>
  <c r="H38" i="10" a="1"/>
  <c r="H38" i="10" s="1"/>
  <c r="G38" i="10" a="1"/>
  <c r="G38" i="10" s="1"/>
  <c r="F38" i="10" a="1"/>
  <c r="F38" i="10" s="1"/>
  <c r="E38" i="10" a="1"/>
  <c r="E38" i="10" s="1"/>
  <c r="D38" i="10" a="1"/>
  <c r="D38" i="10" s="1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P36" i="10" a="1"/>
  <c r="P36" i="10" s="1"/>
  <c r="O36" i="10" a="1"/>
  <c r="O36" i="10" s="1"/>
  <c r="N36" i="10" a="1"/>
  <c r="N36" i="10" s="1"/>
  <c r="M36" i="10" a="1"/>
  <c r="M36" i="10" s="1"/>
  <c r="L36" i="10" a="1"/>
  <c r="L36" i="10" s="1"/>
  <c r="K36" i="10" a="1"/>
  <c r="K36" i="10" s="1"/>
  <c r="J36" i="10" a="1"/>
  <c r="J36" i="10" s="1"/>
  <c r="I36" i="10" a="1"/>
  <c r="I36" i="10" s="1"/>
  <c r="H36" i="10" a="1"/>
  <c r="H36" i="10" s="1"/>
  <c r="G36" i="10" a="1"/>
  <c r="G36" i="10" s="1"/>
  <c r="F36" i="10" a="1"/>
  <c r="F36" i="10" s="1"/>
  <c r="E36" i="10" a="1"/>
  <c r="E36" i="10" s="1"/>
  <c r="D36" i="10" a="1"/>
  <c r="D36" i="10" s="1"/>
  <c r="P35" i="10" a="1"/>
  <c r="P35" i="10" s="1"/>
  <c r="O35" i="10" a="1"/>
  <c r="O35" i="10" s="1"/>
  <c r="N35" i="10" a="1"/>
  <c r="N35" i="10" s="1"/>
  <c r="M35" i="10" a="1"/>
  <c r="M35" i="10" s="1"/>
  <c r="L35" i="10" a="1"/>
  <c r="L35" i="10" s="1"/>
  <c r="K35" i="10" a="1"/>
  <c r="K35" i="10" s="1"/>
  <c r="J35" i="10" a="1"/>
  <c r="J35" i="10" s="1"/>
  <c r="I35" i="10" a="1"/>
  <c r="I35" i="10" s="1"/>
  <c r="H35" i="10" a="1"/>
  <c r="H35" i="10" s="1"/>
  <c r="G35" i="10" a="1"/>
  <c r="G35" i="10" s="1"/>
  <c r="F35" i="10" a="1"/>
  <c r="F35" i="10" s="1"/>
  <c r="E35" i="10" a="1"/>
  <c r="E35" i="10" s="1"/>
  <c r="D35" i="10" a="1"/>
  <c r="D35" i="10" s="1"/>
  <c r="P34" i="10" a="1"/>
  <c r="P34" i="10" s="1"/>
  <c r="O34" i="10" a="1"/>
  <c r="O34" i="10" s="1"/>
  <c r="N34" i="10" a="1"/>
  <c r="N34" i="10" s="1"/>
  <c r="M34" i="10" a="1"/>
  <c r="M34" i="10" s="1"/>
  <c r="L34" i="10" a="1"/>
  <c r="L34" i="10" s="1"/>
  <c r="K34" i="10" a="1"/>
  <c r="K34" i="10" s="1"/>
  <c r="J34" i="10" a="1"/>
  <c r="J34" i="10" s="1"/>
  <c r="I34" i="10" a="1"/>
  <c r="I34" i="10" s="1"/>
  <c r="H34" i="10" a="1"/>
  <c r="H34" i="10" s="1"/>
  <c r="G34" i="10" a="1"/>
  <c r="G34" i="10" s="1"/>
  <c r="F34" i="10" a="1"/>
  <c r="F34" i="10" s="1"/>
  <c r="E34" i="10" a="1"/>
  <c r="E34" i="10" s="1"/>
  <c r="D34" i="10" a="1"/>
  <c r="D34" i="10" s="1"/>
  <c r="P33" i="10" a="1"/>
  <c r="P33" i="10" s="1"/>
  <c r="O33" i="10" a="1"/>
  <c r="O33" i="10" s="1"/>
  <c r="N33" i="10" a="1"/>
  <c r="N33" i="10" s="1"/>
  <c r="M33" i="10" a="1"/>
  <c r="M33" i="10" s="1"/>
  <c r="L33" i="10" a="1"/>
  <c r="L33" i="10" s="1"/>
  <c r="K33" i="10" a="1"/>
  <c r="K33" i="10" s="1"/>
  <c r="J33" i="10" a="1"/>
  <c r="J33" i="10" s="1"/>
  <c r="I33" i="10" a="1"/>
  <c r="I33" i="10" s="1"/>
  <c r="H33" i="10" a="1"/>
  <c r="H33" i="10" s="1"/>
  <c r="G33" i="10" a="1"/>
  <c r="G33" i="10" s="1"/>
  <c r="F33" i="10" a="1"/>
  <c r="F33" i="10" s="1"/>
  <c r="E33" i="10" a="1"/>
  <c r="E33" i="10" s="1"/>
  <c r="D33" i="10" a="1"/>
  <c r="D33" i="10" s="1"/>
  <c r="P32" i="10" a="1"/>
  <c r="P32" i="10" s="1"/>
  <c r="O32" i="10" a="1"/>
  <c r="O32" i="10" s="1"/>
  <c r="N32" i="10" a="1"/>
  <c r="N32" i="10" s="1"/>
  <c r="M32" i="10" a="1"/>
  <c r="M32" i="10" s="1"/>
  <c r="L32" i="10" a="1"/>
  <c r="L32" i="10" s="1"/>
  <c r="K32" i="10" a="1"/>
  <c r="K32" i="10" s="1"/>
  <c r="J32" i="10" a="1"/>
  <c r="J32" i="10" s="1"/>
  <c r="I32" i="10" a="1"/>
  <c r="I32" i="10" s="1"/>
  <c r="H32" i="10" a="1"/>
  <c r="H32" i="10" s="1"/>
  <c r="G32" i="10" a="1"/>
  <c r="G32" i="10" s="1"/>
  <c r="F32" i="10" a="1"/>
  <c r="F32" i="10" s="1"/>
  <c r="E32" i="10" a="1"/>
  <c r="E32" i="10" s="1"/>
  <c r="D32" i="10" a="1"/>
  <c r="D32" i="10" s="1"/>
  <c r="P31" i="10" a="1"/>
  <c r="P31" i="10" s="1"/>
  <c r="O31" i="10" a="1"/>
  <c r="O31" i="10" s="1"/>
  <c r="N31" i="10" a="1"/>
  <c r="N31" i="10" s="1"/>
  <c r="M31" i="10" a="1"/>
  <c r="M31" i="10" s="1"/>
  <c r="L31" i="10" a="1"/>
  <c r="L31" i="10" s="1"/>
  <c r="K31" i="10" a="1"/>
  <c r="K31" i="10" s="1"/>
  <c r="J31" i="10" a="1"/>
  <c r="J31" i="10" s="1"/>
  <c r="I31" i="10" a="1"/>
  <c r="I31" i="10" s="1"/>
  <c r="H31" i="10" a="1"/>
  <c r="H31" i="10" s="1"/>
  <c r="G31" i="10" a="1"/>
  <c r="G31" i="10" s="1"/>
  <c r="F31" i="10" a="1"/>
  <c r="F31" i="10" s="1"/>
  <c r="E31" i="10" a="1"/>
  <c r="E31" i="10" s="1"/>
  <c r="D31" i="10" a="1"/>
  <c r="D31" i="10" s="1"/>
  <c r="P30" i="10" a="1"/>
  <c r="P30" i="10" s="1"/>
  <c r="O30" i="10" a="1"/>
  <c r="O30" i="10" s="1"/>
  <c r="N30" i="10" a="1"/>
  <c r="N30" i="10" s="1"/>
  <c r="M30" i="10" a="1"/>
  <c r="M30" i="10" s="1"/>
  <c r="L30" i="10" a="1"/>
  <c r="L30" i="10" s="1"/>
  <c r="K30" i="10" a="1"/>
  <c r="K30" i="10" s="1"/>
  <c r="J30" i="10" a="1"/>
  <c r="J30" i="10" s="1"/>
  <c r="I30" i="10" a="1"/>
  <c r="I30" i="10" s="1"/>
  <c r="H30" i="10" a="1"/>
  <c r="H30" i="10" s="1"/>
  <c r="G30" i="10" a="1"/>
  <c r="G30" i="10" s="1"/>
  <c r="F30" i="10" a="1"/>
  <c r="F30" i="10" s="1"/>
  <c r="E30" i="10" a="1"/>
  <c r="E30" i="10" s="1"/>
  <c r="D30" i="10" a="1"/>
  <c r="D30" i="10" s="1"/>
  <c r="P29" i="10" a="1"/>
  <c r="P29" i="10" s="1"/>
  <c r="O29" i="10" a="1"/>
  <c r="O29" i="10" s="1"/>
  <c r="N29" i="10" a="1"/>
  <c r="N29" i="10" s="1"/>
  <c r="M29" i="10" a="1"/>
  <c r="M29" i="10" s="1"/>
  <c r="L29" i="10" a="1"/>
  <c r="L29" i="10" s="1"/>
  <c r="K29" i="10" a="1"/>
  <c r="K29" i="10" s="1"/>
  <c r="J29" i="10" a="1"/>
  <c r="J29" i="10" s="1"/>
  <c r="I29" i="10" a="1"/>
  <c r="I29" i="10" s="1"/>
  <c r="H29" i="10" a="1"/>
  <c r="H29" i="10" s="1"/>
  <c r="G29" i="10" a="1"/>
  <c r="G29" i="10" s="1"/>
  <c r="F29" i="10" a="1"/>
  <c r="F29" i="10" s="1"/>
  <c r="E29" i="10" a="1"/>
  <c r="E29" i="10" s="1"/>
  <c r="D29" i="10" a="1"/>
  <c r="D29" i="10" s="1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 a="1"/>
  <c r="G27" i="10" s="1"/>
  <c r="F27" i="10" a="1"/>
  <c r="F27" i="10" s="1"/>
  <c r="E27" i="10" a="1"/>
  <c r="E27" i="10" s="1"/>
  <c r="D27" i="10" a="1"/>
  <c r="D27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 a="1"/>
  <c r="G26" i="10" s="1"/>
  <c r="F26" i="10" a="1"/>
  <c r="F26" i="10" s="1"/>
  <c r="E26" i="10" a="1"/>
  <c r="E26" i="10" s="1"/>
  <c r="D26" i="10" a="1"/>
  <c r="D26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 a="1"/>
  <c r="G25" i="10" s="1"/>
  <c r="F25" i="10" a="1"/>
  <c r="F25" i="10" s="1"/>
  <c r="E25" i="10" a="1"/>
  <c r="E25" i="10" s="1"/>
  <c r="D25" i="10" a="1"/>
  <c r="D25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 a="1"/>
  <c r="G24" i="10" s="1"/>
  <c r="F24" i="10" a="1"/>
  <c r="F24" i="10" s="1"/>
  <c r="E24" i="10" a="1"/>
  <c r="E24" i="10" s="1"/>
  <c r="D24" i="10" a="1"/>
  <c r="D24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 a="1"/>
  <c r="G23" i="10" s="1"/>
  <c r="F23" i="10" a="1"/>
  <c r="F23" i="10" s="1"/>
  <c r="E23" i="10" a="1"/>
  <c r="E23" i="10" s="1"/>
  <c r="D23" i="10" a="1"/>
  <c r="D23" i="10" s="1"/>
  <c r="P22" i="10" a="1"/>
  <c r="P22" i="10" s="1"/>
  <c r="O22" i="10" a="1"/>
  <c r="O22" i="10" s="1"/>
  <c r="N22" i="10" a="1"/>
  <c r="N22" i="10" s="1"/>
  <c r="M22" i="10" a="1"/>
  <c r="M22" i="10" s="1"/>
  <c r="L22" i="10" a="1"/>
  <c r="L22" i="10" s="1"/>
  <c r="K22" i="10" a="1"/>
  <c r="K22" i="10" s="1"/>
  <c r="J22" i="10" a="1"/>
  <c r="J22" i="10" s="1"/>
  <c r="I22" i="10" a="1"/>
  <c r="I22" i="10" s="1"/>
  <c r="H22" i="10" a="1"/>
  <c r="H22" i="10" s="1"/>
  <c r="G22" i="10" a="1"/>
  <c r="G22" i="10" s="1"/>
  <c r="F22" i="10" a="1"/>
  <c r="F22" i="10" s="1"/>
  <c r="E22" i="10" a="1"/>
  <c r="E22" i="10" s="1"/>
  <c r="D22" i="10" a="1"/>
  <c r="D22" i="10" s="1"/>
  <c r="P21" i="10" a="1"/>
  <c r="P21" i="10" s="1"/>
  <c r="O21" i="10" a="1"/>
  <c r="O21" i="10" s="1"/>
  <c r="N21" i="10" a="1"/>
  <c r="N21" i="10" s="1"/>
  <c r="M21" i="10" a="1"/>
  <c r="M21" i="10" s="1"/>
  <c r="L21" i="10" a="1"/>
  <c r="L21" i="10" s="1"/>
  <c r="K21" i="10" a="1"/>
  <c r="K21" i="10" s="1"/>
  <c r="J21" i="10" a="1"/>
  <c r="J21" i="10" s="1"/>
  <c r="I21" i="10" a="1"/>
  <c r="I21" i="10" s="1"/>
  <c r="H21" i="10" a="1"/>
  <c r="H21" i="10" s="1"/>
  <c r="G21" i="10" a="1"/>
  <c r="G21" i="10" s="1"/>
  <c r="F21" i="10" a="1"/>
  <c r="F21" i="10" s="1"/>
  <c r="E21" i="10" a="1"/>
  <c r="E21" i="10" s="1"/>
  <c r="D21" i="10" a="1"/>
  <c r="D21" i="10" s="1"/>
  <c r="P20" i="10" a="1"/>
  <c r="P20" i="10" s="1"/>
  <c r="O20" i="10" a="1"/>
  <c r="O20" i="10" s="1"/>
  <c r="N20" i="10" a="1"/>
  <c r="N20" i="10" s="1"/>
  <c r="M20" i="10" a="1"/>
  <c r="M20" i="10" s="1"/>
  <c r="L20" i="10" a="1"/>
  <c r="L20" i="10" s="1"/>
  <c r="K20" i="10" a="1"/>
  <c r="K20" i="10" s="1"/>
  <c r="J20" i="10" a="1"/>
  <c r="J20" i="10" s="1"/>
  <c r="I20" i="10" a="1"/>
  <c r="I20" i="10" s="1"/>
  <c r="H20" i="10" a="1"/>
  <c r="H20" i="10" s="1"/>
  <c r="G20" i="10" a="1"/>
  <c r="G20" i="10" s="1"/>
  <c r="F20" i="10" a="1"/>
  <c r="F20" i="10" s="1"/>
  <c r="E20" i="10" a="1"/>
  <c r="E20" i="10" s="1"/>
  <c r="D20" i="10" a="1"/>
  <c r="D20" i="10" s="1"/>
  <c r="P19" i="10" a="1"/>
  <c r="P19" i="10" s="1"/>
  <c r="O19" i="10" a="1"/>
  <c r="O19" i="10" s="1"/>
  <c r="N19" i="10" a="1"/>
  <c r="N19" i="10" s="1"/>
  <c r="M19" i="10" a="1"/>
  <c r="M19" i="10" s="1"/>
  <c r="L19" i="10" a="1"/>
  <c r="L19" i="10" s="1"/>
  <c r="K19" i="10" a="1"/>
  <c r="K19" i="10" s="1"/>
  <c r="J19" i="10" a="1"/>
  <c r="J19" i="10" s="1"/>
  <c r="I19" i="10" a="1"/>
  <c r="I19" i="10" s="1"/>
  <c r="H19" i="10" a="1"/>
  <c r="H19" i="10" s="1"/>
  <c r="G19" i="10" a="1"/>
  <c r="G19" i="10" s="1"/>
  <c r="F19" i="10" a="1"/>
  <c r="F19" i="10" s="1"/>
  <c r="E19" i="10" a="1"/>
  <c r="E19" i="10" s="1"/>
  <c r="D19" i="10" a="1"/>
  <c r="D19" i="10" s="1"/>
  <c r="P17" i="10" a="1"/>
  <c r="P17" i="10" s="1"/>
  <c r="O17" i="10" a="1"/>
  <c r="O17" i="10" s="1"/>
  <c r="N17" i="10" a="1"/>
  <c r="N17" i="10" s="1"/>
  <c r="M17" i="10" a="1"/>
  <c r="M17" i="10" s="1"/>
  <c r="L17" i="10" a="1"/>
  <c r="L17" i="10" s="1"/>
  <c r="K17" i="10" a="1"/>
  <c r="K17" i="10" s="1"/>
  <c r="J17" i="10" a="1"/>
  <c r="J17" i="10" s="1"/>
  <c r="I17" i="10" a="1"/>
  <c r="I17" i="10" s="1"/>
  <c r="H17" i="10" a="1"/>
  <c r="H17" i="10" s="1"/>
  <c r="G17" i="10" a="1"/>
  <c r="G17" i="10" s="1"/>
  <c r="F17" i="10" a="1"/>
  <c r="F17" i="10" s="1"/>
  <c r="E17" i="10" a="1"/>
  <c r="E17" i="10" s="1"/>
  <c r="D17" i="10" a="1"/>
  <c r="D17" i="10" s="1"/>
  <c r="P16" i="10" a="1"/>
  <c r="P16" i="10" s="1"/>
  <c r="O16" i="10" a="1"/>
  <c r="O16" i="10" s="1"/>
  <c r="N16" i="10" a="1"/>
  <c r="N16" i="10" s="1"/>
  <c r="M16" i="10" a="1"/>
  <c r="M16" i="10" s="1"/>
  <c r="L16" i="10" a="1"/>
  <c r="L16" i="10" s="1"/>
  <c r="K16" i="10" a="1"/>
  <c r="K16" i="10" s="1"/>
  <c r="J16" i="10" a="1"/>
  <c r="J16" i="10" s="1"/>
  <c r="I16" i="10" a="1"/>
  <c r="I16" i="10" s="1"/>
  <c r="H16" i="10" a="1"/>
  <c r="H16" i="10" s="1"/>
  <c r="G16" i="10" a="1"/>
  <c r="G16" i="10" s="1"/>
  <c r="F16" i="10" a="1"/>
  <c r="F16" i="10" s="1"/>
  <c r="E16" i="10" a="1"/>
  <c r="E16" i="10" s="1"/>
  <c r="D16" i="10" a="1"/>
  <c r="D16" i="10" s="1"/>
  <c r="P15" i="10" a="1"/>
  <c r="P15" i="10" s="1"/>
  <c r="O15" i="10" a="1"/>
  <c r="O15" i="10" s="1"/>
  <c r="N15" i="10" a="1"/>
  <c r="N15" i="10" s="1"/>
  <c r="M15" i="10" a="1"/>
  <c r="M15" i="10" s="1"/>
  <c r="L15" i="10" a="1"/>
  <c r="L15" i="10" s="1"/>
  <c r="K15" i="10" a="1"/>
  <c r="K15" i="10" s="1"/>
  <c r="J15" i="10" a="1"/>
  <c r="J15" i="10" s="1"/>
  <c r="I15" i="10" a="1"/>
  <c r="I15" i="10" s="1"/>
  <c r="H15" i="10" a="1"/>
  <c r="H15" i="10" s="1"/>
  <c r="G15" i="10" a="1"/>
  <c r="G15" i="10" s="1"/>
  <c r="F15" i="10" a="1"/>
  <c r="F15" i="10" s="1"/>
  <c r="E15" i="10" a="1"/>
  <c r="E15" i="10" s="1"/>
  <c r="D15" i="10" a="1"/>
  <c r="D15" i="10" s="1"/>
  <c r="P14" i="10" a="1"/>
  <c r="P14" i="10" s="1"/>
  <c r="O14" i="10" a="1"/>
  <c r="O14" i="10" s="1"/>
  <c r="N14" i="10" a="1"/>
  <c r="N14" i="10" s="1"/>
  <c r="M14" i="10" a="1"/>
  <c r="M14" i="10" s="1"/>
  <c r="L14" i="10" a="1"/>
  <c r="L14" i="10" s="1"/>
  <c r="K14" i="10" a="1"/>
  <c r="K14" i="10" s="1"/>
  <c r="J14" i="10" a="1"/>
  <c r="J14" i="10" s="1"/>
  <c r="I14" i="10" a="1"/>
  <c r="I14" i="10" s="1"/>
  <c r="H14" i="10" a="1"/>
  <c r="H14" i="10" s="1"/>
  <c r="G14" i="10" a="1"/>
  <c r="G14" i="10" s="1"/>
  <c r="F14" i="10" a="1"/>
  <c r="F14" i="10" s="1"/>
  <c r="E14" i="10" a="1"/>
  <c r="E14" i="10" s="1"/>
  <c r="D14" i="10" a="1"/>
  <c r="D14" i="10" s="1"/>
  <c r="P13" i="10" a="1"/>
  <c r="P13" i="10" s="1"/>
  <c r="O13" i="10" a="1"/>
  <c r="O13" i="10" s="1"/>
  <c r="N13" i="10" a="1"/>
  <c r="N13" i="10" s="1"/>
  <c r="M13" i="10" a="1"/>
  <c r="M13" i="10" s="1"/>
  <c r="L13" i="10" a="1"/>
  <c r="L13" i="10" s="1"/>
  <c r="K13" i="10" a="1"/>
  <c r="K13" i="10" s="1"/>
  <c r="J13" i="10" a="1"/>
  <c r="J13" i="10" s="1"/>
  <c r="I13" i="10" a="1"/>
  <c r="I13" i="10" s="1"/>
  <c r="H13" i="10" a="1"/>
  <c r="H13" i="10" s="1"/>
  <c r="G13" i="10" a="1"/>
  <c r="G13" i="10" s="1"/>
  <c r="F13" i="10" a="1"/>
  <c r="F13" i="10" s="1"/>
  <c r="E13" i="10" a="1"/>
  <c r="E13" i="10" s="1"/>
  <c r="D13" i="10" a="1"/>
  <c r="D13" i="10" s="1"/>
  <c r="P12" i="10" a="1"/>
  <c r="P12" i="10" s="1"/>
  <c r="O12" i="10" a="1"/>
  <c r="O12" i="10" s="1"/>
  <c r="N12" i="10" a="1"/>
  <c r="N12" i="10" s="1"/>
  <c r="M12" i="10" a="1"/>
  <c r="M12" i="10" s="1"/>
  <c r="L12" i="10" a="1"/>
  <c r="L12" i="10" s="1"/>
  <c r="K12" i="10" a="1"/>
  <c r="K12" i="10" s="1"/>
  <c r="J12" i="10" a="1"/>
  <c r="J12" i="10" s="1"/>
  <c r="I12" i="10" a="1"/>
  <c r="I12" i="10" s="1"/>
  <c r="H12" i="10" a="1"/>
  <c r="H12" i="10" s="1"/>
  <c r="G12" i="10" a="1"/>
  <c r="G12" i="10" s="1"/>
  <c r="F12" i="10" a="1"/>
  <c r="F12" i="10" s="1"/>
  <c r="E12" i="10" a="1"/>
  <c r="E12" i="10" s="1"/>
  <c r="D12" i="10" a="1"/>
  <c r="D12" i="10" s="1"/>
  <c r="P11" i="10" a="1"/>
  <c r="P11" i="10" s="1"/>
  <c r="O11" i="10" a="1"/>
  <c r="O11" i="10" s="1"/>
  <c r="N11" i="10" a="1"/>
  <c r="N11" i="10" s="1"/>
  <c r="M11" i="10" a="1"/>
  <c r="M11" i="10" s="1"/>
  <c r="L11" i="10" a="1"/>
  <c r="L11" i="10" s="1"/>
  <c r="K11" i="10" a="1"/>
  <c r="K11" i="10" s="1"/>
  <c r="J11" i="10" a="1"/>
  <c r="J11" i="10" s="1"/>
  <c r="I11" i="10" a="1"/>
  <c r="I11" i="10" s="1"/>
  <c r="H11" i="10" a="1"/>
  <c r="H11" i="10" s="1"/>
  <c r="G11" i="10" a="1"/>
  <c r="G11" i="10" s="1"/>
  <c r="F11" i="10" a="1"/>
  <c r="F11" i="10" s="1"/>
  <c r="E11" i="10" a="1"/>
  <c r="E11" i="10" s="1"/>
  <c r="D11" i="10" a="1"/>
  <c r="D11" i="10" s="1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P9" i="10" a="1"/>
  <c r="P9" i="10" s="1"/>
  <c r="O9" i="10" a="1"/>
  <c r="O9" i="10"/>
  <c r="N9" i="10" a="1"/>
  <c r="N9" i="10" s="1"/>
  <c r="M9" i="10" a="1"/>
  <c r="M9" i="10"/>
  <c r="L9" i="10" a="1"/>
  <c r="L9" i="10" s="1"/>
  <c r="K9" i="10" a="1"/>
  <c r="K9" i="10"/>
  <c r="J9" i="10" a="1"/>
  <c r="J9" i="10" s="1"/>
  <c r="I9" i="10" a="1"/>
  <c r="I9" i="10" s="1"/>
  <c r="H9" i="10" a="1"/>
  <c r="H9" i="10" s="1"/>
  <c r="G9" i="10" a="1"/>
  <c r="G9" i="10" s="1"/>
  <c r="F9" i="10" a="1"/>
  <c r="F9" i="10" s="1"/>
  <c r="E9" i="10" a="1"/>
  <c r="E9" i="10"/>
  <c r="D9" i="10" a="1"/>
  <c r="D9" i="10"/>
  <c r="P8" i="10" a="1"/>
  <c r="P8" i="10" s="1"/>
  <c r="O8" i="10" a="1"/>
  <c r="O8" i="10" s="1"/>
  <c r="N8" i="10" a="1"/>
  <c r="N8" i="10"/>
  <c r="M8" i="10" a="1"/>
  <c r="M8" i="10" s="1"/>
  <c r="L8" i="10" a="1"/>
  <c r="L8" i="10" s="1"/>
  <c r="K8" i="10" a="1"/>
  <c r="K8" i="10" s="1"/>
  <c r="J8" i="10" a="1"/>
  <c r="J8" i="10"/>
  <c r="I8" i="10" a="1"/>
  <c r="I8" i="10"/>
  <c r="H8" i="10" a="1"/>
  <c r="H8" i="10"/>
  <c r="G8" i="10" a="1"/>
  <c r="G8" i="10" s="1"/>
  <c r="F8" i="10" a="1"/>
  <c r="F8" i="10" s="1"/>
  <c r="E8" i="10" a="1"/>
  <c r="E8" i="10"/>
  <c r="D8" i="10" a="1"/>
  <c r="D8" i="10" s="1"/>
  <c r="P7" i="10" a="1"/>
  <c r="P7" i="10" s="1"/>
  <c r="O7" i="10" a="1"/>
  <c r="O7" i="10" s="1"/>
  <c r="N7" i="10" a="1"/>
  <c r="N7" i="10" s="1"/>
  <c r="M7" i="10" a="1"/>
  <c r="M7" i="10" s="1"/>
  <c r="L7" i="10" a="1"/>
  <c r="L7" i="10"/>
  <c r="K7" i="10" a="1"/>
  <c r="K7" i="10" s="1"/>
  <c r="J7" i="10" a="1"/>
  <c r="J7" i="10" s="1"/>
  <c r="I7" i="10" a="1"/>
  <c r="I7" i="10" s="1"/>
  <c r="H7" i="10" a="1"/>
  <c r="H7" i="10" s="1"/>
  <c r="G7" i="10" a="1"/>
  <c r="G7" i="10"/>
  <c r="F7" i="10" a="1"/>
  <c r="F7" i="10" s="1"/>
  <c r="E7" i="10" a="1"/>
  <c r="E7" i="10"/>
  <c r="D7" i="10" a="1"/>
  <c r="D7" i="10" s="1"/>
  <c r="P6" i="10" a="1"/>
  <c r="P6" i="10" s="1"/>
  <c r="O6" i="10" a="1"/>
  <c r="O6" i="10" s="1"/>
  <c r="N6" i="10" a="1"/>
  <c r="N6" i="10" s="1"/>
  <c r="M6" i="10" a="1"/>
  <c r="M6" i="10" s="1"/>
  <c r="L6" i="10" a="1"/>
  <c r="L6" i="10" s="1"/>
  <c r="K6" i="10" a="1"/>
  <c r="K6" i="10" s="1"/>
  <c r="J6" i="10" a="1"/>
  <c r="J6" i="10" s="1"/>
  <c r="I6" i="10" a="1"/>
  <c r="I6" i="10" s="1"/>
  <c r="H6" i="10" a="1"/>
  <c r="H6" i="10"/>
  <c r="G6" i="10" a="1"/>
  <c r="G6" i="10" s="1"/>
  <c r="F6" i="10" a="1"/>
  <c r="F6" i="10" s="1"/>
  <c r="E6" i="10" a="1"/>
  <c r="E6" i="10" s="1"/>
  <c r="D6" i="10" a="1"/>
  <c r="D6" i="10" s="1"/>
  <c r="P5" i="10" a="1"/>
  <c r="P5" i="10" s="1"/>
  <c r="O5" i="10" a="1"/>
  <c r="O5" i="10" s="1"/>
  <c r="N5" i="10" a="1"/>
  <c r="N5" i="10" s="1"/>
  <c r="M5" i="10" a="1"/>
  <c r="M5" i="10" s="1"/>
  <c r="L5" i="10" a="1"/>
  <c r="L5" i="10" s="1"/>
  <c r="K5" i="10" a="1"/>
  <c r="K5" i="10" s="1"/>
  <c r="J5" i="10" a="1"/>
  <c r="J5" i="10" s="1"/>
  <c r="I5" i="10" a="1"/>
  <c r="I5" i="10" s="1"/>
  <c r="H5" i="10" a="1"/>
  <c r="H5" i="10" s="1"/>
  <c r="G5" i="10" a="1"/>
  <c r="G5" i="10" s="1"/>
  <c r="F5" i="10" a="1"/>
  <c r="F5" i="10" s="1"/>
  <c r="E5" i="10" a="1"/>
  <c r="E5" i="10" s="1"/>
  <c r="D5" i="10" a="1"/>
  <c r="D5" i="10" s="1"/>
  <c r="P4" i="10" a="1"/>
  <c r="P4" i="10" s="1"/>
  <c r="O4" i="10" a="1"/>
  <c r="O4" i="10" s="1"/>
  <c r="N4" i="10" a="1"/>
  <c r="N4" i="10" s="1"/>
  <c r="M4" i="10" a="1"/>
  <c r="M4" i="10" s="1"/>
  <c r="L4" i="10" a="1"/>
  <c r="L4" i="10" s="1"/>
  <c r="K4" i="10" a="1"/>
  <c r="K4" i="10" s="1"/>
  <c r="J4" i="10" a="1"/>
  <c r="J4" i="10" s="1"/>
  <c r="I4" i="10" a="1"/>
  <c r="I4" i="10" s="1"/>
  <c r="H4" i="10" a="1"/>
  <c r="H4" i="10" s="1"/>
  <c r="G4" i="10" a="1"/>
  <c r="G4" i="10" s="1"/>
  <c r="F4" i="10" a="1"/>
  <c r="F4" i="10" s="1"/>
  <c r="E4" i="10" a="1"/>
  <c r="E4" i="10" s="1"/>
  <c r="D4" i="10" a="1"/>
  <c r="D4" i="10" s="1"/>
  <c r="P3" i="10" a="1"/>
  <c r="P3" i="10" s="1"/>
  <c r="O3" i="10" a="1"/>
  <c r="O3" i="10" s="1"/>
  <c r="N3" i="10" a="1"/>
  <c r="N3" i="10" s="1"/>
  <c r="M3" i="10" a="1"/>
  <c r="M3" i="10" s="1"/>
  <c r="L3" i="10" a="1"/>
  <c r="L3" i="10" s="1"/>
  <c r="K3" i="10" a="1"/>
  <c r="K3" i="10" s="1"/>
  <c r="J3" i="10" a="1"/>
  <c r="J3" i="10" s="1"/>
  <c r="I3" i="10" a="1"/>
  <c r="I3" i="10" s="1"/>
  <c r="H3" i="10" a="1"/>
  <c r="H3" i="10" s="1"/>
  <c r="G3" i="10" a="1"/>
  <c r="G3" i="10" s="1"/>
  <c r="F3" i="10" a="1"/>
  <c r="F3" i="10" s="1"/>
  <c r="E3" i="10" a="1"/>
  <c r="E3" i="10" s="1"/>
  <c r="D3" i="10" a="1"/>
  <c r="D3" i="10" s="1"/>
  <c r="P2" i="10" a="1"/>
  <c r="P2" i="10" s="1"/>
  <c r="O2" i="10" a="1"/>
  <c r="O2" i="10" s="1"/>
  <c r="N2" i="10" a="1"/>
  <c r="N2" i="10" s="1"/>
  <c r="M2" i="10" a="1"/>
  <c r="M2" i="10" s="1"/>
  <c r="L2" i="10" a="1"/>
  <c r="L2" i="10" s="1"/>
  <c r="K2" i="10" a="1"/>
  <c r="K2" i="10" s="1"/>
  <c r="J2" i="10" a="1"/>
  <c r="J2" i="10" s="1"/>
  <c r="I2" i="10" a="1"/>
  <c r="I2" i="10" s="1"/>
  <c r="H2" i="10" a="1"/>
  <c r="H2" i="10" s="1"/>
  <c r="G2" i="10" a="1"/>
  <c r="G2" i="10" s="1"/>
  <c r="F2" i="10" a="1"/>
  <c r="F2" i="10" s="1"/>
  <c r="E2" i="10" a="1"/>
  <c r="E2" i="10" s="1"/>
  <c r="D2" i="10" a="1"/>
  <c r="D2" i="10" s="1"/>
  <c r="C73" i="10"/>
  <c r="C64" i="10"/>
  <c r="C55" i="10"/>
  <c r="C46" i="10"/>
  <c r="C37" i="10"/>
  <c r="C28" i="10"/>
  <c r="C10" i="10"/>
  <c r="I84" i="10"/>
  <c r="I87" i="10"/>
  <c r="I90" i="10"/>
  <c r="I93" i="10"/>
  <c r="I96" i="10"/>
  <c r="I99" i="10"/>
  <c r="I102" i="10"/>
  <c r="C65" i="10" a="1"/>
  <c r="C65" i="10" s="1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C71" i="10" a="1"/>
  <c r="C71" i="10" s="1"/>
  <c r="C72" i="10" a="1"/>
  <c r="C72" i="10" s="1"/>
  <c r="C56" i="10" a="1"/>
  <c r="C56" i="10" s="1"/>
  <c r="C57" i="10" a="1"/>
  <c r="C57" i="10" s="1"/>
  <c r="C58" i="10" a="1"/>
  <c r="C58" i="10" s="1"/>
  <c r="C59" i="10" a="1"/>
  <c r="C59" i="10" s="1"/>
  <c r="C60" i="10" a="1"/>
  <c r="C60" i="10" s="1"/>
  <c r="C61" i="10" a="1"/>
  <c r="C61" i="10" s="1"/>
  <c r="C62" i="10" a="1"/>
  <c r="C62" i="10" s="1"/>
  <c r="C63" i="10" a="1"/>
  <c r="C63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4" i="10" a="1"/>
  <c r="C54" i="10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1" i="10" a="1"/>
  <c r="C11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 s="1"/>
  <c r="C44" i="10" a="1"/>
  <c r="C44" i="10" s="1"/>
  <c r="C45" i="10" a="1"/>
  <c r="C45" i="10" s="1"/>
  <c r="C29" i="10" a="1"/>
  <c r="C29" i="10" s="1"/>
  <c r="C30" i="10" a="1"/>
  <c r="C30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27" i="10" a="1"/>
  <c r="C27" i="10" s="1"/>
  <c r="C26" i="10" a="1"/>
  <c r="C26" i="10" s="1"/>
  <c r="C25" i="10" a="1"/>
  <c r="C25" i="10" s="1"/>
  <c r="C24" i="10" a="1"/>
  <c r="C24" i="10" s="1"/>
  <c r="C23" i="10" a="1"/>
  <c r="C23" i="10" s="1"/>
  <c r="C22" i="10" a="1"/>
  <c r="C22" i="10" s="1"/>
  <c r="C21" i="10" a="1"/>
  <c r="C21" i="10" s="1"/>
  <c r="C20" i="10" a="1"/>
  <c r="C20" i="10" s="1"/>
  <c r="C19" i="10" a="1"/>
  <c r="C19" i="10" s="1"/>
  <c r="C17" i="10" a="1"/>
  <c r="C17" i="10" s="1"/>
  <c r="C16" i="10" a="1"/>
  <c r="C16" i="10" s="1"/>
  <c r="C15" i="10" a="1"/>
  <c r="C15" i="10" s="1"/>
  <c r="C14" i="10" a="1"/>
  <c r="C14" i="10" s="1"/>
  <c r="C13" i="10" a="1"/>
  <c r="C13" i="10" s="1"/>
  <c r="C12" i="10" a="1"/>
  <c r="C1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<sst xmlns="http://schemas.openxmlformats.org/spreadsheetml/2006/main" count="3750" uniqueCount="246">
  <si>
    <t>Species</t>
  </si>
  <si>
    <t>Barcode</t>
  </si>
  <si>
    <t>State</t>
  </si>
  <si>
    <t>Variegation</t>
  </si>
  <si>
    <t>Long_petiole_hair</t>
  </si>
  <si>
    <t>Short_petiole_hair</t>
  </si>
  <si>
    <t>Upper_lamina_hair</t>
  </si>
  <si>
    <t>Tooth_length</t>
  </si>
  <si>
    <t>Tooth_Width</t>
  </si>
  <si>
    <t>Flower_length</t>
  </si>
  <si>
    <t>Hypanthium_long</t>
  </si>
  <si>
    <t>Hypanthium_short</t>
  </si>
  <si>
    <t>Flower_width</t>
  </si>
  <si>
    <t>Stamen_length</t>
  </si>
  <si>
    <t>Style_length</t>
  </si>
  <si>
    <t>Pedicel_lengths</t>
  </si>
  <si>
    <t>Cymule_branches</t>
  </si>
  <si>
    <t>Thyrse_length</t>
  </si>
  <si>
    <t>AMERICANA</t>
  </si>
  <si>
    <t>E1450</t>
  </si>
  <si>
    <t>Georgia</t>
  </si>
  <si>
    <t>None</t>
  </si>
  <si>
    <t>E1454</t>
  </si>
  <si>
    <t>E1456</t>
  </si>
  <si>
    <t>Low</t>
  </si>
  <si>
    <t>Medium</t>
  </si>
  <si>
    <t>E1870</t>
  </si>
  <si>
    <t>North Carolina</t>
  </si>
  <si>
    <t>E1857</t>
  </si>
  <si>
    <t>E1900</t>
  </si>
  <si>
    <t>E36</t>
  </si>
  <si>
    <t>South Carolina</t>
  </si>
  <si>
    <t>E1419</t>
  </si>
  <si>
    <t>E1422</t>
  </si>
  <si>
    <t>E1519</t>
  </si>
  <si>
    <t>A8</t>
  </si>
  <si>
    <t>BREVIPETALA</t>
  </si>
  <si>
    <t>E1457</t>
  </si>
  <si>
    <t>Kentucky</t>
  </si>
  <si>
    <t>High</t>
  </si>
  <si>
    <t>E1458</t>
  </si>
  <si>
    <t>E1682</t>
  </si>
  <si>
    <t>New Jersey</t>
  </si>
  <si>
    <t>E1687</t>
  </si>
  <si>
    <t>Oklahoma</t>
  </si>
  <si>
    <t>E523</t>
  </si>
  <si>
    <t>Pennsylvania</t>
  </si>
  <si>
    <t>E1691</t>
  </si>
  <si>
    <t>E1689</t>
  </si>
  <si>
    <t>E1476</t>
  </si>
  <si>
    <t>Tennessee</t>
  </si>
  <si>
    <t>E1692</t>
  </si>
  <si>
    <t>Texas</t>
  </si>
  <si>
    <t>E1517</t>
  </si>
  <si>
    <t>Arkansas</t>
  </si>
  <si>
    <t>E1518</t>
  </si>
  <si>
    <t>E1465</t>
  </si>
  <si>
    <t>E443</t>
  </si>
  <si>
    <t>E1464</t>
  </si>
  <si>
    <t>E520</t>
  </si>
  <si>
    <t>Louisiana</t>
  </si>
  <si>
    <t>E1520</t>
  </si>
  <si>
    <t>5/939</t>
  </si>
  <si>
    <t>E1521</t>
  </si>
  <si>
    <t>Maryland</t>
  </si>
  <si>
    <t>E1469</t>
  </si>
  <si>
    <t>E1474</t>
  </si>
  <si>
    <t>E1471</t>
  </si>
  <si>
    <t>E1473</t>
  </si>
  <si>
    <t>E494</t>
  </si>
  <si>
    <t>E491</t>
  </si>
  <si>
    <t>E512</t>
  </si>
  <si>
    <t>E518</t>
  </si>
  <si>
    <t>A36</t>
  </si>
  <si>
    <t>A34-1</t>
  </si>
  <si>
    <t>A33-6</t>
  </si>
  <si>
    <t>MF5339</t>
  </si>
  <si>
    <t>Mississippi</t>
  </si>
  <si>
    <t>A29-3</t>
  </si>
  <si>
    <t>A28-3</t>
  </si>
  <si>
    <t>A10-2</t>
  </si>
  <si>
    <t>Indiana</t>
  </si>
  <si>
    <t>H246</t>
  </si>
  <si>
    <t>A29-1</t>
  </si>
  <si>
    <t>A35-1</t>
  </si>
  <si>
    <t>CALYCOSA</t>
  </si>
  <si>
    <t>E8</t>
  </si>
  <si>
    <t>Alabama</t>
  </si>
  <si>
    <t>E9</t>
  </si>
  <si>
    <t>E15</t>
  </si>
  <si>
    <t>E1579</t>
  </si>
  <si>
    <t>E502</t>
  </si>
  <si>
    <t>E522</t>
  </si>
  <si>
    <t>E514</t>
  </si>
  <si>
    <t>E515</t>
  </si>
  <si>
    <t>E1578</t>
  </si>
  <si>
    <t>A3</t>
  </si>
  <si>
    <t>A2</t>
  </si>
  <si>
    <t>A1</t>
  </si>
  <si>
    <t>FUMOSIMONTANA</t>
  </si>
  <si>
    <t>A55</t>
  </si>
  <si>
    <t>A55_2</t>
  </si>
  <si>
    <t>A63</t>
  </si>
  <si>
    <t>A62</t>
  </si>
  <si>
    <t>GRAYANA</t>
  </si>
  <si>
    <t>E1710</t>
  </si>
  <si>
    <t>E542</t>
  </si>
  <si>
    <t>Illinois</t>
  </si>
  <si>
    <t>E640</t>
  </si>
  <si>
    <t>E641</t>
  </si>
  <si>
    <t>E1796</t>
  </si>
  <si>
    <t>E1781</t>
  </si>
  <si>
    <t>Iowa</t>
  </si>
  <si>
    <t>E1787</t>
  </si>
  <si>
    <t>E1785</t>
  </si>
  <si>
    <t>E544</t>
  </si>
  <si>
    <t>Kansas</t>
  </si>
  <si>
    <t>E1797</t>
  </si>
  <si>
    <t>E1799</t>
  </si>
  <si>
    <t>Missouri</t>
  </si>
  <si>
    <t>E1800</t>
  </si>
  <si>
    <t>E1804</t>
  </si>
  <si>
    <t>E1789</t>
  </si>
  <si>
    <t>Wisconsin</t>
  </si>
  <si>
    <t>E1790</t>
  </si>
  <si>
    <t>E1791</t>
  </si>
  <si>
    <t>A16-1</t>
  </si>
  <si>
    <t>RICHARDSONII</t>
  </si>
  <si>
    <t>A64</t>
  </si>
  <si>
    <t>Minnesota</t>
  </si>
  <si>
    <t>HIRSUTICAULIS</t>
  </si>
  <si>
    <t>E501</t>
  </si>
  <si>
    <t>E1528</t>
  </si>
  <si>
    <t>E1526</t>
  </si>
  <si>
    <t>E1698</t>
  </si>
  <si>
    <t>E1697</t>
  </si>
  <si>
    <t>E1695</t>
  </si>
  <si>
    <t>E1700</t>
  </si>
  <si>
    <t>E1702</t>
  </si>
  <si>
    <t>E1699</t>
  </si>
  <si>
    <t>E1536</t>
  </si>
  <si>
    <t>E1459</t>
  </si>
  <si>
    <t>E1537</t>
  </si>
  <si>
    <t>E513</t>
  </si>
  <si>
    <t>E1706</t>
  </si>
  <si>
    <t>E503</t>
  </si>
  <si>
    <t>E1711</t>
  </si>
  <si>
    <t>E441</t>
  </si>
  <si>
    <t>E442</t>
  </si>
  <si>
    <t>E1543</t>
  </si>
  <si>
    <t>E1795</t>
  </si>
  <si>
    <t>E1801</t>
  </si>
  <si>
    <t>A32-1</t>
  </si>
  <si>
    <t>A40-2</t>
  </si>
  <si>
    <t>A38-2</t>
  </si>
  <si>
    <t>A39-1</t>
  </si>
  <si>
    <t>A47-3</t>
  </si>
  <si>
    <t>A49-12</t>
  </si>
  <si>
    <t>A49-11</t>
  </si>
  <si>
    <t>A41-1</t>
  </si>
  <si>
    <t>A13-2</t>
  </si>
  <si>
    <t>A14</t>
  </si>
  <si>
    <t>A15-1</t>
  </si>
  <si>
    <t>A42</t>
  </si>
  <si>
    <t>A43</t>
  </si>
  <si>
    <t>A44-1</t>
  </si>
  <si>
    <t>A46-2</t>
  </si>
  <si>
    <t>A48</t>
  </si>
  <si>
    <t>A9-2</t>
  </si>
  <si>
    <t>HISPIDA</t>
  </si>
  <si>
    <t>E1522</t>
  </si>
  <si>
    <t>E1573</t>
  </si>
  <si>
    <t>E1926</t>
  </si>
  <si>
    <t>E1927</t>
  </si>
  <si>
    <t>E1928</t>
  </si>
  <si>
    <t>E1574</t>
  </si>
  <si>
    <t>West Virginia</t>
  </si>
  <si>
    <t>E1575</t>
  </si>
  <si>
    <t>E1577</t>
  </si>
  <si>
    <t>E1552</t>
  </si>
  <si>
    <t>Virginia</t>
  </si>
  <si>
    <t>E1572</t>
  </si>
  <si>
    <t>E1553</t>
  </si>
  <si>
    <t>E1794</t>
  </si>
  <si>
    <t>Colorado</t>
  </si>
  <si>
    <t>E1798</t>
  </si>
  <si>
    <t>E1802</t>
  </si>
  <si>
    <t>North Dakota</t>
  </si>
  <si>
    <t>E1803</t>
  </si>
  <si>
    <t>E639</t>
  </si>
  <si>
    <t>Saskatchewan</t>
  </si>
  <si>
    <t>E1805</t>
  </si>
  <si>
    <t>South Dakota</t>
  </si>
  <si>
    <t>A17-1</t>
  </si>
  <si>
    <t>H105</t>
  </si>
  <si>
    <t>I82</t>
  </si>
  <si>
    <t>Alberta</t>
  </si>
  <si>
    <t>A21-1</t>
  </si>
  <si>
    <t>BREVIPETALA Q1</t>
  </si>
  <si>
    <t>BREVIPETALA Q2</t>
  </si>
  <si>
    <t>BREVIPETALA Q3</t>
  </si>
  <si>
    <t>BREVIPETALA IQR</t>
  </si>
  <si>
    <t>BREVIPETALA lower bound outliers</t>
  </si>
  <si>
    <t>BREVIPETALA upper bound outliers</t>
  </si>
  <si>
    <t>BREVIPETALA Max (excluding blanks)</t>
  </si>
  <si>
    <t>BREVIPETALA Min (excluding blanks)</t>
  </si>
  <si>
    <t>BREVIPETALA Suggested bounds</t>
  </si>
  <si>
    <t>CALYCOSA Q1</t>
  </si>
  <si>
    <t>CALYCOSA Q2</t>
  </si>
  <si>
    <t>CALYCOSA Q3</t>
  </si>
  <si>
    <t>CALYCOSA IQR</t>
  </si>
  <si>
    <t>CALYCOSA lower bound outliers</t>
  </si>
  <si>
    <t>CALYCOSA upper bound outliers</t>
  </si>
  <si>
    <t>CALYCOSA Min (excluding blanks)</t>
  </si>
  <si>
    <t>CALYCOSA Max (excluding blanks)</t>
  </si>
  <si>
    <t>CALYCOSA Suggested bounds</t>
  </si>
  <si>
    <t xml:space="preserve">AMERICANA </t>
  </si>
  <si>
    <t>Q1</t>
  </si>
  <si>
    <t>Q2 (median)</t>
  </si>
  <si>
    <t>Q3</t>
  </si>
  <si>
    <t>IQR</t>
  </si>
  <si>
    <t>Lower fence</t>
  </si>
  <si>
    <t>Upper fence</t>
  </si>
  <si>
    <t>Absolute min</t>
  </si>
  <si>
    <t>Absolute max</t>
  </si>
  <si>
    <r>
      <t xml:space="preserve">Full </t>
    </r>
    <r>
      <rPr>
        <sz val="10"/>
        <color theme="1"/>
        <rFont val="Arial Unicode MS"/>
        <family val="2"/>
      </rPr>
      <t>(absolute min) min–max (absolute max) mm</t>
    </r>
  </si>
  <si>
    <t>Metric</t>
  </si>
  <si>
    <t>Americana:</t>
  </si>
  <si>
    <t>Calycosa:</t>
  </si>
  <si>
    <t>Fumosimontana:</t>
  </si>
  <si>
    <t>Grayana:</t>
  </si>
  <si>
    <t>Richardsonii:</t>
  </si>
  <si>
    <t>Hirsuticaulis:</t>
  </si>
  <si>
    <t>Hispida:</t>
  </si>
  <si>
    <r>
      <t xml:space="preserve">Full </t>
    </r>
    <r>
      <rPr>
        <sz val="10"/>
        <color rgb="FFFFFF00"/>
        <rFont val="Arial Unicode MS"/>
        <family val="2"/>
      </rPr>
      <t>(absolute min) min–max (absolute max) mm</t>
    </r>
  </si>
  <si>
    <t>Petiole_length</t>
  </si>
  <si>
    <t>Leaf_width</t>
  </si>
  <si>
    <t>Leaf_length</t>
  </si>
  <si>
    <t>Capsule_width</t>
  </si>
  <si>
    <t>Capsule_length</t>
  </si>
  <si>
    <t>Cymule_flower_counts</t>
  </si>
  <si>
    <t>Cymule_lengths</t>
  </si>
  <si>
    <t>free_sepal_length</t>
  </si>
  <si>
    <t>hypanthia_width_at_sepal_sinus</t>
  </si>
  <si>
    <t>A4</t>
  </si>
  <si>
    <t>Whole_Cymule_lengths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</si>
</sst>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rgb="FFFFFF00"/>
      <name val="Aptos Narrow"/>
      <family val="2"/>
      <scheme val="minor"/>
    </font>
    <font>
      <sz val="10"/>
      <color rgb="FFFFFF00"/>
      <name val="Arial Unicode MS"/>
      <family val="2"/>
    </font>
    <font>
      <sz val="8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20" fillId="36" borderId="0" xfId="0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285D-3D13-374B-A6F3-51FAF5916581}">
  <dimension ref="A1:Y102"/>
  <sheetViews>
    <sheetView tabSelected="1" topLeftCell="P1" zoomScale="111" workbookViewId="0">
      <pane ySplit="1" topLeftCell="A7" activePane="bottomLeft" state="frozen"/>
      <selection pane="bottomLeft" activeCell="S22" sqref="S22"/>
    </sheetView>
  </sheetViews>
  <sheetFormatPr baseColWidth="10" defaultRowHeight="16" x14ac:dyDescent="0.2"/>
  <cols>
    <col min="1" max="1" width="30.6640625" bestFit="1" customWidth="1"/>
    <col min="2" max="2" width="37.6640625" bestFit="1" customWidth="1"/>
    <col min="3" max="3" width="21.6640625" bestFit="1" customWidth="1"/>
    <col min="4" max="4" width="22.83203125" bestFit="1" customWidth="1"/>
    <col min="5" max="5" width="20" bestFit="1" customWidth="1"/>
    <col min="6" max="6" width="27.5" bestFit="1" customWidth="1"/>
    <col min="7" max="8" width="26.33203125" bestFit="1" customWidth="1"/>
    <col min="9" max="12" width="27.5" bestFit="1" customWidth="1"/>
    <col min="13" max="13" width="25.33203125" bestFit="1" customWidth="1"/>
    <col min="14" max="14" width="28.5" bestFit="1" customWidth="1"/>
    <col min="15" max="15" width="25.33203125" bestFit="1" customWidth="1"/>
    <col min="16" max="16" width="37" bestFit="1" customWidth="1"/>
    <col min="17" max="17" width="21" bestFit="1" customWidth="1"/>
    <col min="18" max="18" width="20" bestFit="1" customWidth="1"/>
    <col min="19" max="19" width="31.5" bestFit="1" customWidth="1"/>
    <col min="20" max="20" width="22.83203125" bestFit="1" customWidth="1"/>
    <col min="21" max="21" width="21.6640625" bestFit="1" customWidth="1"/>
    <col min="22" max="22" width="19.6640625" bestFit="1" customWidth="1"/>
    <col min="23" max="23" width="20" bestFit="1" customWidth="1"/>
    <col min="24" max="24" width="26.33203125" bestFit="1" customWidth="1"/>
    <col min="25" max="25" width="27.6640625" bestFit="1" customWidth="1"/>
  </cols>
  <sheetData>
    <row r="1" spans="1:25" x14ac:dyDescent="0.2">
      <c r="A1" t="s">
        <v>0</v>
      </c>
      <c r="B1" t="s">
        <v>226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235</v>
      </c>
      <c r="R1" t="s">
        <v>236</v>
      </c>
      <c r="S1" t="s">
        <v>237</v>
      </c>
      <c r="T1" t="s">
        <v>238</v>
      </c>
      <c r="U1" t="s">
        <v>239</v>
      </c>
      <c r="V1" t="s">
        <v>240</v>
      </c>
      <c r="W1" t="s">
        <v>245</v>
      </c>
      <c r="X1" t="s">
        <v>242</v>
      </c>
      <c r="Y1" t="s">
        <v>243</v>
      </c>
    </row>
    <row r="2" spans="1:25" s="8" customFormat="1" x14ac:dyDescent="0.2">
      <c r="A2" s="8" t="s">
        <v>216</v>
      </c>
      <c r="B2" s="8" t="s">
        <v>217</v>
      </c>
      <c r="C2" s="8" cm="1">
        <f t="array" ref="C2">_xlfn.QUARTILE.INC(_xlfn._xlws.FILTER(Americana!E$2:E1000, Americana!E$2:E1000&lt;&gt;""), 1)</f>
        <v>0</v>
      </c>
      <c r="D2" s="8" cm="1">
        <f t="array" ref="D2">_xlfn.QUARTILE.INC(_xlfn._xlws.FILTER(Americana!F$2:F1000, Americana!F$2:F1000&lt;&gt;""), 1)</f>
        <v>0</v>
      </c>
      <c r="E2" s="8" cm="1">
        <f t="array" ref="E2">_xlfn.QUARTILE.INC(_xlfn._xlws.FILTER(Americana!G$2:G1000, Americana!G$2:G1000&lt;&gt;""), 1)</f>
        <v>0</v>
      </c>
      <c r="F2" s="8" cm="1">
        <f t="array" ref="F2">_xlfn.QUARTILE.INC(_xlfn._xlws.FILTER(Americana!H$2:H1000, Americana!H$2:H1000&lt;&gt;""), 1)</f>
        <v>4.1669999999999998</v>
      </c>
      <c r="G2" s="8" cm="1">
        <f t="array" ref="G2">_xlfn.QUARTILE.INC(_xlfn._xlws.FILTER(Americana!I$2:I1000, Americana!I$2:I1000&lt;&gt;""), 1)</f>
        <v>1.468</v>
      </c>
      <c r="H2" s="8" cm="1">
        <f t="array" ref="H2">_xlfn.QUARTILE.INC(_xlfn._xlws.FILTER(Americana!J$2:J1000, Americana!J$2:J1000&lt;&gt;""), 1)</f>
        <v>3.1992500000000001</v>
      </c>
      <c r="I2" s="8" cm="1">
        <f t="array" ref="I2">_xlfn.QUARTILE.INC(_xlfn._xlws.FILTER(Americana!K$2:K1000, Americana!K$2:K1000&lt;&gt;""), 1)</f>
        <v>1.35775</v>
      </c>
      <c r="J2" s="8" cm="1">
        <f t="array" ref="J2">_xlfn.QUARTILE.INC(_xlfn._xlws.FILTER(Americana!L$2:L1000, Americana!L$2:L1000&lt;&gt;""), 1)</f>
        <v>1.1000000000000001</v>
      </c>
      <c r="K2" s="8" cm="1">
        <f t="array" ref="K2">_xlfn.QUARTILE.INC(_xlfn._xlws.FILTER(Americana!M$2:M1000, Americana!M$2:M1000&lt;&gt;""), 1)</f>
        <v>2.0585</v>
      </c>
      <c r="L2" s="8" cm="1">
        <f t="array" ref="L2">_xlfn.QUARTILE.INC(_xlfn._xlws.FILTER(Americana!N$2:N1000, Americana!N$2:N1000&lt;&gt;""), 1)</f>
        <v>3.2450000000000001</v>
      </c>
      <c r="M2" s="8" cm="1">
        <f t="array" ref="M2">_xlfn.QUARTILE.INC(_xlfn._xlws.FILTER(Americana!O$2:O1000, Americana!O$2:O1000&lt;&gt;""), 1)</f>
        <v>3.17475</v>
      </c>
      <c r="N2" s="8" cm="1">
        <f t="array" ref="N2">_xlfn.QUARTILE.INC(_xlfn._xlws.FILTER(Americana!P$2:P1000, Americana!P$2:P1000&lt;&gt;""), 1)</f>
        <v>3.54</v>
      </c>
      <c r="O2" s="8" cm="1">
        <f t="array" ref="O2">_xlfn.QUARTILE.INC(_xlfn._xlws.FILTER(Americana!Q$2:Q1000, Americana!Q$2:Q1000&lt;&gt;""), 1)</f>
        <v>11.590999999999999</v>
      </c>
      <c r="P2" s="8" cm="1">
        <f t="array" ref="P2">_xlfn.QUARTILE.INC(_xlfn._xlws.FILTER(Americana!R$2:R1000, Americana!R$2:R1000&lt;&gt;""), 1)</f>
        <v>575.44650000000001</v>
      </c>
    </row>
    <row r="3" spans="1:25" s="8" customFormat="1" x14ac:dyDescent="0.2">
      <c r="A3" s="8" t="s">
        <v>216</v>
      </c>
      <c r="B3" s="8" t="s">
        <v>218</v>
      </c>
      <c r="C3" s="8" cm="1">
        <f t="array" ref="C3">_xlfn.QUARTILE.INC(_xlfn._xlws.FILTER(Americana!E$2:E1000, Americana!E$2:E1000&lt;&gt;""), 2)</f>
        <v>0</v>
      </c>
      <c r="D3" s="8" cm="1">
        <f t="array" ref="D3">_xlfn.QUARTILE.INC(_xlfn._xlws.FILTER(Americana!F$2:F1000, Americana!F$2:F1000&lt;&gt;""), 2)</f>
        <v>0</v>
      </c>
      <c r="E3" s="8" cm="1">
        <f t="array" ref="E3">_xlfn.QUARTILE.INC(_xlfn._xlws.FILTER(Americana!G$2:G1000, Americana!G$2:G1000&lt;&gt;""), 2)</f>
        <v>0</v>
      </c>
      <c r="F3" s="8" cm="1">
        <f t="array" ref="F3">_xlfn.QUARTILE.INC(_xlfn._xlws.FILTER(Americana!H$2:H1000, Americana!H$2:H1000&lt;&gt;""), 2)</f>
        <v>5.3410000000000002</v>
      </c>
      <c r="G3" s="8" cm="1">
        <f t="array" ref="G3">_xlfn.QUARTILE.INC(_xlfn._xlws.FILTER(Americana!I$2:I1000, Americana!I$2:I1000&lt;&gt;""), 2)</f>
        <v>2.0049999999999999</v>
      </c>
      <c r="H3" s="8" cm="1">
        <f t="array" ref="H3">_xlfn.QUARTILE.INC(_xlfn._xlws.FILTER(Americana!J$2:J1000, Americana!J$2:J1000&lt;&gt;""), 2)</f>
        <v>3.552</v>
      </c>
      <c r="I3" s="8" cm="1">
        <f t="array" ref="I3">_xlfn.QUARTILE.INC(_xlfn._xlws.FILTER(Americana!K$2:K1000, Americana!K$2:K1000&lt;&gt;""), 2)</f>
        <v>1.4935</v>
      </c>
      <c r="J3" s="8" cm="1">
        <f t="array" ref="J3">_xlfn.QUARTILE.INC(_xlfn._xlws.FILTER(Americana!L$2:L1000, Americana!L$2:L1000&lt;&gt;""), 2)</f>
        <v>1.2395</v>
      </c>
      <c r="K3" s="8" cm="1">
        <f t="array" ref="K3">_xlfn.QUARTILE.INC(_xlfn._xlws.FILTER(Americana!M$2:M1000, Americana!M$2:M1000&lt;&gt;""), 2)</f>
        <v>2.1585000000000001</v>
      </c>
      <c r="L3" s="8" cm="1">
        <f t="array" ref="L3">_xlfn.QUARTILE.INC(_xlfn._xlws.FILTER(Americana!N$2:N1000, Americana!N$2:N1000&lt;&gt;""), 2)</f>
        <v>3.4039999999999999</v>
      </c>
      <c r="M3" s="8" cm="1">
        <f t="array" ref="M3">_xlfn.QUARTILE.INC(_xlfn._xlws.FILTER(Americana!O$2:O1000, Americana!O$2:O1000&lt;&gt;""), 2)</f>
        <v>3.7524999999999999</v>
      </c>
      <c r="N3" s="8" cm="1">
        <f t="array" ref="N3">_xlfn.QUARTILE.INC(_xlfn._xlws.FILTER(Americana!P$2:P1000, Americana!P$2:P1000&lt;&gt;""), 2)</f>
        <v>5.0049999999999999</v>
      </c>
      <c r="O3" s="8" cm="1">
        <f t="array" ref="O3">_xlfn.QUARTILE.INC(_xlfn._xlws.FILTER(Americana!Q$2:Q1000, Americana!Q$2:Q1000&lt;&gt;""), 2)</f>
        <v>14.167999999999999</v>
      </c>
      <c r="P3" s="8" cm="1">
        <f t="array" ref="P3">_xlfn.QUARTILE.INC(_xlfn._xlws.FILTER(Americana!R$2:R1000, Americana!R$2:R1000&lt;&gt;""), 2)</f>
        <v>687.77549999999997</v>
      </c>
    </row>
    <row r="4" spans="1:25" s="8" customFormat="1" x14ac:dyDescent="0.2">
      <c r="A4" s="8" t="s">
        <v>216</v>
      </c>
      <c r="B4" s="8" t="s">
        <v>219</v>
      </c>
      <c r="C4" s="8" cm="1">
        <f t="array" ref="C4">_xlfn.QUARTILE.INC(_xlfn._xlws.FILTER(Americana!E$2:E1000, Americana!E$2:E1000&lt;&gt;""), 3)</f>
        <v>0</v>
      </c>
      <c r="D4" s="8" cm="1">
        <f t="array" ref="D4">_xlfn.QUARTILE.INC(_xlfn._xlws.FILTER(Americana!F$2:F1000, Americana!F$2:F1000&lt;&gt;""), 3)</f>
        <v>0</v>
      </c>
      <c r="E4" s="8" cm="1">
        <f t="array" ref="E4">_xlfn.QUARTILE.INC(_xlfn._xlws.FILTER(Americana!G$2:G1000, Americana!G$2:G1000&lt;&gt;""), 3)</f>
        <v>0</v>
      </c>
      <c r="F4" s="8" cm="1">
        <f t="array" ref="F4">_xlfn.QUARTILE.INC(_xlfn._xlws.FILTER(Americana!H$2:H1000, Americana!H$2:H1000&lt;&gt;""), 3)</f>
        <v>6.0707500000000003</v>
      </c>
      <c r="G4" s="8" cm="1">
        <f t="array" ref="G4">_xlfn.QUARTILE.INC(_xlfn._xlws.FILTER(Americana!I$2:I1000, Americana!I$2:I1000&lt;&gt;""), 3)</f>
        <v>2.4217500000000003</v>
      </c>
      <c r="H4" s="8" cm="1">
        <f t="array" ref="H4">_xlfn.QUARTILE.INC(_xlfn._xlws.FILTER(Americana!J$2:J1000, Americana!J$2:J1000&lt;&gt;""), 3)</f>
        <v>4.0564999999999998</v>
      </c>
      <c r="I4" s="8" cm="1">
        <f t="array" ref="I4">_xlfn.QUARTILE.INC(_xlfn._xlws.FILTER(Americana!K$2:K1000, Americana!K$2:K1000&lt;&gt;""), 3)</f>
        <v>1.70225</v>
      </c>
      <c r="J4" s="8" cm="1">
        <f t="array" ref="J4">_xlfn.QUARTILE.INC(_xlfn._xlws.FILTER(Americana!L$2:L1000, Americana!L$2:L1000&lt;&gt;""), 3)</f>
        <v>1.43475</v>
      </c>
      <c r="K4" s="8" cm="1">
        <f t="array" ref="K4">_xlfn.QUARTILE.INC(_xlfn._xlws.FILTER(Americana!M$2:M1000, Americana!M$2:M1000&lt;&gt;""), 3)</f>
        <v>2.5</v>
      </c>
      <c r="L4" s="8" cm="1">
        <f t="array" ref="L4">_xlfn.QUARTILE.INC(_xlfn._xlws.FILTER(Americana!N$2:N1000, Americana!N$2:N1000&lt;&gt;""), 3)</f>
        <v>3.9929999999999999</v>
      </c>
      <c r="M4" s="8" cm="1">
        <f t="array" ref="M4">_xlfn.QUARTILE.INC(_xlfn._xlws.FILTER(Americana!O$2:O1000, Americana!O$2:O1000&lt;&gt;""), 3)</f>
        <v>4.0350000000000001</v>
      </c>
      <c r="N4" s="8" cm="1">
        <f t="array" ref="N4">_xlfn.QUARTILE.INC(_xlfn._xlws.FILTER(Americana!P$2:P1000, Americana!P$2:P1000&lt;&gt;""), 3)</f>
        <v>5.9180000000000001</v>
      </c>
      <c r="O4" s="8" cm="1">
        <f t="array" ref="O4">_xlfn.QUARTILE.INC(_xlfn._xlws.FILTER(Americana!Q$2:Q1000, Americana!Q$2:Q1000&lt;&gt;""), 3)</f>
        <v>23.187999999999999</v>
      </c>
      <c r="P4" s="8" cm="1">
        <f t="array" ref="P4">_xlfn.QUARTILE.INC(_xlfn._xlws.FILTER(Americana!R$2:R1000, Americana!R$2:R1000&lt;&gt;""), 3)</f>
        <v>768.61675000000002</v>
      </c>
    </row>
    <row r="5" spans="1:25" s="8" customFormat="1" x14ac:dyDescent="0.2">
      <c r="A5" s="8" t="s">
        <v>216</v>
      </c>
      <c r="B5" s="8" t="s">
        <v>220</v>
      </c>
      <c r="C5" s="8" cm="1">
        <f t="array" ref="C5">_xlfn.QUARTILE.INC(_xlfn._xlws.FILTER(Americana!E$2:E1000, Americana!E$2:E1000&lt;&gt;""), 3) - _xlfn.QUARTILE.INC(_xlfn._xlws.FILTER(Americana!E$2:E1000, Americana!E$2:E1000&lt;&gt;""), 1)</f>
        <v>0</v>
      </c>
      <c r="D5" s="8" cm="1">
        <f t="array" ref="D5">_xlfn.QUARTILE.INC(_xlfn._xlws.FILTER(Americana!F$2:F1000, Americana!F$2:F1000&lt;&gt;""), 3) - _xlfn.QUARTILE.INC(_xlfn._xlws.FILTER(Americana!F$2:F1000, Americana!F$2:F1000&lt;&gt;""), 1)</f>
        <v>0</v>
      </c>
      <c r="E5" s="8" cm="1">
        <f t="array" ref="E5">_xlfn.QUARTILE.INC(_xlfn._xlws.FILTER(Americana!G$2:G1000, Americana!G$2:G1000&lt;&gt;""), 3) - _xlfn.QUARTILE.INC(_xlfn._xlws.FILTER(Americana!G$2:G1000, Americana!G$2:G1000&lt;&gt;""), 1)</f>
        <v>0</v>
      </c>
      <c r="F5" s="8" cm="1">
        <f t="array" ref="F5">_xlfn.QUARTILE.INC(_xlfn._xlws.FILTER(Americana!H$2:H1000, Americana!H$2:H1000&lt;&gt;""), 3) - _xlfn.QUARTILE.INC(_xlfn._xlws.FILTER(Americana!H$2:H1000, Americana!H$2:H1000&lt;&gt;""), 1)</f>
        <v>1.9037500000000005</v>
      </c>
      <c r="G5" s="8" cm="1">
        <f t="array" ref="G5">_xlfn.QUARTILE.INC(_xlfn._xlws.FILTER(Americana!I$2:I1000, Americana!I$2:I1000&lt;&gt;""), 3) - _xlfn.QUARTILE.INC(_xlfn._xlws.FILTER(Americana!I$2:I1000, Americana!I$2:I1000&lt;&gt;""), 1)</f>
        <v>0.95375000000000032</v>
      </c>
      <c r="H5" s="8" cm="1">
        <f t="array" ref="H5">_xlfn.QUARTILE.INC(_xlfn._xlws.FILTER(Americana!J$2:J1000, Americana!J$2:J1000&lt;&gt;""), 3) - _xlfn.QUARTILE.INC(_xlfn._xlws.FILTER(Americana!J$2:J1000, Americana!J$2:J1000&lt;&gt;""), 1)</f>
        <v>0.85724999999999962</v>
      </c>
      <c r="I5" s="8" cm="1">
        <f t="array" ref="I5">_xlfn.QUARTILE.INC(_xlfn._xlws.FILTER(Americana!K$2:K1000, Americana!K$2:K1000&lt;&gt;""), 3) - _xlfn.QUARTILE.INC(_xlfn._xlws.FILTER(Americana!K$2:K1000, Americana!K$2:K1000&lt;&gt;""), 1)</f>
        <v>0.34450000000000003</v>
      </c>
      <c r="J5" s="8" cm="1">
        <f t="array" ref="J5">_xlfn.QUARTILE.INC(_xlfn._xlws.FILTER(Americana!L$2:L1000, Americana!L$2:L1000&lt;&gt;""), 3) - _xlfn.QUARTILE.INC(_xlfn._xlws.FILTER(Americana!L$2:L1000, Americana!L$2:L1000&lt;&gt;""), 1)</f>
        <v>0.33474999999999988</v>
      </c>
      <c r="K5" s="8" cm="1">
        <f t="array" ref="K5">_xlfn.QUARTILE.INC(_xlfn._xlws.FILTER(Americana!M$2:M1000, Americana!M$2:M1000&lt;&gt;""), 3) - _xlfn.QUARTILE.INC(_xlfn._xlws.FILTER(Americana!M$2:M1000, Americana!M$2:M1000&lt;&gt;""), 1)</f>
        <v>0.4415</v>
      </c>
      <c r="L5" s="8" cm="1">
        <f t="array" ref="L5">_xlfn.QUARTILE.INC(_xlfn._xlws.FILTER(Americana!N$2:N1000, Americana!N$2:N1000&lt;&gt;""), 3) - _xlfn.QUARTILE.INC(_xlfn._xlws.FILTER(Americana!N$2:N1000, Americana!N$2:N1000&lt;&gt;""), 1)</f>
        <v>0.74799999999999978</v>
      </c>
      <c r="M5" s="8" cm="1">
        <f t="array" ref="M5">_xlfn.QUARTILE.INC(_xlfn._xlws.FILTER(Americana!O$2:O1000, Americana!O$2:O1000&lt;&gt;""), 3) - _xlfn.QUARTILE.INC(_xlfn._xlws.FILTER(Americana!O$2:O1000, Americana!O$2:O1000&lt;&gt;""), 1)</f>
        <v>0.86025000000000018</v>
      </c>
      <c r="N5" s="8" cm="1">
        <f t="array" ref="N5">_xlfn.QUARTILE.INC(_xlfn._xlws.FILTER(Americana!P$2:P1000, Americana!P$2:P1000&lt;&gt;""), 3) - _xlfn.QUARTILE.INC(_xlfn._xlws.FILTER(Americana!P$2:P1000, Americana!P$2:P1000&lt;&gt;""), 1)</f>
        <v>2.3780000000000001</v>
      </c>
      <c r="O5" s="8" cm="1">
        <f t="array" ref="O5">_xlfn.QUARTILE.INC(_xlfn._xlws.FILTER(Americana!Q$2:Q1000, Americana!Q$2:Q1000&lt;&gt;""), 3) - _xlfn.QUARTILE.INC(_xlfn._xlws.FILTER(Americana!Q$2:Q1000, Americana!Q$2:Q1000&lt;&gt;""), 1)</f>
        <v>11.597</v>
      </c>
      <c r="P5" s="8" cm="1">
        <f t="array" ref="P5">_xlfn.QUARTILE.INC(_xlfn._xlws.FILTER(Americana!R$2:R1000, Americana!R$2:R1000&lt;&gt;""), 3) - _xlfn.QUARTILE.INC(_xlfn._xlws.FILTER(Americana!R$2:R1000, Americana!R$2:R1000&lt;&gt;""), 1)</f>
        <v>193.17025000000001</v>
      </c>
    </row>
    <row r="6" spans="1:25" s="8" customFormat="1" x14ac:dyDescent="0.2">
      <c r="A6" s="8" t="s">
        <v>216</v>
      </c>
      <c r="B6" s="8" t="s">
        <v>221</v>
      </c>
      <c r="C6" s="8" cm="1">
        <f t="array" ref="C6">_xlfn.QUARTILE.INC(_xlfn._xlws.FILTER(Americana!E$2:E1000, Americana!E$2:E1000&lt;&gt;""), 1) - 1.5*(_xlfn.QUARTILE.INC(_xlfn._xlws.FILTER(Americana!E$2:E1000, Americana!E$2:E1000&lt;&gt;""), 3) - _xlfn.QUARTILE.INC(_xlfn._xlws.FILTER(Americana!E$2:E1000, Americana!E$2:E1000&lt;&gt;""), 1))</f>
        <v>0</v>
      </c>
      <c r="D6" s="8" cm="1">
        <f t="array" ref="D6">_xlfn.QUARTILE.INC(_xlfn._xlws.FILTER(Americana!F$2:F1000, Americana!F$2:F1000&lt;&gt;""), 1) - 1.5*(_xlfn.QUARTILE.INC(_xlfn._xlws.FILTER(Americana!F$2:F1000, Americana!F$2:F1000&lt;&gt;""), 3) - _xlfn.QUARTILE.INC(_xlfn._xlws.FILTER(Americana!F$2:F1000, Americana!F$2:F1000&lt;&gt;""), 1))</f>
        <v>0</v>
      </c>
      <c r="E6" s="8" cm="1">
        <f t="array" ref="E6">_xlfn.QUARTILE.INC(_xlfn._xlws.FILTER(Americana!G$2:G1000, Americana!G$2:G1000&lt;&gt;""), 1) - 1.5*(_xlfn.QUARTILE.INC(_xlfn._xlws.FILTER(Americana!G$2:G1000, Americana!G$2:G1000&lt;&gt;""), 3) - _xlfn.QUARTILE.INC(_xlfn._xlws.FILTER(Americana!G$2:G1000, Americana!G$2:G1000&lt;&gt;""), 1))</f>
        <v>0</v>
      </c>
      <c r="F6" s="8" cm="1">
        <f t="array" ref="F6">_xlfn.QUARTILE.INC(_xlfn._xlws.FILTER(Americana!H$2:H1000, Americana!H$2:H1000&lt;&gt;""), 1) - 1.5*(_xlfn.QUARTILE.INC(_xlfn._xlws.FILTER(Americana!H$2:H1000, Americana!H$2:H1000&lt;&gt;""), 3) - _xlfn.QUARTILE.INC(_xlfn._xlws.FILTER(Americana!H$2:H1000, Americana!H$2:H1000&lt;&gt;""), 1))</f>
        <v>1.3113749999999991</v>
      </c>
      <c r="G6" s="8" cm="1">
        <f t="array" ref="G6">_xlfn.QUARTILE.INC(_xlfn._xlws.FILTER(Americana!I$2:I1000, Americana!I$2:I1000&lt;&gt;""), 1) - 1.5*(_xlfn.QUARTILE.INC(_xlfn._xlws.FILTER(Americana!I$2:I1000, Americana!I$2:I1000&lt;&gt;""), 3) - _xlfn.QUARTILE.INC(_xlfn._xlws.FILTER(Americana!I$2:I1000, Americana!I$2:I1000&lt;&gt;""), 1))</f>
        <v>3.7374999999999492E-2</v>
      </c>
      <c r="H6" s="8" cm="1">
        <f t="array" ref="H6">_xlfn.QUARTILE.INC(_xlfn._xlws.FILTER(Americana!J$2:J1000, Americana!J$2:J1000&lt;&gt;""), 1) - 1.5*(_xlfn.QUARTILE.INC(_xlfn._xlws.FILTER(Americana!J$2:J1000, Americana!J$2:J1000&lt;&gt;""), 3) - _xlfn.QUARTILE.INC(_xlfn._xlws.FILTER(Americana!J$2:J1000, Americana!J$2:J1000&lt;&gt;""), 1))</f>
        <v>1.9133750000000007</v>
      </c>
      <c r="I6" s="8" cm="1">
        <f t="array" ref="I6">_xlfn.QUARTILE.INC(_xlfn._xlws.FILTER(Americana!K$2:K1000, Americana!K$2:K1000&lt;&gt;""), 1) - 1.5*(_xlfn.QUARTILE.INC(_xlfn._xlws.FILTER(Americana!K$2:K1000, Americana!K$2:K1000&lt;&gt;""), 3) - _xlfn.QUARTILE.INC(_xlfn._xlws.FILTER(Americana!K$2:K1000, Americana!K$2:K1000&lt;&gt;""), 1))</f>
        <v>0.84099999999999997</v>
      </c>
      <c r="J6" s="8" cm="1">
        <f t="array" ref="J6">_xlfn.QUARTILE.INC(_xlfn._xlws.FILTER(Americana!L$2:L1000, Americana!L$2:L1000&lt;&gt;""), 1) - 1.5*(_xlfn.QUARTILE.INC(_xlfn._xlws.FILTER(Americana!L$2:L1000, Americana!L$2:L1000&lt;&gt;""), 3) - _xlfn.QUARTILE.INC(_xlfn._xlws.FILTER(Americana!L$2:L1000, Americana!L$2:L1000&lt;&gt;""), 1))</f>
        <v>0.59787500000000027</v>
      </c>
      <c r="K6" s="8" cm="1">
        <f t="array" ref="K6">_xlfn.QUARTILE.INC(_xlfn._xlws.FILTER(Americana!M$2:M1000, Americana!M$2:M1000&lt;&gt;""), 1) - 1.5*(_xlfn.QUARTILE.INC(_xlfn._xlws.FILTER(Americana!M$2:M1000, Americana!M$2:M1000&lt;&gt;""), 3) - _xlfn.QUARTILE.INC(_xlfn._xlws.FILTER(Americana!M$2:M1000, Americana!M$2:M1000&lt;&gt;""), 1))</f>
        <v>1.39625</v>
      </c>
      <c r="L6" s="8" cm="1">
        <f t="array" ref="L6">_xlfn.QUARTILE.INC(_xlfn._xlws.FILTER(Americana!N$2:N1000, Americana!N$2:N1000&lt;&gt;""), 1) - 1.5*(_xlfn.QUARTILE.INC(_xlfn._xlws.FILTER(Americana!N$2:N1000, Americana!N$2:N1000&lt;&gt;""), 3) - _xlfn.QUARTILE.INC(_xlfn._xlws.FILTER(Americana!N$2:N1000, Americana!N$2:N1000&lt;&gt;""), 1))</f>
        <v>2.1230000000000002</v>
      </c>
      <c r="M6" s="8" cm="1">
        <f t="array" ref="M6">_xlfn.QUARTILE.INC(_xlfn._xlws.FILTER(Americana!O$2:O1000, Americana!O$2:O1000&lt;&gt;""), 1) - 1.5*(_xlfn.QUARTILE.INC(_xlfn._xlws.FILTER(Americana!O$2:O1000, Americana!O$2:O1000&lt;&gt;""), 3) - _xlfn.QUARTILE.INC(_xlfn._xlws.FILTER(Americana!O$2:O1000, Americana!O$2:O1000&lt;&gt;""), 1))</f>
        <v>1.8843749999999997</v>
      </c>
      <c r="N6" s="8" cm="1">
        <f t="array" ref="N6">_xlfn.QUARTILE.INC(_xlfn._xlws.FILTER(Americana!P$2:P1000, Americana!P$2:P1000&lt;&gt;""), 1) - 1.5*(_xlfn.QUARTILE.INC(_xlfn._xlws.FILTER(Americana!P$2:P1000, Americana!P$2:P1000&lt;&gt;""), 3) - _xlfn.QUARTILE.INC(_xlfn._xlws.FILTER(Americana!P$2:P1000, Americana!P$2:P1000&lt;&gt;""), 1))</f>
        <v>-2.7000000000000135E-2</v>
      </c>
      <c r="O6" s="8" cm="1">
        <f t="array" ref="O6">_xlfn.QUARTILE.INC(_xlfn._xlws.FILTER(Americana!Q$2:Q1000, Americana!Q$2:Q1000&lt;&gt;""), 1) - 1.5*(_xlfn.QUARTILE.INC(_xlfn._xlws.FILTER(Americana!Q$2:Q1000, Americana!Q$2:Q1000&lt;&gt;""), 3) - _xlfn.QUARTILE.INC(_xlfn._xlws.FILTER(Americana!Q$2:Q1000, Americana!Q$2:Q1000&lt;&gt;""), 1))</f>
        <v>-5.8044999999999991</v>
      </c>
      <c r="P6" s="8" cm="1">
        <f t="array" ref="P6">_xlfn.QUARTILE.INC(_xlfn._xlws.FILTER(Americana!R$2:R1000, Americana!R$2:R1000&lt;&gt;""), 1) - 1.5*(_xlfn.QUARTILE.INC(_xlfn._xlws.FILTER(Americana!R$2:R1000, Americana!R$2:R1000&lt;&gt;""), 3) - _xlfn.QUARTILE.INC(_xlfn._xlws.FILTER(Americana!R$2:R1000, Americana!R$2:R1000&lt;&gt;""), 1))</f>
        <v>285.691125</v>
      </c>
    </row>
    <row r="7" spans="1:25" s="8" customFormat="1" x14ac:dyDescent="0.2">
      <c r="A7" s="8" t="s">
        <v>216</v>
      </c>
      <c r="B7" s="8" t="s">
        <v>222</v>
      </c>
      <c r="C7" s="8" cm="1">
        <f t="array" ref="C7">_xlfn.QUARTILE.INC(_xlfn._xlws.FILTER(Americana!E$2:E1000, Americana!E$2:E1000&lt;&gt;""), 3) + 1.5*(_xlfn.QUARTILE.INC(_xlfn._xlws.FILTER(Americana!E$2:E1000, Americana!E$2:E1000&lt;&gt;""), 3) - _xlfn.QUARTILE.INC(_xlfn._xlws.FILTER(Americana!E$2:E1000, Americana!E$2:E1000&lt;&gt;""), 1))</f>
        <v>0</v>
      </c>
      <c r="D7" s="8" cm="1">
        <f t="array" ref="D7">_xlfn.QUARTILE.INC(_xlfn._xlws.FILTER(Americana!F$2:F1000, Americana!F$2:F1000&lt;&gt;""), 3) + 1.5*(_xlfn.QUARTILE.INC(_xlfn._xlws.FILTER(Americana!F$2:F1000, Americana!F$2:F1000&lt;&gt;""), 3) - _xlfn.QUARTILE.INC(_xlfn._xlws.FILTER(Americana!F$2:F1000, Americana!F$2:F1000&lt;&gt;""), 1))</f>
        <v>0</v>
      </c>
      <c r="E7" s="8" cm="1">
        <f t="array" ref="E7">_xlfn.QUARTILE.INC(_xlfn._xlws.FILTER(Americana!G$2:G1000, Americana!G$2:G1000&lt;&gt;""), 3) + 1.5*(_xlfn.QUARTILE.INC(_xlfn._xlws.FILTER(Americana!G$2:G1000, Americana!G$2:G1000&lt;&gt;""), 3) - _xlfn.QUARTILE.INC(_xlfn._xlws.FILTER(Americana!G$2:G1000, Americana!G$2:G1000&lt;&gt;""), 1))</f>
        <v>0</v>
      </c>
      <c r="F7" s="8" cm="1">
        <f t="array" ref="F7">_xlfn.QUARTILE.INC(_xlfn._xlws.FILTER(Americana!H$2:H1000, Americana!H$2:H1000&lt;&gt;""), 3) + 1.5*(_xlfn.QUARTILE.INC(_xlfn._xlws.FILTER(Americana!H$2:H1000, Americana!H$2:H1000&lt;&gt;""), 3) - _xlfn.QUARTILE.INC(_xlfn._xlws.FILTER(Americana!H$2:H1000, Americana!H$2:H1000&lt;&gt;""), 1))</f>
        <v>8.9263750000000002</v>
      </c>
      <c r="G7" s="8" cm="1">
        <f t="array" ref="G7">_xlfn.QUARTILE.INC(_xlfn._xlws.FILTER(Americana!I$2:I1000, Americana!I$2:I1000&lt;&gt;""), 3) + 1.5*(_xlfn.QUARTILE.INC(_xlfn._xlws.FILTER(Americana!I$2:I1000, Americana!I$2:I1000&lt;&gt;""), 3) - _xlfn.QUARTILE.INC(_xlfn._xlws.FILTER(Americana!I$2:I1000, Americana!I$2:I1000&lt;&gt;""), 1))</f>
        <v>3.8523750000000008</v>
      </c>
      <c r="H7" s="8" cm="1">
        <f t="array" ref="H7">_xlfn.QUARTILE.INC(_xlfn._xlws.FILTER(Americana!J$2:J1000, Americana!J$2:J1000&lt;&gt;""), 3) + 1.5*(_xlfn.QUARTILE.INC(_xlfn._xlws.FILTER(Americana!J$2:J1000, Americana!J$2:J1000&lt;&gt;""), 3) - _xlfn.QUARTILE.INC(_xlfn._xlws.FILTER(Americana!J$2:J1000, Americana!J$2:J1000&lt;&gt;""), 1))</f>
        <v>5.3423749999999988</v>
      </c>
      <c r="I7" s="8" cm="1">
        <f t="array" ref="I7">_xlfn.QUARTILE.INC(_xlfn._xlws.FILTER(Americana!K$2:K1000, Americana!K$2:K1000&lt;&gt;""), 3) + 1.5*(_xlfn.QUARTILE.INC(_xlfn._xlws.FILTER(Americana!K$2:K1000, Americana!K$2:K1000&lt;&gt;""), 3) - _xlfn.QUARTILE.INC(_xlfn._xlws.FILTER(Americana!K$2:K1000, Americana!K$2:K1000&lt;&gt;""), 1))</f>
        <v>2.2190000000000003</v>
      </c>
      <c r="J7" s="8" cm="1">
        <f t="array" ref="J7">_xlfn.QUARTILE.INC(_xlfn._xlws.FILTER(Americana!L$2:L1000, Americana!L$2:L1000&lt;&gt;""), 3) + 1.5*(_xlfn.QUARTILE.INC(_xlfn._xlws.FILTER(Americana!L$2:L1000, Americana!L$2:L1000&lt;&gt;""), 3) - _xlfn.QUARTILE.INC(_xlfn._xlws.FILTER(Americana!L$2:L1000, Americana!L$2:L1000&lt;&gt;""), 1))</f>
        <v>1.9368749999999997</v>
      </c>
      <c r="K7" s="8" cm="1">
        <f t="array" ref="K7">_xlfn.QUARTILE.INC(_xlfn._xlws.FILTER(Americana!M$2:M1000, Americana!M$2:M1000&lt;&gt;""), 3) + 1.5*(_xlfn.QUARTILE.INC(_xlfn._xlws.FILTER(Americana!M$2:M1000, Americana!M$2:M1000&lt;&gt;""), 3) - _xlfn.QUARTILE.INC(_xlfn._xlws.FILTER(Americana!M$2:M1000, Americana!M$2:M1000&lt;&gt;""), 1))</f>
        <v>3.1622500000000002</v>
      </c>
      <c r="L7" s="8" cm="1">
        <f t="array" ref="L7">_xlfn.QUARTILE.INC(_xlfn._xlws.FILTER(Americana!N$2:N1000, Americana!N$2:N1000&lt;&gt;""), 3) + 1.5*(_xlfn.QUARTILE.INC(_xlfn._xlws.FILTER(Americana!N$2:N1000, Americana!N$2:N1000&lt;&gt;""), 3) - _xlfn.QUARTILE.INC(_xlfn._xlws.FILTER(Americana!N$2:N1000, Americana!N$2:N1000&lt;&gt;""), 1))</f>
        <v>5.1149999999999993</v>
      </c>
      <c r="M7" s="8" cm="1">
        <f t="array" ref="M7">_xlfn.QUARTILE.INC(_xlfn._xlws.FILTER(Americana!O$2:O1000, Americana!O$2:O1000&lt;&gt;""), 3) + 1.5*(_xlfn.QUARTILE.INC(_xlfn._xlws.FILTER(Americana!O$2:O1000, Americana!O$2:O1000&lt;&gt;""), 3) - _xlfn.QUARTILE.INC(_xlfn._xlws.FILTER(Americana!O$2:O1000, Americana!O$2:O1000&lt;&gt;""), 1))</f>
        <v>5.3253750000000002</v>
      </c>
      <c r="N7" s="8" cm="1">
        <f t="array" ref="N7">_xlfn.QUARTILE.INC(_xlfn._xlws.FILTER(Americana!P$2:P1000, Americana!P$2:P1000&lt;&gt;""), 3) + 1.5*(_xlfn.QUARTILE.INC(_xlfn._xlws.FILTER(Americana!P$2:P1000, Americana!P$2:P1000&lt;&gt;""), 3) - _xlfn.QUARTILE.INC(_xlfn._xlws.FILTER(Americana!P$2:P1000, Americana!P$2:P1000&lt;&gt;""), 1))</f>
        <v>9.4849999999999994</v>
      </c>
      <c r="O7" s="8" cm="1">
        <f t="array" ref="O7">_xlfn.QUARTILE.INC(_xlfn._xlws.FILTER(Americana!Q$2:Q1000, Americana!Q$2:Q1000&lt;&gt;""), 3) + 1.5*(_xlfn.QUARTILE.INC(_xlfn._xlws.FILTER(Americana!Q$2:Q1000, Americana!Q$2:Q1000&lt;&gt;""), 3) - _xlfn.QUARTILE.INC(_xlfn._xlws.FILTER(Americana!Q$2:Q1000, Americana!Q$2:Q1000&lt;&gt;""), 1))</f>
        <v>40.583500000000001</v>
      </c>
      <c r="P7" s="8" cm="1">
        <f t="array" ref="P7">_xlfn.QUARTILE.INC(_xlfn._xlws.FILTER(Americana!R$2:R1000, Americana!R$2:R1000&lt;&gt;""), 3) + 1.5*(_xlfn.QUARTILE.INC(_xlfn._xlws.FILTER(Americana!R$2:R1000, Americana!R$2:R1000&lt;&gt;""), 3) - _xlfn.QUARTILE.INC(_xlfn._xlws.FILTER(Americana!R$2:R1000, Americana!R$2:R1000&lt;&gt;""), 1))</f>
        <v>1058.3721250000001</v>
      </c>
    </row>
    <row r="8" spans="1:25" s="8" customFormat="1" x14ac:dyDescent="0.2">
      <c r="A8" s="8" t="s">
        <v>216</v>
      </c>
      <c r="B8" s="8" t="s">
        <v>223</v>
      </c>
      <c r="C8" s="8" cm="1">
        <f t="array" ref="C8">MIN(_xlfn._xlws.FILTER(Americana!E$2:E1000, Americana!E$2:E1000&lt;&gt;""))</f>
        <v>0</v>
      </c>
      <c r="D8" s="8" cm="1">
        <f t="array" ref="D8">MIN(_xlfn._xlws.FILTER(Americana!F$2:F1000, Americana!F$2:F1000&lt;&gt;""))</f>
        <v>0</v>
      </c>
      <c r="E8" s="8" cm="1">
        <f t="array" ref="E8">MIN(_xlfn._xlws.FILTER(Americana!G$2:G1000, Americana!G$2:G1000&lt;&gt;""))</f>
        <v>0</v>
      </c>
      <c r="F8" s="8" cm="1">
        <f t="array" ref="F8">MIN(_xlfn._xlws.FILTER(Americana!H$2:H1000, Americana!H$2:H1000&lt;&gt;""))</f>
        <v>2.1469999999999998</v>
      </c>
      <c r="G8" s="8" cm="1">
        <f t="array" ref="G8">MIN(_xlfn._xlws.FILTER(Americana!I$2:I1000, Americana!I$2:I1000&lt;&gt;""))</f>
        <v>0.378</v>
      </c>
      <c r="H8" s="8" cm="1">
        <f t="array" ref="H8">MIN(_xlfn._xlws.FILTER(Americana!J$2:J1000, Americana!J$2:J1000&lt;&gt;""))</f>
        <v>2.2989999999999999</v>
      </c>
      <c r="I8" s="8" cm="1">
        <f t="array" ref="I8">MIN(_xlfn._xlws.FILTER(Americana!K$2:K1000, Americana!K$2:K1000&lt;&gt;""))</f>
        <v>0.77800000000000002</v>
      </c>
      <c r="J8" s="8" cm="1">
        <f t="array" ref="J8">MIN(_xlfn._xlws.FILTER(Americana!L$2:L1000, Americana!L$2:L1000&lt;&gt;""))</f>
        <v>0.375</v>
      </c>
      <c r="K8" s="8" cm="1">
        <f t="array" ref="K8">MIN(_xlfn._xlws.FILTER(Americana!M$2:M1000, Americana!M$2:M1000&lt;&gt;""))</f>
        <v>1.21</v>
      </c>
      <c r="L8" s="8" cm="1">
        <f t="array" ref="L8">MIN(_xlfn._xlws.FILTER(Americana!N$2:N1000, Americana!N$2:N1000&lt;&gt;""))</f>
        <v>2.6819999999999999</v>
      </c>
      <c r="M8" s="8" cm="1">
        <f t="array" ref="M8">MIN(_xlfn._xlws.FILTER(Americana!O$2:O1000, Americana!O$2:O1000&lt;&gt;""))</f>
        <v>2.7970000000000002</v>
      </c>
      <c r="N8" s="8" cm="1">
        <f t="array" ref="N8">MIN(_xlfn._xlws.FILTER(Americana!P$2:P1000, Americana!P$2:P1000&lt;&gt;""))</f>
        <v>2.2839999999999998</v>
      </c>
      <c r="O8" s="8" cm="1">
        <f t="array" ref="O8">MIN(_xlfn._xlws.FILTER(Americana!Q$2:Q1000, Americana!Q$2:Q1000&lt;&gt;""))</f>
        <v>9.2189999999999994</v>
      </c>
      <c r="P8" s="8" cm="1">
        <f t="array" ref="P8">MIN(_xlfn._xlws.FILTER(Americana!R$2:R1000, Americana!R$2:R1000&lt;&gt;""))</f>
        <v>436.43</v>
      </c>
    </row>
    <row r="9" spans="1:25" s="8" customFormat="1" x14ac:dyDescent="0.2">
      <c r="A9" s="8" t="s">
        <v>216</v>
      </c>
      <c r="B9" s="8" t="s">
        <v>224</v>
      </c>
      <c r="C9" s="8" cm="1">
        <f t="array" ref="C9">MAX(_xlfn._xlws.FILTER(Americana!E$2:E1000, Americana!E$2:E1000&lt;&gt;""))</f>
        <v>2.8740000000000001</v>
      </c>
      <c r="D9" s="8" cm="1">
        <f t="array" ref="D9">MAX(_xlfn._xlws.FILTER(Americana!F$2:F1000, Americana!F$2:F1000&lt;&gt;""))</f>
        <v>0.504</v>
      </c>
      <c r="E9" s="8" cm="1">
        <f t="array" ref="E9">MAX(_xlfn._xlws.FILTER(Americana!G$2:G1000, Americana!G$2:G1000&lt;&gt;""))</f>
        <v>0</v>
      </c>
      <c r="F9" s="8" cm="1">
        <f t="array" ref="F9">MAX(_xlfn._xlws.FILTER(Americana!H$2:H1000, Americana!H$2:H1000&lt;&gt;""))</f>
        <v>8.625</v>
      </c>
      <c r="G9" s="8" cm="1">
        <f t="array" ref="G9">MAX(_xlfn._xlws.FILTER(Americana!I$2:I1000, Americana!I$2:I1000&lt;&gt;""))</f>
        <v>3.2989999999999999</v>
      </c>
      <c r="H9" s="8" cm="1">
        <f t="array" ref="H9">MAX(_xlfn._xlws.FILTER(Americana!J$2:J1000, Americana!J$2:J1000&lt;&gt;""))</f>
        <v>4.9969999999999999</v>
      </c>
      <c r="I9" s="8" cm="1">
        <f t="array" ref="I9">MAX(_xlfn._xlws.FILTER(Americana!K$2:K1000, Americana!K$2:K1000&lt;&gt;""))</f>
        <v>1.9990000000000001</v>
      </c>
      <c r="J9" s="8" cm="1">
        <f t="array" ref="J9">MAX(_xlfn._xlws.FILTER(Americana!L$2:L1000, Americana!L$2:L1000&lt;&gt;""))</f>
        <v>1.865</v>
      </c>
      <c r="K9" s="8" cm="1">
        <f t="array" ref="K9">MAX(_xlfn._xlws.FILTER(Americana!M$2:M1000, Americana!M$2:M1000&lt;&gt;""))</f>
        <v>3.75</v>
      </c>
      <c r="L9" s="8" cm="1">
        <f t="array" ref="L9">MAX(_xlfn._xlws.FILTER(Americana!N$2:N1000, Americana!N$2:N1000&lt;&gt;""))</f>
        <v>4.9359999999999999</v>
      </c>
      <c r="M9" s="8" cm="1">
        <f t="array" ref="M9">MAX(_xlfn._xlws.FILTER(Americana!O$2:O1000, Americana!O$2:O1000&lt;&gt;""))</f>
        <v>4.6239999999999997</v>
      </c>
      <c r="N9" s="8" cm="1">
        <f t="array" ref="N9">MAX(_xlfn._xlws.FILTER(Americana!P$2:P1000, Americana!P$2:P1000&lt;&gt;""))</f>
        <v>11.193</v>
      </c>
      <c r="O9" s="8" cm="1">
        <f t="array" ref="O9">MAX(_xlfn._xlws.FILTER(Americana!Q$2:Q1000, Americana!Q$2:Q1000&lt;&gt;""))</f>
        <v>42.960999999999999</v>
      </c>
      <c r="P9" s="8" cm="1">
        <f t="array" ref="P9">MAX(_xlfn._xlws.FILTER(Americana!R$2:R1000, Americana!R$2:R1000&lt;&gt;""))</f>
        <v>945.75800000000004</v>
      </c>
    </row>
    <row r="10" spans="1:25" s="8" customFormat="1" ht="17" x14ac:dyDescent="0.25">
      <c r="A10" s="8" t="s">
        <v>216</v>
      </c>
      <c r="B10" s="8" t="s">
        <v>225</v>
      </c>
      <c r="C10" s="8" t="str">
        <f>"(" &amp; IF(MIN(Americana!E$2:E$1000)&lt;_xlfn.QUARTILE.INC(Americana!E$2:E$1000,1)-1.5*(_xlfn.QUARTILE.INC(Americana!E$2:E$1000,3)-_xlfn.QUARTILE.INC(Americana!E$2:E$1000,1)),MIN(Americana!E$2:E$1000),"") &amp; ") " &amp; _xlfn.MINIFS(Americana!E$2:E$1000,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"–" &amp; _xlfn.MAXIFS(Americana!E$2:E$1000,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 (" &amp; IF(MAX(Americana!E$2:E$1000)&gt;_xlfn.QUARTILE.INC(Americana!E$2:E$1000,3)+1.5*(_xlfn.QUARTILE.INC(Americana!E$2:E$1000,3)-_xlfn.QUARTILE.INC(Americana!E$2:E$1000,1)),MAX(Americana!E$2:E$1000),"") &amp; ") mm"</f>
        <v>() 0–0 (2.874) mm</v>
      </c>
      <c r="D10" s="8" t="str">
        <f>"(" &amp; IF(MIN(Americana!F$2:F$1000)&lt;_xlfn.QUARTILE.INC(Americana!F$2:F$1000,1)-1.5*(_xlfn.QUARTILE.INC(Americana!F$2:F$1000,3)-_xlfn.QUARTILE.INC(Americana!F$2:F$1000,1)),MIN(Americana!F$2:F$1000),"") &amp; ") " &amp; _xlfn.MINIFS(Americana!F$2:F$1000, Americana!F$2:F$1000, "&gt;=" &amp; _xlfn.QUARTILE.INC(Americana!F$2:F$1000,1)-1.5*(_xlfn.QUARTILE.INC(Americana!F$2:F$1000,3)-_xlfn.QUARTILE.INC(Americana!F$2:F$1000,1)), Americana!F$2:F$1000, "&lt;=" &amp; _xlfn.QUARTILE.INC(Americana!F$2:F$1000,3)+1.5*(_xlfn.QUARTILE.INC(Americana!F$2:F$1000,3)-_xlfn.QUARTILE.INC(Americana!F$2:F$1000,1))) &amp; "–" &amp; _xlfn.MAXIFS(Americana!F$2:F$1000, Americana!F$2:F$1000, "&gt;=" &amp; _xlfn.QUARTILE.INC(Americana!F$2:F$1000,1)-1.5*(_xlfn.QUARTILE.INC(Americana!F$2:F$1000,3)-_xlfn.QUARTILE.INC(Americana!F$2:F$1000,1)), Americana!F$2:F$1000, "&lt;=" &amp; _xlfn.QUARTILE.INC(Americana!F$2:F$1000,3)+1.5*(_xlfn.QUARTILE.INC(Americana!F$2:F$1000,3)-_xlfn.QUARTILE.INC(Americana!F$2:F$1000,1))) &amp; " (" &amp; IF(MAX(Americana!F$2:F$1000)&gt;_xlfn.QUARTILE.INC(Americana!F$2:F$1000,3)+1.5*(_xlfn.QUARTILE.INC(Americana!F$2:F$1000,3)-_xlfn.QUARTILE.INC(Americana!F$2:F$1000,1)),MAX(Americana!F$2:F$1000),"") &amp; ") mm"</f>
        <v>() 0–0 (0.504) mm</v>
      </c>
      <c r="E10" s="8" t="str">
        <f>"(" &amp; IF(MIN(Americana!G$2:G$1000)&lt;_xlfn.QUARTILE.INC(Americana!G$2:G$1000,1)-1.5*(_xlfn.QUARTILE.INC(Americana!G$2:G$1000,3)-_xlfn.QUARTILE.INC(Americana!G$2:G$1000,1)),MIN(Americana!G$2:G$1000),"") &amp; ") " &amp; _xlfn.MINIFS(Americana!G$2:G$1000, Americana!G$2:G$1000, "&gt;=" &amp; _xlfn.QUARTILE.INC(Americana!G$2:G$1000,1)-1.5*(_xlfn.QUARTILE.INC(Americana!G$2:G$1000,3)-_xlfn.QUARTILE.INC(Americana!G$2:G$1000,1)), Americana!G$2:G$1000, "&lt;=" &amp; _xlfn.QUARTILE.INC(Americana!G$2:G$1000,3)+1.5*(_xlfn.QUARTILE.INC(Americana!G$2:G$1000,3)-_xlfn.QUARTILE.INC(Americana!G$2:G$1000,1))) &amp; "–" &amp; _xlfn.MAXIFS(Americana!G$2:G$1000, Americana!G$2:G$1000, "&gt;=" &amp; _xlfn.QUARTILE.INC(Americana!G$2:G$1000,1)-1.5*(_xlfn.QUARTILE.INC(Americana!G$2:G$1000,3)-_xlfn.QUARTILE.INC(Americana!G$2:G$1000,1)), Americana!G$2:G$1000, "&lt;=" &amp; _xlfn.QUARTILE.INC(Americana!G$2:G$1000,3)+1.5*(_xlfn.QUARTILE.INC(Americana!G$2:G$1000,3)-_xlfn.QUARTILE.INC(Americana!G$2:G$1000,1))) &amp; " (" &amp; IF(MAX(Americana!G$2:G$1000)&gt;_xlfn.QUARTILE.INC(Americana!G$2:G$1000,3)+1.5*(_xlfn.QUARTILE.INC(Americana!G$2:G$1000,3)-_xlfn.QUARTILE.INC(Americana!G$2:G$1000,1)),MAX(Americana!G$2:G$1000),"") &amp; ") mm"</f>
        <v>() 0–0 () mm</v>
      </c>
      <c r="F10" s="8" t="str">
        <f>"(" &amp; IF(MIN(Americana!H$2:H$1000)&lt;_xlfn.QUARTILE.INC(Americana!H$2:H$1000,1)-1.5*(_xlfn.QUARTILE.INC(Americana!H$2:H$1000,3)-_xlfn.QUARTILE.INC(Americana!H$2:H$1000,1)),MIN(Americana!H$2:H$1000),"") &amp; ") " &amp; _xlfn.MINIFS(Americana!H$2:H$1000, Americana!H$2:H$1000, "&gt;=" &amp; _xlfn.QUARTILE.INC(Americana!H$2:H$1000,1)-1.5*(_xlfn.QUARTILE.INC(Americana!H$2:H$1000,3)-_xlfn.QUARTILE.INC(Americana!H$2:H$1000,1)), Americana!H$2:H$1000, "&lt;=" &amp; _xlfn.QUARTILE.INC(Americana!H$2:H$1000,3)+1.5*(_xlfn.QUARTILE.INC(Americana!H$2:H$1000,3)-_xlfn.QUARTILE.INC(Americana!H$2:H$1000,1))) &amp; "–" &amp; _xlfn.MAXIFS(Americana!H$2:H$1000, Americana!H$2:H$1000, "&gt;=" &amp; _xlfn.QUARTILE.INC(Americana!H$2:H$1000,1)-1.5*(_xlfn.QUARTILE.INC(Americana!H$2:H$1000,3)-_xlfn.QUARTILE.INC(Americana!H$2:H$1000,1)), Americana!H$2:H$1000, "&lt;=" &amp; _xlfn.QUARTILE.INC(Americana!H$2:H$1000,3)+1.5*(_xlfn.QUARTILE.INC(Americana!H$2:H$1000,3)-_xlfn.QUARTILE.INC(Americana!H$2:H$1000,1))) &amp; " (" &amp; IF(MAX(Americana!H$2:H$1000)&gt;_xlfn.QUARTILE.INC(Americana!H$2:H$1000,3)+1.5*(_xlfn.QUARTILE.INC(Americana!H$2:H$1000,3)-_xlfn.QUARTILE.INC(Americana!H$2:H$1000,1)),MAX(Americana!H$2:H$1000),"") &amp; ") mm"</f>
        <v>() 2.147–8.625 () mm</v>
      </c>
      <c r="G10" s="8" t="str">
        <f>"(" &amp; IF(MIN(Americana!I$2:I$1000)&lt;_xlfn.QUARTILE.INC(Americana!I$2:I$1000,1)-1.5*(_xlfn.QUARTILE.INC(Americana!I$2:I$1000,3)-_xlfn.QUARTILE.INC(Americana!I$2:I$1000,1)),MIN(Americana!I$2:I$1000),"") &amp; ") " &amp; _xlfn.MINIFS(Americana!I$2:I$1000, Americana!I$2:I$1000, "&gt;=" &amp; _xlfn.QUARTILE.INC(Americana!I$2:I$1000,1)-1.5*(_xlfn.QUARTILE.INC(Americana!I$2:I$1000,3)-_xlfn.QUARTILE.INC(Americana!I$2:I$1000,1)), Americana!I$2:I$1000, "&lt;=" &amp; _xlfn.QUARTILE.INC(Americana!I$2:I$1000,3)+1.5*(_xlfn.QUARTILE.INC(Americana!I$2:I$1000,3)-_xlfn.QUARTILE.INC(Americana!I$2:I$1000,1))) &amp; "–" &amp; _xlfn.MAXIFS(Americana!I$2:I$1000, Americana!I$2:I$1000, "&gt;=" &amp; _xlfn.QUARTILE.INC(Americana!I$2:I$1000,1)-1.5*(_xlfn.QUARTILE.INC(Americana!I$2:I$1000,3)-_xlfn.QUARTILE.INC(Americana!I$2:I$1000,1)), Americana!I$2:I$1000, "&lt;=" &amp; _xlfn.QUARTILE.INC(Americana!I$2:I$1000,3)+1.5*(_xlfn.QUARTILE.INC(Americana!I$2:I$1000,3)-_xlfn.QUARTILE.INC(Americana!I$2:I$1000,1))) &amp; " (" &amp; IF(MAX(Americana!I$2:I$1000)&gt;_xlfn.QUARTILE.INC(Americana!I$2:I$1000,3)+1.5*(_xlfn.QUARTILE.INC(Americana!I$2:I$1000,3)-_xlfn.QUARTILE.INC(Americana!I$2:I$1000,1)),MAX(Americana!I$2:I$1000),"") &amp; ") mm"</f>
        <v>() 0.378–3.299 () mm</v>
      </c>
      <c r="H10" s="8" t="str">
        <f>"(" &amp; IF(MIN(Americana!J$2:J$1000)&lt;_xlfn.QUARTILE.INC(Americana!J$2:J$1000,1)-1.5*(_xlfn.QUARTILE.INC(Americana!J$2:J$1000,3)-_xlfn.QUARTILE.INC(Americana!J$2:J$1000,1)),MIN(Americana!J$2:J$1000),"") &amp; ") " &amp; _xlfn.MINIFS(Americana!J$2:J$1000, Americana!J$2:J$1000, "&gt;=" &amp; _xlfn.QUARTILE.INC(Americana!J$2:J$1000,1)-1.5*(_xlfn.QUARTILE.INC(Americana!J$2:J$1000,3)-_xlfn.QUARTILE.INC(Americana!J$2:J$1000,1)), Americana!J$2:J$1000, "&lt;=" &amp; _xlfn.QUARTILE.INC(Americana!J$2:J$1000,3)+1.5*(_xlfn.QUARTILE.INC(Americana!J$2:J$1000,3)-_xlfn.QUARTILE.INC(Americana!J$2:J$1000,1))) &amp; "–" &amp; _xlfn.MAXIFS(Americana!J$2:J$1000, Americana!J$2:J$1000, "&gt;=" &amp; _xlfn.QUARTILE.INC(Americana!J$2:J$1000,1)-1.5*(_xlfn.QUARTILE.INC(Americana!J$2:J$1000,3)-_xlfn.QUARTILE.INC(Americana!J$2:J$1000,1)), Americana!J$2:J$1000, "&lt;=" &amp; _xlfn.QUARTILE.INC(Americana!J$2:J$1000,3)+1.5*(_xlfn.QUARTILE.INC(Americana!J$2:J$1000,3)-_xlfn.QUARTILE.INC(Americana!J$2:J$1000,1))) &amp; " (" &amp; IF(MAX(Americana!J$2:J$1000)&gt;_xlfn.QUARTILE.INC(Americana!J$2:J$1000,3)+1.5*(_xlfn.QUARTILE.INC(Americana!J$2:J$1000,3)-_xlfn.QUARTILE.INC(Americana!J$2:J$1000,1)),MAX(Americana!J$2:J$1000),"") &amp; ") mm"</f>
        <v>() 2.299–4.997 () mm</v>
      </c>
      <c r="I10" s="8" t="str">
        <f>"(" &amp; IF(MIN(Americana!K$2:K$1000)&lt;_xlfn.QUARTILE.INC(Americana!K$2:K$1000,1)-1.5*(_xlfn.QUARTILE.INC(Americana!K$2:K$1000,3)-_xlfn.QUARTILE.INC(Americana!K$2:K$1000,1)),MIN(Americana!K$2:K$1000),"") &amp; ") " &amp; _xlfn.MINIFS(Americana!K$2:K$1000, Americana!K$2:K$1000, "&gt;=" &amp; _xlfn.QUARTILE.INC(Americana!K$2:K$1000,1)-1.5*(_xlfn.QUARTILE.INC(Americana!K$2:K$1000,3)-_xlfn.QUARTILE.INC(Americana!K$2:K$1000,1)), Americana!K$2:K$1000, "&lt;=" &amp; _xlfn.QUARTILE.INC(Americana!K$2:K$1000,3)+1.5*(_xlfn.QUARTILE.INC(Americana!K$2:K$1000,3)-_xlfn.QUARTILE.INC(Americana!K$2:K$1000,1))) &amp; "–" &amp; _xlfn.MAXIFS(Americana!K$2:K$1000, Americana!K$2:K$1000, "&gt;=" &amp; _xlfn.QUARTILE.INC(Americana!K$2:K$1000,1)-1.5*(_xlfn.QUARTILE.INC(Americana!K$2:K$1000,3)-_xlfn.QUARTILE.INC(Americana!K$2:K$1000,1)), Americana!K$2:K$1000, "&lt;=" &amp; _xlfn.QUARTILE.INC(Americana!K$2:K$1000,3)+1.5*(_xlfn.QUARTILE.INC(Americana!K$2:K$1000,3)-_xlfn.QUARTILE.INC(Americana!K$2:K$1000,1))) &amp; " (" &amp; IF(MAX(Americana!K$2:K$1000)&gt;_xlfn.QUARTILE.INC(Americana!K$2:K$1000,3)+1.5*(_xlfn.QUARTILE.INC(Americana!K$2:K$1000,3)-_xlfn.QUARTILE.INC(Americana!K$2:K$1000,1)),MAX(Americana!K$2:K$1000),"") &amp; ") mm"</f>
        <v>(0.778) 0.867–1.999 () mm</v>
      </c>
      <c r="J10" s="8" t="str">
        <f>"(" &amp; IF(MIN(Americana!L$2:L$1000)&lt;_xlfn.QUARTILE.INC(Americana!L$2:L$1000,1)-1.5*(_xlfn.QUARTILE.INC(Americana!L$2:L$1000,3)-_xlfn.QUARTILE.INC(Americana!L$2:L$1000,1)),MIN(Americana!L$2:L$1000),"") &amp; ") " &amp; _xlfn.MINIFS(Americana!L$2:L$1000, Americana!L$2:L$1000, "&gt;=" &amp; _xlfn.QUARTILE.INC(Americana!L$2:L$1000,1)-1.5*(_xlfn.QUARTILE.INC(Americana!L$2:L$1000,3)-_xlfn.QUARTILE.INC(Americana!L$2:L$1000,1)), Americana!L$2:L$1000, "&lt;=" &amp; _xlfn.QUARTILE.INC(Americana!L$2:L$1000,3)+1.5*(_xlfn.QUARTILE.INC(Americana!L$2:L$1000,3)-_xlfn.QUARTILE.INC(Americana!L$2:L$1000,1))) &amp; "–" &amp; _xlfn.MAXIFS(Americana!L$2:L$1000, Americana!L$2:L$1000, "&gt;=" &amp; _xlfn.QUARTILE.INC(Americana!L$2:L$1000,1)-1.5*(_xlfn.QUARTILE.INC(Americana!L$2:L$1000,3)-_xlfn.QUARTILE.INC(Americana!L$2:L$1000,1)), Americana!L$2:L$1000, "&lt;=" &amp; _xlfn.QUARTILE.INC(Americana!L$2:L$1000,3)+1.5*(_xlfn.QUARTILE.INC(Americana!L$2:L$1000,3)-_xlfn.QUARTILE.INC(Americana!L$2:L$1000,1))) &amp; " (" &amp; IF(MAX(Americana!L$2:L$1000)&gt;_xlfn.QUARTILE.INC(Americana!L$2:L$1000,3)+1.5*(_xlfn.QUARTILE.INC(Americana!L$2:L$1000,3)-_xlfn.QUARTILE.INC(Americana!L$2:L$1000,1)),MAX(Americana!L$2:L$1000),"") &amp; ") mm"</f>
        <v>(0.375) 0.764–1.865 () mm</v>
      </c>
      <c r="K10" s="8" t="str">
        <f>"(" &amp; IF(MIN(Americana!M$2:M$1000)&lt;_xlfn.QUARTILE.INC(Americana!M$2:M$1000,1)-1.5*(_xlfn.QUARTILE.INC(Americana!M$2:M$1000,3)-_xlfn.QUARTILE.INC(Americana!M$2:M$1000,1)),MIN(Americana!M$2:M$1000),"") &amp; ") " &amp; _xlfn.MINIFS(Americana!M$2:M$1000, Americana!M$2:M$1000, "&gt;=" &amp; _xlfn.QUARTILE.INC(Americana!M$2:M$1000,1)-1.5*(_xlfn.QUARTILE.INC(Americana!M$2:M$1000,3)-_xlfn.QUARTILE.INC(Americana!M$2:M$1000,1)), Americana!M$2:M$1000, "&lt;=" &amp; _xlfn.QUARTILE.INC(Americana!M$2:M$1000,3)+1.5*(_xlfn.QUARTILE.INC(Americana!M$2:M$1000,3)-_xlfn.QUARTILE.INC(Americana!M$2:M$1000,1))) &amp; "–" &amp; _xlfn.MAXIFS(Americana!M$2:M$1000, Americana!M$2:M$1000, "&gt;=" &amp; _xlfn.QUARTILE.INC(Americana!M$2:M$1000,1)-1.5*(_xlfn.QUARTILE.INC(Americana!M$2:M$1000,3)-_xlfn.QUARTILE.INC(Americana!M$2:M$1000,1)), Americana!M$2:M$1000, "&lt;=" &amp; _xlfn.QUARTILE.INC(Americana!M$2:M$1000,3)+1.5*(_xlfn.QUARTILE.INC(Americana!M$2:M$1000,3)-_xlfn.QUARTILE.INC(Americana!M$2:M$1000,1))) &amp; " (" &amp; IF(MAX(Americana!M$2:M$1000)&gt;_xlfn.QUARTILE.INC(Americana!M$2:M$1000,3)+1.5*(_xlfn.QUARTILE.INC(Americana!M$2:M$1000,3)-_xlfn.QUARTILE.INC(Americana!M$2:M$1000,1)),MAX(Americana!M$2:M$1000),"") &amp; ") mm"</f>
        <v>(1.21) 1.57–3.162 (3.75) mm</v>
      </c>
      <c r="L10" s="8" t="str">
        <f>"(" &amp; IF(MIN(Americana!N$2:N$1000)&lt;_xlfn.QUARTILE.INC(Americana!N$2:N$1000,1)-1.5*(_xlfn.QUARTILE.INC(Americana!N$2:N$1000,3)-_xlfn.QUARTILE.INC(Americana!N$2:N$1000,1)),MIN(Americana!N$2:N$1000),"") &amp; ") " &amp; _xlfn.MINIFS(Americana!N$2:N$1000, Americana!N$2:N$1000, "&gt;=" &amp; _xlfn.QUARTILE.INC(Americana!N$2:N$1000,1)-1.5*(_xlfn.QUARTILE.INC(Americana!N$2:N$1000,3)-_xlfn.QUARTILE.INC(Americana!N$2:N$1000,1)), Americana!N$2:N$1000, "&lt;=" &amp; _xlfn.QUARTILE.INC(Americana!N$2:N$1000,3)+1.5*(_xlfn.QUARTILE.INC(Americana!N$2:N$1000,3)-_xlfn.QUARTILE.INC(Americana!N$2:N$1000,1))) &amp; "–" &amp; _xlfn.MAXIFS(Americana!N$2:N$1000, Americana!N$2:N$1000, "&gt;=" &amp; _xlfn.QUARTILE.INC(Americana!N$2:N$1000,1)-1.5*(_xlfn.QUARTILE.INC(Americana!N$2:N$1000,3)-_xlfn.QUARTILE.INC(Americana!N$2:N$1000,1)), Americana!N$2:N$1000, "&lt;=" &amp; _xlfn.QUARTILE.INC(Americana!N$2:N$1000,3)+1.5*(_xlfn.QUARTILE.INC(Americana!N$2:N$1000,3)-_xlfn.QUARTILE.INC(Americana!N$2:N$1000,1))) &amp; " (" &amp; IF(MAX(Americana!N$2:N$1000)&gt;_xlfn.QUARTILE.INC(Americana!N$2:N$1000,3)+1.5*(_xlfn.QUARTILE.INC(Americana!N$2:N$1000,3)-_xlfn.QUARTILE.INC(Americana!N$2:N$1000,1)),MAX(Americana!N$2:N$1000),"") &amp; ") mm"</f>
        <v>() 2.682–4.936 () mm</v>
      </c>
      <c r="M10" s="8" t="str">
        <f>"(" &amp; IF(MIN(Americana!O$2:O$1000)&lt;_xlfn.QUARTILE.INC(Americana!O$2:O$1000,1)-1.5*(_xlfn.QUARTILE.INC(Americana!O$2:O$1000,3)-_xlfn.QUARTILE.INC(Americana!O$2:O$1000,1)),MIN(Americana!O$2:O$1000),"") &amp; ") " &amp; _xlfn.MINIFS(Americana!O$2:O$1000, Americana!O$2:O$1000, "&gt;=" &amp; _xlfn.QUARTILE.INC(Americana!O$2:O$1000,1)-1.5*(_xlfn.QUARTILE.INC(Americana!O$2:O$1000,3)-_xlfn.QUARTILE.INC(Americana!O$2:O$1000,1)), Americana!O$2:O$1000, "&lt;=" &amp; _xlfn.QUARTILE.INC(Americana!O$2:O$1000,3)+1.5*(_xlfn.QUARTILE.INC(Americana!O$2:O$1000,3)-_xlfn.QUARTILE.INC(Americana!O$2:O$1000,1))) &amp; "–" &amp; _xlfn.MAXIFS(Americana!O$2:O$1000, Americana!O$2:O$1000, "&gt;=" &amp; _xlfn.QUARTILE.INC(Americana!O$2:O$1000,1)-1.5*(_xlfn.QUARTILE.INC(Americana!O$2:O$1000,3)-_xlfn.QUARTILE.INC(Americana!O$2:O$1000,1)), Americana!O$2:O$1000, "&lt;=" &amp; _xlfn.QUARTILE.INC(Americana!O$2:O$1000,3)+1.5*(_xlfn.QUARTILE.INC(Americana!O$2:O$1000,3)-_xlfn.QUARTILE.INC(Americana!O$2:O$1000,1))) &amp; " (" &amp; IF(MAX(Americana!O$2:O$1000)&gt;_xlfn.QUARTILE.INC(Americana!O$2:O$1000,3)+1.5*(_xlfn.QUARTILE.INC(Americana!O$2:O$1000,3)-_xlfn.QUARTILE.INC(Americana!O$2:O$1000,1)),MAX(Americana!O$2:O$1000),"") &amp; ") mm"</f>
        <v>() 2.797–4.624 () mm</v>
      </c>
      <c r="N10" s="8" t="str">
        <f>"(" &amp; IF(MIN(Americana!P$2:P$1000)&lt;_xlfn.QUARTILE.INC(Americana!P$2:P$1000,1)-1.5*(_xlfn.QUARTILE.INC(Americana!P$2:P$1000,3)-_xlfn.QUARTILE.INC(Americana!P$2:P$1000,1)),MIN(Americana!P$2:P$1000),"") &amp; ") " &amp; _xlfn.MINIFS(Americana!P$2:P$1000, Americana!P$2:P$1000, "&gt;=" &amp; _xlfn.QUARTILE.INC(Americana!P$2:P$1000,1)-1.5*(_xlfn.QUARTILE.INC(Americana!P$2:P$1000,3)-_xlfn.QUARTILE.INC(Americana!P$2:P$1000,1)), Americana!P$2:P$1000, "&lt;=" &amp; _xlfn.QUARTILE.INC(Americana!P$2:P$1000,3)+1.5*(_xlfn.QUARTILE.INC(Americana!P$2:P$1000,3)-_xlfn.QUARTILE.INC(Americana!P$2:P$1000,1))) &amp; "–" &amp; _xlfn.MAXIFS(Americana!P$2:P$1000, Americana!P$2:P$1000, "&gt;=" &amp; _xlfn.QUARTILE.INC(Americana!P$2:P$1000,1)-1.5*(_xlfn.QUARTILE.INC(Americana!P$2:P$1000,3)-_xlfn.QUARTILE.INC(Americana!P$2:P$1000,1)), Americana!P$2:P$1000, "&lt;=" &amp; _xlfn.QUARTILE.INC(Americana!P$2:P$1000,3)+1.5*(_xlfn.QUARTILE.INC(Americana!P$2:P$1000,3)-_xlfn.QUARTILE.INC(Americana!P$2:P$1000,1))) &amp; " (" &amp; IF(MAX(Americana!P$2:P$1000)&gt;_xlfn.QUARTILE.INC(Americana!P$2:P$1000,3)+1.5*(_xlfn.QUARTILE.INC(Americana!P$2:P$1000,3)-_xlfn.QUARTILE.INC(Americana!P$2:P$1000,1)),MAX(Americana!P$2:P$1000),"") &amp; ") mm"</f>
        <v>() 2.284–8.485 (11.193) mm</v>
      </c>
      <c r="O10" s="8" t="str">
        <f>"(" &amp; IF(MIN(Americana!Q$2:Q$1000)&lt;_xlfn.QUARTILE.INC(Americana!Q$2:Q$1000,1)-1.5*(_xlfn.QUARTILE.INC(Americana!Q$2:Q$1000,3)-_xlfn.QUARTILE.INC(Americana!Q$2:Q$1000,1)),MIN(Americana!Q$2:Q$1000),"") &amp; ") " &amp; _xlfn.MINIFS(Americana!Q$2:Q$1000, Americana!Q$2:Q$1000, "&gt;=" &amp; _xlfn.QUARTILE.INC(Americana!Q$2:Q$1000,1)-1.5*(_xlfn.QUARTILE.INC(Americana!Q$2:Q$1000,3)-_xlfn.QUARTILE.INC(Americana!Q$2:Q$1000,1)), Americana!Q$2:Q$1000, "&lt;=" &amp; _xlfn.QUARTILE.INC(Americana!Q$2:Q$1000,3)+1.5*(_xlfn.QUARTILE.INC(Americana!Q$2:Q$1000,3)-_xlfn.QUARTILE.INC(Americana!Q$2:Q$1000,1))) &amp; "–" &amp; _xlfn.MAXIFS(Americana!Q$2:Q$1000, Americana!Q$2:Q$1000, "&gt;=" &amp; _xlfn.QUARTILE.INC(Americana!Q$2:Q$1000,1)-1.5*(_xlfn.QUARTILE.INC(Americana!Q$2:Q$1000,3)-_xlfn.QUARTILE.INC(Americana!Q$2:Q$1000,1)), Americana!Q$2:Q$1000, "&lt;=" &amp; _xlfn.QUARTILE.INC(Americana!Q$2:Q$1000,3)+1.5*(_xlfn.QUARTILE.INC(Americana!Q$2:Q$1000,3)-_xlfn.QUARTILE.INC(Americana!Q$2:Q$1000,1))) &amp; " (" &amp; IF(MAX(Americana!Q$2:Q$1000)&gt;_xlfn.QUARTILE.INC(Americana!Q$2:Q$1000,3)+1.5*(_xlfn.QUARTILE.INC(Americana!Q$2:Q$1000,3)-_xlfn.QUARTILE.INC(Americana!Q$2:Q$1000,1)),MAX(Americana!Q$2:Q$1000),"") &amp; ") mm"</f>
        <v>() 9.219–37.631 (42.961) mm</v>
      </c>
      <c r="P10" s="8" t="str">
        <f>"(" &amp; IF(MIN(Americana!R$2:R$1000)&lt;_xlfn.QUARTILE.INC(Americana!R$2:R$1000,1)-1.5*(_xlfn.QUARTILE.INC(Americana!R$2:R$1000,3)-_xlfn.QUARTILE.INC(Americana!R$2:R$1000,1)),MIN(Americana!R$2:R$1000),"") &amp; ") " &amp; _xlfn.MINIFS(Americana!R$2:R$1000, Americana!R$2:R$1000, "&gt;=" &amp; _xlfn.QUARTILE.INC(Americana!R$2:R$1000,1)-1.5*(_xlfn.QUARTILE.INC(Americana!R$2:R$1000,3)-_xlfn.QUARTILE.INC(Americana!R$2:R$1000,1)), Americana!R$2:R$1000, "&lt;=" &amp; _xlfn.QUARTILE.INC(Americana!R$2:R$1000,3)+1.5*(_xlfn.QUARTILE.INC(Americana!R$2:R$1000,3)-_xlfn.QUARTILE.INC(Americana!R$2:R$1000,1))) &amp; "–" &amp; _xlfn.MAXIFS(Americana!R$2:R$1000, Americana!R$2:R$1000, "&gt;=" &amp; _xlfn.QUARTILE.INC(Americana!R$2:R$1000,1)-1.5*(_xlfn.QUARTILE.INC(Americana!R$2:R$1000,3)-_xlfn.QUARTILE.INC(Americana!R$2:R$1000,1)), Americana!R$2:R$1000, "&lt;=" &amp; _xlfn.QUARTILE.INC(Americana!R$2:R$1000,3)+1.5*(_xlfn.QUARTILE.INC(Americana!R$2:R$1000,3)-_xlfn.QUARTILE.INC(Americana!R$2:R$1000,1))) &amp; " (" &amp; IF(MAX(Americana!R$2:R$1000)&gt;_xlfn.QUARTILE.INC(Americana!R$2:R$1000,3)+1.5*(_xlfn.QUARTILE.INC(Americana!R$2:R$1000,3)-_xlfn.QUARTILE.INC(Americana!R$2:R$1000,1)),MAX(Americana!R$2:R$1000),"") &amp; ") mm"</f>
        <v>() 436.43–945.758 () mm</v>
      </c>
    </row>
    <row r="11" spans="1:25" s="7" customFormat="1" x14ac:dyDescent="0.2">
      <c r="A11" s="7" t="s">
        <v>198</v>
      </c>
      <c r="B11" s="7" t="s">
        <v>217</v>
      </c>
      <c r="C11" s="7" cm="1">
        <f t="array" ref="C11">_xlfn.QUARTILE.INC(_xlfn._xlws.FILTER(Brevipetala!E$2:E$1000, Brevipetala!E$2:E$1000&lt;&gt;""), 1)</f>
        <v>0</v>
      </c>
      <c r="D11" s="7" cm="1">
        <f t="array" ref="D11">_xlfn.QUARTILE.INC(_xlfn._xlws.FILTER(Brevipetala!F$2:F$1000, Brevipetala!F$2:F$1000&lt;&gt;""), 1)</f>
        <v>0</v>
      </c>
      <c r="E11" s="7" cm="1">
        <f t="array" ref="E11">_xlfn.QUARTILE.INC(_xlfn._xlws.FILTER(Brevipetala!G$2:G$1000, Brevipetala!G$2:G$1000&lt;&gt;""), 1)</f>
        <v>0</v>
      </c>
      <c r="F11" s="7" cm="1">
        <f t="array" ref="F11">_xlfn.QUARTILE.INC(_xlfn._xlws.FILTER(Brevipetala!H$2:H$1000, Brevipetala!H$2:H$1000&lt;&gt;""), 1)</f>
        <v>3.742</v>
      </c>
      <c r="G11" s="7" cm="1">
        <f t="array" ref="G11">_xlfn.QUARTILE.INC(_xlfn._xlws.FILTER(Brevipetala!I$2:I$1000, Brevipetala!I$2:I$1000&lt;&gt;""), 1)</f>
        <v>1.19275</v>
      </c>
      <c r="H11" s="7" cm="1">
        <f t="array" ref="H11">_xlfn.QUARTILE.INC(_xlfn._xlws.FILTER(Brevipetala!J$2:J$1000, Brevipetala!J$2:J$1000&lt;&gt;""), 1)</f>
        <v>3.0270000000000001</v>
      </c>
      <c r="I11" s="7" cm="1">
        <f t="array" ref="I11">_xlfn.QUARTILE.INC(_xlfn._xlws.FILTER(Brevipetala!K$2:K$1000, Brevipetala!K$2:K$1000&lt;&gt;""), 1)</f>
        <v>0.96350000000000002</v>
      </c>
      <c r="J11" s="7" cm="1">
        <f t="array" ref="J11">_xlfn.QUARTILE.INC(_xlfn._xlws.FILTER(Brevipetala!L$2:L$1000, Brevipetala!L$2:L$1000&lt;&gt;""), 1)</f>
        <v>0.753</v>
      </c>
      <c r="K11" s="7" cm="1">
        <f t="array" ref="K11">_xlfn.QUARTILE.INC(_xlfn._xlws.FILTER(Brevipetala!M$2:M$1000, Brevipetala!M$2:M$1000&lt;&gt;""), 1)</f>
        <v>1.8435000000000001</v>
      </c>
      <c r="L11" s="7" cm="1">
        <f t="array" ref="L11">_xlfn.QUARTILE.INC(_xlfn._xlws.FILTER(Brevipetala!N$2:N$1000, Brevipetala!N$2:N$1000&lt;&gt;""), 1)</f>
        <v>3.47</v>
      </c>
      <c r="M11" s="7" cm="1">
        <f t="array" ref="M11">_xlfn.QUARTILE.INC(_xlfn._xlws.FILTER(Brevipetala!O$2:O$1000, Brevipetala!O$2:O$1000&lt;&gt;""), 1)</f>
        <v>3.1120000000000001</v>
      </c>
      <c r="N11" s="7" cm="1">
        <f t="array" ref="N11">_xlfn.QUARTILE.INC(_xlfn._xlws.FILTER(Brevipetala!P$2:P$1000, Brevipetala!P$2:P$1000&lt;&gt;""), 1)</f>
        <v>3.17</v>
      </c>
      <c r="O11" s="7" cm="1">
        <f t="array" ref="O11">_xlfn.QUARTILE.INC(_xlfn._xlws.FILTER(Brevipetala!Q$2:Q$1000, Brevipetala!Q$2:Q$1000&lt;&gt;""), 1)</f>
        <v>12.382999999999999</v>
      </c>
      <c r="P11" s="7" cm="1">
        <f t="array" ref="P11">_xlfn.QUARTILE.INC(_xlfn._xlws.FILTER(Brevipetala!R$2:R$1000, Brevipetala!R$2:R$1000&lt;&gt;""), 1)</f>
        <v>581.36725000000001</v>
      </c>
    </row>
    <row r="12" spans="1:25" s="7" customFormat="1" x14ac:dyDescent="0.2">
      <c r="A12" s="7" t="s">
        <v>199</v>
      </c>
      <c r="B12" s="7" t="s">
        <v>218</v>
      </c>
      <c r="C12" s="7" cm="1">
        <f t="array" ref="C12">_xlfn.QUARTILE.INC(_xlfn._xlws.FILTER(Brevipetala!E$2:E$1000, Brevipetala!E$2:E$1000&lt;&gt;""), 2)</f>
        <v>0</v>
      </c>
      <c r="D12" s="7" cm="1">
        <f t="array" ref="D12">_xlfn.QUARTILE.INC(_xlfn._xlws.FILTER(Brevipetala!F$2:F$1000, Brevipetala!F$2:F$1000&lt;&gt;""), 2)</f>
        <v>0</v>
      </c>
      <c r="E12" s="7" cm="1">
        <f t="array" ref="E12">_xlfn.QUARTILE.INC(_xlfn._xlws.FILTER(Brevipetala!G$2:G$1000, Brevipetala!G$2:G$1000&lt;&gt;""), 2)</f>
        <v>0</v>
      </c>
      <c r="F12" s="7" cm="1">
        <f t="array" ref="F12">_xlfn.QUARTILE.INC(_xlfn._xlws.FILTER(Brevipetala!H$2:H$1000, Brevipetala!H$2:H$1000&lt;&gt;""), 2)</f>
        <v>4.9065000000000003</v>
      </c>
      <c r="G12" s="7" cm="1">
        <f t="array" ref="G12">_xlfn.QUARTILE.INC(_xlfn._xlws.FILTER(Brevipetala!I$2:I$1000, Brevipetala!I$2:I$1000&lt;&gt;""), 2)</f>
        <v>1.5055000000000001</v>
      </c>
      <c r="H12" s="7" cm="1">
        <f t="array" ref="H12">_xlfn.QUARTILE.INC(_xlfn._xlws.FILTER(Brevipetala!J$2:J$1000, Brevipetala!J$2:J$1000&lt;&gt;""), 2)</f>
        <v>3.7</v>
      </c>
      <c r="I12" s="7" cm="1">
        <f t="array" ref="I12">_xlfn.QUARTILE.INC(_xlfn._xlws.FILTER(Brevipetala!K$2:K$1000, Brevipetala!K$2:K$1000&lt;&gt;""), 2)</f>
        <v>1.1759999999999999</v>
      </c>
      <c r="J12" s="7" cm="1">
        <f t="array" ref="J12">_xlfn.QUARTILE.INC(_xlfn._xlws.FILTER(Brevipetala!L$2:L$1000, Brevipetala!L$2:L$1000&lt;&gt;""), 2)</f>
        <v>0.95150000000000001</v>
      </c>
      <c r="K12" s="7" cm="1">
        <f t="array" ref="K12">_xlfn.QUARTILE.INC(_xlfn._xlws.FILTER(Brevipetala!M$2:M$1000, Brevipetala!M$2:M$1000&lt;&gt;""), 2)</f>
        <v>2.3130000000000002</v>
      </c>
      <c r="L12" s="7" cm="1">
        <f t="array" ref="L12">_xlfn.QUARTILE.INC(_xlfn._xlws.FILTER(Brevipetala!N$2:N$1000, Brevipetala!N$2:N$1000&lt;&gt;""), 2)</f>
        <v>3.8449999999999998</v>
      </c>
      <c r="M12" s="7" cm="1">
        <f t="array" ref="M12">_xlfn.QUARTILE.INC(_xlfn._xlws.FILTER(Brevipetala!O$2:O$1000, Brevipetala!O$2:O$1000&lt;&gt;""), 2)</f>
        <v>3.7035</v>
      </c>
      <c r="N12" s="7" cm="1">
        <f t="array" ref="N12">_xlfn.QUARTILE.INC(_xlfn._xlws.FILTER(Brevipetala!P$2:P$1000, Brevipetala!P$2:P$1000&lt;&gt;""), 2)</f>
        <v>4.18</v>
      </c>
      <c r="O12" s="7" cm="1">
        <f t="array" ref="O12">_xlfn.QUARTILE.INC(_xlfn._xlws.FILTER(Brevipetala!Q$2:Q$1000, Brevipetala!Q$2:Q$1000&lt;&gt;""), 2)</f>
        <v>16.478000000000002</v>
      </c>
      <c r="P12" s="7" cm="1">
        <f t="array" ref="P12">_xlfn.QUARTILE.INC(_xlfn._xlws.FILTER(Brevipetala!R$2:R$1000, Brevipetala!R$2:R$1000&lt;&gt;""), 2)</f>
        <v>694.71199999999999</v>
      </c>
    </row>
    <row r="13" spans="1:25" s="7" customFormat="1" x14ac:dyDescent="0.2">
      <c r="A13" s="7" t="s">
        <v>200</v>
      </c>
      <c r="B13" s="7" t="s">
        <v>219</v>
      </c>
      <c r="C13" s="7" cm="1">
        <f t="array" ref="C13">_xlfn.QUARTILE.INC(_xlfn._xlws.FILTER(Brevipetala!E$2:E$1000, Brevipetala!E$2:E$1000&lt;&gt;""), 3)</f>
        <v>0</v>
      </c>
      <c r="D13" s="7" cm="1">
        <f t="array" ref="D13">_xlfn.QUARTILE.INC(_xlfn._xlws.FILTER(Brevipetala!F$2:F$1000, Brevipetala!F$2:F$1000&lt;&gt;""), 3)</f>
        <v>0</v>
      </c>
      <c r="E13" s="7" cm="1">
        <f t="array" ref="E13">_xlfn.QUARTILE.INC(_xlfn._xlws.FILTER(Brevipetala!G$2:G$1000, Brevipetala!G$2:G$1000&lt;&gt;""), 3)</f>
        <v>0.72299999999999998</v>
      </c>
      <c r="F13" s="7" cm="1">
        <f t="array" ref="F13">_xlfn.QUARTILE.INC(_xlfn._xlws.FILTER(Brevipetala!H$2:H$1000, Brevipetala!H$2:H$1000&lt;&gt;""), 3)</f>
        <v>5.9637500000000001</v>
      </c>
      <c r="G13" s="7" cm="1">
        <f t="array" ref="G13">_xlfn.QUARTILE.INC(_xlfn._xlws.FILTER(Brevipetala!I$2:I$1000, Brevipetala!I$2:I$1000&lt;&gt;""), 3)</f>
        <v>2.23</v>
      </c>
      <c r="H13" s="7" cm="1">
        <f t="array" ref="H13">_xlfn.QUARTILE.INC(_xlfn._xlws.FILTER(Brevipetala!J$2:J$1000, Brevipetala!J$2:J$1000&lt;&gt;""), 3)</f>
        <v>4.0950000000000006</v>
      </c>
      <c r="I13" s="7" cm="1">
        <f t="array" ref="I13">_xlfn.QUARTILE.INC(_xlfn._xlws.FILTER(Brevipetala!K$2:K$1000, Brevipetala!K$2:K$1000&lt;&gt;""), 3)</f>
        <v>1.524</v>
      </c>
      <c r="J13" s="7" cm="1">
        <f t="array" ref="J13">_xlfn.QUARTILE.INC(_xlfn._xlws.FILTER(Brevipetala!L$2:L$1000, Brevipetala!L$2:L$1000&lt;&gt;""), 3)</f>
        <v>1.26075</v>
      </c>
      <c r="K13" s="7" cm="1">
        <f t="array" ref="K13">_xlfn.QUARTILE.INC(_xlfn._xlws.FILTER(Brevipetala!M$2:M$1000, Brevipetala!M$2:M$1000&lt;&gt;""), 3)</f>
        <v>2.6520000000000001</v>
      </c>
      <c r="L13" s="7" cm="1">
        <f t="array" ref="L13">_xlfn.QUARTILE.INC(_xlfn._xlws.FILTER(Brevipetala!N$2:N$1000, Brevipetala!N$2:N$1000&lt;&gt;""), 3)</f>
        <v>4.3202499999999997</v>
      </c>
      <c r="M13" s="7" cm="1">
        <f t="array" ref="M13">_xlfn.QUARTILE.INC(_xlfn._xlws.FILTER(Brevipetala!O$2:O$1000, Brevipetala!O$2:O$1000&lt;&gt;""), 3)</f>
        <v>4.2687499999999998</v>
      </c>
      <c r="N13" s="7" cm="1">
        <f t="array" ref="N13">_xlfn.QUARTILE.INC(_xlfn._xlws.FILTER(Brevipetala!P$2:P$1000, Brevipetala!P$2:P$1000&lt;&gt;""), 3)</f>
        <v>5.556</v>
      </c>
      <c r="O13" s="7" cm="1">
        <f t="array" ref="O13">_xlfn.QUARTILE.INC(_xlfn._xlws.FILTER(Brevipetala!Q$2:Q$1000, Brevipetala!Q$2:Q$1000&lt;&gt;""), 3)</f>
        <v>23.35</v>
      </c>
      <c r="P13" s="7" cm="1">
        <f t="array" ref="P13">_xlfn.QUARTILE.INC(_xlfn._xlws.FILTER(Brevipetala!R$2:R$1000, Brevipetala!R$2:R$1000&lt;&gt;""), 3)</f>
        <v>783.85524999999996</v>
      </c>
    </row>
    <row r="14" spans="1:25" s="7" customFormat="1" x14ac:dyDescent="0.2">
      <c r="A14" s="7" t="s">
        <v>201</v>
      </c>
      <c r="B14" s="7" t="s">
        <v>220</v>
      </c>
      <c r="C14" s="7" cm="1">
        <f t="array" ref="C14">_xlfn.QUARTILE.INC(_xlfn._xlws.FILTER(Brevipetala!E$2:E$1000, Brevipetala!E$2:E$1000&lt;&gt;""), 3) - _xlfn.QUARTILE.INC(_xlfn._xlws.FILTER(Brevipetala!E$2:E$1000, Brevipetala!E$2:E$1000&lt;&gt;""), 1)</f>
        <v>0</v>
      </c>
      <c r="D14" s="7" cm="1">
        <f t="array" ref="D14">_xlfn.QUARTILE.INC(_xlfn._xlws.FILTER(Brevipetala!F$2:F$1000, Brevipetala!F$2:F$1000&lt;&gt;""), 3) - _xlfn.QUARTILE.INC(_xlfn._xlws.FILTER(Brevipetala!F$2:F$1000, Brevipetala!F$2:F$1000&lt;&gt;""), 1)</f>
        <v>0</v>
      </c>
      <c r="E14" s="7" cm="1">
        <f t="array" ref="E14">_xlfn.QUARTILE.INC(_xlfn._xlws.FILTER(Brevipetala!G$2:G$1000, Brevipetala!G$2:G$1000&lt;&gt;""), 3) - _xlfn.QUARTILE.INC(_xlfn._xlws.FILTER(Brevipetala!G$2:G$1000, Brevipetala!G$2:G$1000&lt;&gt;""), 1)</f>
        <v>0.72299999999999998</v>
      </c>
      <c r="F14" s="7" cm="1">
        <f t="array" ref="F14">_xlfn.QUARTILE.INC(_xlfn._xlws.FILTER(Brevipetala!H$2:H$1000, Brevipetala!H$2:H$1000&lt;&gt;""), 3) - _xlfn.QUARTILE.INC(_xlfn._xlws.FILTER(Brevipetala!H$2:H$1000, Brevipetala!H$2:H$1000&lt;&gt;""), 1)</f>
        <v>2.2217500000000001</v>
      </c>
      <c r="G14" s="7" cm="1">
        <f t="array" ref="G14">_xlfn.QUARTILE.INC(_xlfn._xlws.FILTER(Brevipetala!I$2:I$1000, Brevipetala!I$2:I$1000&lt;&gt;""), 3) - _xlfn.QUARTILE.INC(_xlfn._xlws.FILTER(Brevipetala!I$2:I$1000, Brevipetala!I$2:I$1000&lt;&gt;""), 1)</f>
        <v>1.03725</v>
      </c>
      <c r="H14" s="7" cm="1">
        <f t="array" ref="H14">_xlfn.QUARTILE.INC(_xlfn._xlws.FILTER(Brevipetala!J$2:J$1000, Brevipetala!J$2:J$1000&lt;&gt;""), 3) - _xlfn.QUARTILE.INC(_xlfn._xlws.FILTER(Brevipetala!J$2:J$1000, Brevipetala!J$2:J$1000&lt;&gt;""), 1)</f>
        <v>1.0680000000000005</v>
      </c>
      <c r="I14" s="7" cm="1">
        <f t="array" ref="I14">_xlfn.QUARTILE.INC(_xlfn._xlws.FILTER(Brevipetala!K$2:K$1000, Brevipetala!K$2:K$1000&lt;&gt;""), 3) - _xlfn.QUARTILE.INC(_xlfn._xlws.FILTER(Brevipetala!K$2:K$1000, Brevipetala!K$2:K$1000&lt;&gt;""), 1)</f>
        <v>0.5605</v>
      </c>
      <c r="J14" s="7" cm="1">
        <f t="array" ref="J14">_xlfn.QUARTILE.INC(_xlfn._xlws.FILTER(Brevipetala!L$2:L$1000, Brevipetala!L$2:L$1000&lt;&gt;""), 3) - _xlfn.QUARTILE.INC(_xlfn._xlws.FILTER(Brevipetala!L$2:L$1000, Brevipetala!L$2:L$1000&lt;&gt;""), 1)</f>
        <v>0.50775000000000003</v>
      </c>
      <c r="K14" s="7" cm="1">
        <f t="array" ref="K14">_xlfn.QUARTILE.INC(_xlfn._xlws.FILTER(Brevipetala!M$2:M$1000, Brevipetala!M$2:M$1000&lt;&gt;""), 3) - _xlfn.QUARTILE.INC(_xlfn._xlws.FILTER(Brevipetala!M$2:M$1000, Brevipetala!M$2:M$1000&lt;&gt;""), 1)</f>
        <v>0.8085</v>
      </c>
      <c r="L14" s="7" cm="1">
        <f t="array" ref="L14">_xlfn.QUARTILE.INC(_xlfn._xlws.FILTER(Brevipetala!N$2:N$1000, Brevipetala!N$2:N$1000&lt;&gt;""), 3) - _xlfn.QUARTILE.INC(_xlfn._xlws.FILTER(Brevipetala!N$2:N$1000, Brevipetala!N$2:N$1000&lt;&gt;""), 1)</f>
        <v>0.85024999999999951</v>
      </c>
      <c r="M14" s="7" cm="1">
        <f t="array" ref="M14">_xlfn.QUARTILE.INC(_xlfn._xlws.FILTER(Brevipetala!O$2:O$1000, Brevipetala!O$2:O$1000&lt;&gt;""), 3) - _xlfn.QUARTILE.INC(_xlfn._xlws.FILTER(Brevipetala!O$2:O$1000, Brevipetala!O$2:O$1000&lt;&gt;""), 1)</f>
        <v>1.1567499999999997</v>
      </c>
      <c r="N14" s="7" cm="1">
        <f t="array" ref="N14">_xlfn.QUARTILE.INC(_xlfn._xlws.FILTER(Brevipetala!P$2:P$1000, Brevipetala!P$2:P$1000&lt;&gt;""), 3) - _xlfn.QUARTILE.INC(_xlfn._xlws.FILTER(Brevipetala!P$2:P$1000, Brevipetala!P$2:P$1000&lt;&gt;""), 1)</f>
        <v>2.3860000000000001</v>
      </c>
      <c r="O14" s="7" cm="1">
        <f t="array" ref="O14">_xlfn.QUARTILE.INC(_xlfn._xlws.FILTER(Brevipetala!Q$2:Q$1000, Brevipetala!Q$2:Q$1000&lt;&gt;""), 3) - _xlfn.QUARTILE.INC(_xlfn._xlws.FILTER(Brevipetala!Q$2:Q$1000, Brevipetala!Q$2:Q$1000&lt;&gt;""), 1)</f>
        <v>10.967000000000002</v>
      </c>
      <c r="P14" s="7" cm="1">
        <f t="array" ref="P14">_xlfn.QUARTILE.INC(_xlfn._xlws.FILTER(Brevipetala!R$2:R$1000, Brevipetala!R$2:R$1000&lt;&gt;""), 3) - _xlfn.QUARTILE.INC(_xlfn._xlws.FILTER(Brevipetala!R$2:R$1000, Brevipetala!R$2:R$1000&lt;&gt;""), 1)</f>
        <v>202.48799999999994</v>
      </c>
    </row>
    <row r="15" spans="1:25" s="7" customFormat="1" x14ac:dyDescent="0.2">
      <c r="A15" s="7" t="s">
        <v>202</v>
      </c>
      <c r="B15" s="7" t="s">
        <v>221</v>
      </c>
      <c r="C15" s="7" cm="1">
        <f t="array" ref="C15">_xlfn.QUARTILE.INC(_xlfn._xlws.FILTER(Brevipetala!E$2:E$1000, Brevipetala!E$2:E$1000&lt;&gt;""), 1) - 1.5*(_xlfn.QUARTILE.INC(_xlfn._xlws.FILTER(Brevipetala!E$2:E$1000, Brevipetala!E$2:E$1000&lt;&gt;""), 3) - _xlfn.QUARTILE.INC(_xlfn._xlws.FILTER(Brevipetala!E$2:E$1000, Brevipetala!E$2:E$1000&lt;&gt;""), 1))</f>
        <v>0</v>
      </c>
      <c r="D15" s="7" cm="1">
        <f t="array" ref="D15">_xlfn.QUARTILE.INC(_xlfn._xlws.FILTER(Brevipetala!F$2:F$1000, Brevipetala!F$2:F$1000&lt;&gt;""), 1) - 1.5*(_xlfn.QUARTILE.INC(_xlfn._xlws.FILTER(Brevipetala!F$2:F$1000, Brevipetala!F$2:F$1000&lt;&gt;""), 3) - _xlfn.QUARTILE.INC(_xlfn._xlws.FILTER(Brevipetala!F$2:F$1000, Brevipetala!F$2:F$1000&lt;&gt;""), 1))</f>
        <v>0</v>
      </c>
      <c r="E15" s="7" cm="1">
        <f t="array" ref="E15">_xlfn.QUARTILE.INC(_xlfn._xlws.FILTER(Brevipetala!G$2:G$1000, Brevipetala!G$2:G$1000&lt;&gt;""), 1) - 1.5*(_xlfn.QUARTILE.INC(_xlfn._xlws.FILTER(Brevipetala!G$2:G$1000, Brevipetala!G$2:G$1000&lt;&gt;""), 3) - _xlfn.QUARTILE.INC(_xlfn._xlws.FILTER(Brevipetala!G$2:G$1000, Brevipetala!G$2:G$1000&lt;&gt;""), 1))</f>
        <v>-1.0845</v>
      </c>
      <c r="F15" s="7" cm="1">
        <f t="array" ref="F15">_xlfn.QUARTILE.INC(_xlfn._xlws.FILTER(Brevipetala!H$2:H$1000, Brevipetala!H$2:H$1000&lt;&gt;""), 1) - 1.5*(_xlfn.QUARTILE.INC(_xlfn._xlws.FILTER(Brevipetala!H$2:H$1000, Brevipetala!H$2:H$1000&lt;&gt;""), 3) - _xlfn.QUARTILE.INC(_xlfn._xlws.FILTER(Brevipetala!H$2:H$1000, Brevipetala!H$2:H$1000&lt;&gt;""), 1))</f>
        <v>0.40937499999999982</v>
      </c>
      <c r="G15" s="7" cm="1">
        <f t="array" ref="G15">_xlfn.QUARTILE.INC(_xlfn._xlws.FILTER(Brevipetala!I$2:I$1000, Brevipetala!I$2:I$1000&lt;&gt;""), 1) - 1.5*(_xlfn.QUARTILE.INC(_xlfn._xlws.FILTER(Brevipetala!I$2:I$1000, Brevipetala!I$2:I$1000&lt;&gt;""), 3) - _xlfn.QUARTILE.INC(_xlfn._xlws.FILTER(Brevipetala!I$2:I$1000, Brevipetala!I$2:I$1000&lt;&gt;""), 1))</f>
        <v>-0.36312499999999992</v>
      </c>
      <c r="H15" s="7" cm="1">
        <f t="array" ref="H15">_xlfn.QUARTILE.INC(_xlfn._xlws.FILTER(Brevipetala!J$2:J$1000, Brevipetala!J$2:J$1000&lt;&gt;""), 1) - 1.5*(_xlfn.QUARTILE.INC(_xlfn._xlws.FILTER(Brevipetala!J$2:J$1000, Brevipetala!J$2:J$1000&lt;&gt;""), 3) - _xlfn.QUARTILE.INC(_xlfn._xlws.FILTER(Brevipetala!J$2:J$1000, Brevipetala!J$2:J$1000&lt;&gt;""), 1))</f>
        <v>1.4249999999999994</v>
      </c>
      <c r="I15" s="7" cm="1">
        <f t="array" ref="I15">_xlfn.QUARTILE.INC(_xlfn._xlws.FILTER(Brevipetala!K$2:K$1000, Brevipetala!K$2:K$1000&lt;&gt;""), 1) - 1.5*(_xlfn.QUARTILE.INC(_xlfn._xlws.FILTER(Brevipetala!K$2:K$1000, Brevipetala!K$2:K$1000&lt;&gt;""), 3) - _xlfn.QUARTILE.INC(_xlfn._xlws.FILTER(Brevipetala!K$2:K$1000, Brevipetala!K$2:K$1000&lt;&gt;""), 1))</f>
        <v>0.12275000000000003</v>
      </c>
      <c r="J15" s="7" cm="1">
        <f t="array" ref="J15">_xlfn.QUARTILE.INC(_xlfn._xlws.FILTER(Brevipetala!L$2:L$1000, Brevipetala!L$2:L$1000&lt;&gt;""), 1) - 1.5*(_xlfn.QUARTILE.INC(_xlfn._xlws.FILTER(Brevipetala!L$2:L$1000, Brevipetala!L$2:L$1000&lt;&gt;""), 3) - _xlfn.QUARTILE.INC(_xlfn._xlws.FILTER(Brevipetala!L$2:L$1000, Brevipetala!L$2:L$1000&lt;&gt;""), 1))</f>
        <v>-8.6249999999999938E-3</v>
      </c>
      <c r="K15" s="7" cm="1">
        <f t="array" ref="K15">_xlfn.QUARTILE.INC(_xlfn._xlws.FILTER(Brevipetala!M$2:M$1000, Brevipetala!M$2:M$1000&lt;&gt;""), 1) - 1.5*(_xlfn.QUARTILE.INC(_xlfn._xlws.FILTER(Brevipetala!M$2:M$1000, Brevipetala!M$2:M$1000&lt;&gt;""), 3) - _xlfn.QUARTILE.INC(_xlfn._xlws.FILTER(Brevipetala!M$2:M$1000, Brevipetala!M$2:M$1000&lt;&gt;""), 1))</f>
        <v>0.63075000000000014</v>
      </c>
      <c r="L15" s="7" cm="1">
        <f t="array" ref="L15">_xlfn.QUARTILE.INC(_xlfn._xlws.FILTER(Brevipetala!N$2:N$1000, Brevipetala!N$2:N$1000&lt;&gt;""), 1) - 1.5*(_xlfn.QUARTILE.INC(_xlfn._xlws.FILTER(Brevipetala!N$2:N$1000, Brevipetala!N$2:N$1000&lt;&gt;""), 3) - _xlfn.QUARTILE.INC(_xlfn._xlws.FILTER(Brevipetala!N$2:N$1000, Brevipetala!N$2:N$1000&lt;&gt;""), 1))</f>
        <v>2.1946250000000012</v>
      </c>
      <c r="M15" s="7" cm="1">
        <f t="array" ref="M15">_xlfn.QUARTILE.INC(_xlfn._xlws.FILTER(Brevipetala!O$2:O$1000, Brevipetala!O$2:O$1000&lt;&gt;""), 1) - 1.5*(_xlfn.QUARTILE.INC(_xlfn._xlws.FILTER(Brevipetala!O$2:O$1000, Brevipetala!O$2:O$1000&lt;&gt;""), 3) - _xlfn.QUARTILE.INC(_xlfn._xlws.FILTER(Brevipetala!O$2:O$1000, Brevipetala!O$2:O$1000&lt;&gt;""), 1))</f>
        <v>1.3768750000000005</v>
      </c>
      <c r="N15" s="7" cm="1">
        <f t="array" ref="N15">_xlfn.QUARTILE.INC(_xlfn._xlws.FILTER(Brevipetala!P$2:P$1000, Brevipetala!P$2:P$1000&lt;&gt;""), 1) - 1.5*(_xlfn.QUARTILE.INC(_xlfn._xlws.FILTER(Brevipetala!P$2:P$1000, Brevipetala!P$2:P$1000&lt;&gt;""), 3) - _xlfn.QUARTILE.INC(_xlfn._xlws.FILTER(Brevipetala!P$2:P$1000, Brevipetala!P$2:P$1000&lt;&gt;""), 1))</f>
        <v>-0.40900000000000025</v>
      </c>
      <c r="O15" s="7" cm="1">
        <f t="array" ref="O15">_xlfn.QUARTILE.INC(_xlfn._xlws.FILTER(Brevipetala!Q$2:Q$1000, Brevipetala!Q$2:Q$1000&lt;&gt;""), 1) - 1.5*(_xlfn.QUARTILE.INC(_xlfn._xlws.FILTER(Brevipetala!Q$2:Q$1000, Brevipetala!Q$2:Q$1000&lt;&gt;""), 3) - _xlfn.QUARTILE.INC(_xlfn._xlws.FILTER(Brevipetala!Q$2:Q$1000, Brevipetala!Q$2:Q$1000&lt;&gt;""), 1))</f>
        <v>-4.0675000000000061</v>
      </c>
      <c r="P15" s="7" cm="1">
        <f t="array" ref="P15">_xlfn.QUARTILE.INC(_xlfn._xlws.FILTER(Brevipetala!R$2:R$1000, Brevipetala!R$2:R$1000&lt;&gt;""), 1) - 1.5*(_xlfn.QUARTILE.INC(_xlfn._xlws.FILTER(Brevipetala!R$2:R$1000, Brevipetala!R$2:R$1000&lt;&gt;""), 3) - _xlfn.QUARTILE.INC(_xlfn._xlws.FILTER(Brevipetala!R$2:R$1000, Brevipetala!R$2:R$1000&lt;&gt;""), 1))</f>
        <v>277.6352500000001</v>
      </c>
    </row>
    <row r="16" spans="1:25" s="7" customFormat="1" x14ac:dyDescent="0.2">
      <c r="A16" s="7" t="s">
        <v>203</v>
      </c>
      <c r="B16" s="7" t="s">
        <v>222</v>
      </c>
      <c r="C16" s="7" cm="1">
        <f t="array" ref="C16">_xlfn.QUARTILE.INC(_xlfn._xlws.FILTER(Brevipetala!E$2:E$1000, Brevipetala!E$2:E$1000&lt;&gt;""), 3) + 1.5*(_xlfn.QUARTILE.INC(_xlfn._xlws.FILTER(Brevipetala!E$2:E$1000, Brevipetala!E$2:E$1000&lt;&gt;""), 3) - _xlfn.QUARTILE.INC(_xlfn._xlws.FILTER(Brevipetala!E$2:E$1000, Brevipetala!E$2:E$1000&lt;&gt;""), 1))</f>
        <v>0</v>
      </c>
      <c r="D16" s="7" cm="1">
        <f t="array" ref="D16">_xlfn.QUARTILE.INC(_xlfn._xlws.FILTER(Brevipetala!F$2:F$1000, Brevipetala!F$2:F$1000&lt;&gt;""), 3) + 1.5*(_xlfn.QUARTILE.INC(_xlfn._xlws.FILTER(Brevipetala!F$2:F$1000, Brevipetala!F$2:F$1000&lt;&gt;""), 3) - _xlfn.QUARTILE.INC(_xlfn._xlws.FILTER(Brevipetala!F$2:F$1000, Brevipetala!F$2:F$1000&lt;&gt;""), 1))</f>
        <v>0</v>
      </c>
      <c r="E16" s="7" cm="1">
        <f t="array" ref="E16">_xlfn.QUARTILE.INC(_xlfn._xlws.FILTER(Brevipetala!G$2:G$1000, Brevipetala!G$2:G$1000&lt;&gt;""), 3) + 1.5*(_xlfn.QUARTILE.INC(_xlfn._xlws.FILTER(Brevipetala!G$2:G$1000, Brevipetala!G$2:G$1000&lt;&gt;""), 3) - _xlfn.QUARTILE.INC(_xlfn._xlws.FILTER(Brevipetala!G$2:G$1000, Brevipetala!G$2:G$1000&lt;&gt;""), 1))</f>
        <v>1.8075000000000001</v>
      </c>
      <c r="F16" s="7" cm="1">
        <f t="array" ref="F16">_xlfn.QUARTILE.INC(_xlfn._xlws.FILTER(Brevipetala!H$2:H$1000, Brevipetala!H$2:H$1000&lt;&gt;""), 3) + 1.5*(_xlfn.QUARTILE.INC(_xlfn._xlws.FILTER(Brevipetala!H$2:H$1000, Brevipetala!H$2:H$1000&lt;&gt;""), 3) - _xlfn.QUARTILE.INC(_xlfn._xlws.FILTER(Brevipetala!H$2:H$1000, Brevipetala!H$2:H$1000&lt;&gt;""), 1))</f>
        <v>9.2963750000000012</v>
      </c>
      <c r="G16" s="7" cm="1">
        <f t="array" ref="G16">_xlfn.QUARTILE.INC(_xlfn._xlws.FILTER(Brevipetala!I$2:I$1000, Brevipetala!I$2:I$1000&lt;&gt;""), 3) + 1.5*(_xlfn.QUARTILE.INC(_xlfn._xlws.FILTER(Brevipetala!I$2:I$1000, Brevipetala!I$2:I$1000&lt;&gt;""), 3) - _xlfn.QUARTILE.INC(_xlfn._xlws.FILTER(Brevipetala!I$2:I$1000, Brevipetala!I$2:I$1000&lt;&gt;""), 1))</f>
        <v>3.7858749999999999</v>
      </c>
      <c r="H16" s="7" cm="1">
        <f t="array" ref="H16">_xlfn.QUARTILE.INC(_xlfn._xlws.FILTER(Brevipetala!J$2:J$1000, Brevipetala!J$2:J$1000&lt;&gt;""), 3) + 1.5*(_xlfn.QUARTILE.INC(_xlfn._xlws.FILTER(Brevipetala!J$2:J$1000, Brevipetala!J$2:J$1000&lt;&gt;""), 3) - _xlfn.QUARTILE.INC(_xlfn._xlws.FILTER(Brevipetala!J$2:J$1000, Brevipetala!J$2:J$1000&lt;&gt;""), 1))</f>
        <v>5.697000000000001</v>
      </c>
      <c r="I16" s="7" cm="1">
        <f t="array" ref="I16">_xlfn.QUARTILE.INC(_xlfn._xlws.FILTER(Brevipetala!K$2:K$1000, Brevipetala!K$2:K$1000&lt;&gt;""), 3) + 1.5*(_xlfn.QUARTILE.INC(_xlfn._xlws.FILTER(Brevipetala!K$2:K$1000, Brevipetala!K$2:K$1000&lt;&gt;""), 3) - _xlfn.QUARTILE.INC(_xlfn._xlws.FILTER(Brevipetala!K$2:K$1000, Brevipetala!K$2:K$1000&lt;&gt;""), 1))</f>
        <v>2.3647499999999999</v>
      </c>
      <c r="J16" s="7" cm="1">
        <f t="array" ref="J16">_xlfn.QUARTILE.INC(_xlfn._xlws.FILTER(Brevipetala!L$2:L$1000, Brevipetala!L$2:L$1000&lt;&gt;""), 3) + 1.5*(_xlfn.QUARTILE.INC(_xlfn._xlws.FILTER(Brevipetala!L$2:L$1000, Brevipetala!L$2:L$1000&lt;&gt;""), 3) - _xlfn.QUARTILE.INC(_xlfn._xlws.FILTER(Brevipetala!L$2:L$1000, Brevipetala!L$2:L$1000&lt;&gt;""), 1))</f>
        <v>2.0223750000000003</v>
      </c>
      <c r="K16" s="7" cm="1">
        <f t="array" ref="K16">_xlfn.QUARTILE.INC(_xlfn._xlws.FILTER(Brevipetala!M$2:M$1000, Brevipetala!M$2:M$1000&lt;&gt;""), 3) + 1.5*(_xlfn.QUARTILE.INC(_xlfn._xlws.FILTER(Brevipetala!M$2:M$1000, Brevipetala!M$2:M$1000&lt;&gt;""), 3) - _xlfn.QUARTILE.INC(_xlfn._xlws.FILTER(Brevipetala!M$2:M$1000, Brevipetala!M$2:M$1000&lt;&gt;""), 1))</f>
        <v>3.8647499999999999</v>
      </c>
      <c r="L16" s="7" cm="1">
        <f t="array" ref="L16">_xlfn.QUARTILE.INC(_xlfn._xlws.FILTER(Brevipetala!N$2:N$1000, Brevipetala!N$2:N$1000&lt;&gt;""), 3) + 1.5*(_xlfn.QUARTILE.INC(_xlfn._xlws.FILTER(Brevipetala!N$2:N$1000, Brevipetala!N$2:N$1000&lt;&gt;""), 3) - _xlfn.QUARTILE.INC(_xlfn._xlws.FILTER(Brevipetala!N$2:N$1000, Brevipetala!N$2:N$1000&lt;&gt;""), 1))</f>
        <v>5.5956249999999992</v>
      </c>
      <c r="M16" s="7" cm="1">
        <f t="array" ref="M16">_xlfn.QUARTILE.INC(_xlfn._xlws.FILTER(Brevipetala!O$2:O$1000, Brevipetala!O$2:O$1000&lt;&gt;""), 3) + 1.5*(_xlfn.QUARTILE.INC(_xlfn._xlws.FILTER(Brevipetala!O$2:O$1000, Brevipetala!O$2:O$1000&lt;&gt;""), 3) - _xlfn.QUARTILE.INC(_xlfn._xlws.FILTER(Brevipetala!O$2:O$1000, Brevipetala!O$2:O$1000&lt;&gt;""), 1))</f>
        <v>6.003874999999999</v>
      </c>
      <c r="N16" s="7" cm="1">
        <f t="array" ref="N16">_xlfn.QUARTILE.INC(_xlfn._xlws.FILTER(Brevipetala!P$2:P$1000, Brevipetala!P$2:P$1000&lt;&gt;""), 3) + 1.5*(_xlfn.QUARTILE.INC(_xlfn._xlws.FILTER(Brevipetala!P$2:P$1000, Brevipetala!P$2:P$1000&lt;&gt;""), 3) - _xlfn.QUARTILE.INC(_xlfn._xlws.FILTER(Brevipetala!P$2:P$1000, Brevipetala!P$2:P$1000&lt;&gt;""), 1))</f>
        <v>9.1349999999999998</v>
      </c>
      <c r="O16" s="7" cm="1">
        <f t="array" ref="O16">_xlfn.QUARTILE.INC(_xlfn._xlws.FILTER(Brevipetala!Q$2:Q$1000, Brevipetala!Q$2:Q$1000&lt;&gt;""), 3) + 1.5*(_xlfn.QUARTILE.INC(_xlfn._xlws.FILTER(Brevipetala!Q$2:Q$1000, Brevipetala!Q$2:Q$1000&lt;&gt;""), 3) - _xlfn.QUARTILE.INC(_xlfn._xlws.FILTER(Brevipetala!Q$2:Q$1000, Brevipetala!Q$2:Q$1000&lt;&gt;""), 1))</f>
        <v>39.800500000000007</v>
      </c>
      <c r="P16" s="7" cm="1">
        <f t="array" ref="P16">_xlfn.QUARTILE.INC(_xlfn._xlws.FILTER(Brevipetala!R$2:R$1000, Brevipetala!R$2:R$1000&lt;&gt;""), 3) + 1.5*(_xlfn.QUARTILE.INC(_xlfn._xlws.FILTER(Brevipetala!R$2:R$1000, Brevipetala!R$2:R$1000&lt;&gt;""), 3) - _xlfn.QUARTILE.INC(_xlfn._xlws.FILTER(Brevipetala!R$2:R$1000, Brevipetala!R$2:R$1000&lt;&gt;""), 1))</f>
        <v>1087.5872499999998</v>
      </c>
    </row>
    <row r="17" spans="1:23" s="7" customFormat="1" x14ac:dyDescent="0.2">
      <c r="A17" s="7" t="s">
        <v>205</v>
      </c>
      <c r="B17" s="7" t="s">
        <v>223</v>
      </c>
      <c r="C17" s="7" cm="1">
        <f t="array" ref="C17">MIN(_xlfn._xlws.FILTER(Brevipetala!E$2:E$1000, Brevipetala!E$2:E$1000&lt;&gt;""))</f>
        <v>0</v>
      </c>
      <c r="D17" s="7" cm="1">
        <f t="array" ref="D17">MIN(_xlfn._xlws.FILTER(Brevipetala!F$2:F$1000, Brevipetala!F$2:F$1000&lt;&gt;""))</f>
        <v>0</v>
      </c>
      <c r="E17" s="7" cm="1">
        <f t="array" ref="E17">MIN(_xlfn._xlws.FILTER(Brevipetala!G$2:G$1000, Brevipetala!G$2:G$1000&lt;&gt;""))</f>
        <v>0</v>
      </c>
      <c r="F17" s="7" cm="1">
        <f t="array" ref="F17">MIN(_xlfn._xlws.FILTER(Brevipetala!H$2:H$1000, Brevipetala!H$2:H$1000&lt;&gt;""))</f>
        <v>1.645</v>
      </c>
      <c r="G17" s="7" cm="1">
        <f t="array" ref="G17">MIN(_xlfn._xlws.FILTER(Brevipetala!I$2:I$1000, Brevipetala!I$2:I$1000&lt;&gt;""))</f>
        <v>0.26900000000000002</v>
      </c>
      <c r="H17" s="7" cm="1">
        <f t="array" ref="H17">MIN(_xlfn._xlws.FILTER(Brevipetala!J$2:J$1000, Brevipetala!J$2:J$1000&lt;&gt;""))</f>
        <v>2.0099999999999998</v>
      </c>
      <c r="I17" s="7" cm="1">
        <f t="array" ref="I17">MIN(_xlfn._xlws.FILTER(Brevipetala!K$2:K$1000, Brevipetala!K$2:K$1000&lt;&gt;""))</f>
        <v>0.42299999999999999</v>
      </c>
      <c r="J17" s="7" cm="1">
        <f t="array" ref="J17">MIN(_xlfn._xlws.FILTER(Brevipetala!L$2:L$1000, Brevipetala!L$2:L$1000&lt;&gt;""))</f>
        <v>0.28899999999999998</v>
      </c>
      <c r="K17" s="7" cm="1">
        <f t="array" ref="K17">MIN(_xlfn._xlws.FILTER(Brevipetala!M$2:M$1000, Brevipetala!M$2:M$1000&lt;&gt;""))</f>
        <v>1.2729999999999999</v>
      </c>
      <c r="L17" s="7" cm="1">
        <f t="array" ref="L17">MIN(_xlfn._xlws.FILTER(Brevipetala!N$2:N$1000, Brevipetala!N$2:N$1000&lt;&gt;""))</f>
        <v>2.5529999999999999</v>
      </c>
      <c r="M17" s="7" cm="1">
        <f t="array" ref="M17">MIN(_xlfn._xlws.FILTER(Brevipetala!O$2:O$1000, Brevipetala!O$2:O$1000&lt;&gt;""))</f>
        <v>1.6319999999999999</v>
      </c>
      <c r="N17" s="7" cm="1">
        <f t="array" ref="N17">MIN(_xlfn._xlws.FILTER(Brevipetala!P$2:P$1000, Brevipetala!P$2:P$1000&lt;&gt;""))</f>
        <v>1.1859999999999999</v>
      </c>
      <c r="O17" s="7" cm="1">
        <f t="array" ref="O17">MIN(_xlfn._xlws.FILTER(Brevipetala!Q$2:Q$1000, Brevipetala!Q$2:Q$1000&lt;&gt;""))</f>
        <v>3.8</v>
      </c>
      <c r="P17" s="7" cm="1">
        <f t="array" ref="P17">MIN(_xlfn._xlws.FILTER(Brevipetala!R$2:R$1000, Brevipetala!R$2:R$1000&lt;&gt;""))</f>
        <v>238.65199999999999</v>
      </c>
    </row>
    <row r="18" spans="1:23" s="7" customFormat="1" x14ac:dyDescent="0.2">
      <c r="A18" s="7" t="s">
        <v>204</v>
      </c>
      <c r="B18" s="7" t="s">
        <v>224</v>
      </c>
    </row>
    <row r="19" spans="1:23" s="7" customFormat="1" ht="17" x14ac:dyDescent="0.25">
      <c r="A19" s="7" t="s">
        <v>206</v>
      </c>
      <c r="B19" s="7" t="s">
        <v>225</v>
      </c>
      <c r="C19" s="7" t="str" cm="1">
        <f t="array" ref="C19">"(" &amp; MIN(_xlfn._xlws.FILTER(Brevipetala!E$2:E1000,Brevipetala!E$2:E1000&lt;&gt;"")) &amp; ") " &amp; MIN(_xlfn._xlws.FILTER(Brevipetala!E$2:E1000,(Brevipetala!E$2:E1000&lt;&gt;"")*(Brevipetala!E$2:E1000&gt;=_xlfn.QUARTILE.INC(_xlfn._xlws.FILTER(Brevipetala!E$2:E1000,Brevipetala!E$2:E1000&lt;&gt;""),1)-1.5*(_xlfn.QUARTILE.INC(_xlfn._xlws.FILTER(Brevipetala!E$2:E1000,Brevipetala!E$2:E1000&lt;&gt;""),3)-_xlfn.QUARTILE.INC(_xlfn._xlws.FILTER(Brevipetala!E$2:E1000,Brevipetala!E$2:E1000&lt;&gt;""),1))))) &amp; "–" &amp; MAX(_xlfn._xlws.FILTER(Brevipetala!E$2:E1000,(Brevipetala!E$2:E1000&lt;&gt;"")*(Brevipetala!E$2:E1000&lt;=_xlfn.QUARTILE.INC(_xlfn._xlws.FILTER(Brevipetala!E$2:E1000,Brevipetala!E$2:E1000&lt;&gt;""),3)+1.5*(_xlfn.QUARTILE.INC(_xlfn._xlws.FILTER(Brevipetala!E$2:E1000,Brevipetala!E$2:E1000&lt;&gt;""),3)-_xlfn.QUARTILE.INC(_xlfn._xlws.FILTER(Brevipetala!E$2:E1000,Brevipetala!E$2:E1000&lt;&gt;""),1))))) &amp; " (" &amp; MAX(_xlfn._xlws.FILTER(Brevipetala!E$2:E1000,Brevipetala!E$2:E1000&lt;&gt;"")) &amp; ") mm"</f>
        <v>(0) 0–0 (0) mm</v>
      </c>
      <c r="D19" s="7" t="str" cm="1">
        <f t="array" ref="D19">"(" &amp; MIN(_xlfn._xlws.FILTER(Brevipetala!F$2:F1000,Brevipetala!F$2:F1000&lt;&gt;"")) &amp; ") " &amp; MIN(_xlfn._xlws.FILTER(Brevipetala!F$2:F1000,(Brevipetala!F$2:F1000&lt;&gt;"")*(Brevipetala!F$2:F1000&gt;=_xlfn.QUARTILE.INC(_xlfn._xlws.FILTER(Brevipetala!F$2:F1000,Brevipetala!F$2:F1000&lt;&gt;""),1)-1.5*(_xlfn.QUARTILE.INC(_xlfn._xlws.FILTER(Brevipetala!F$2:F1000,Brevipetala!F$2:F1000&lt;&gt;""),3)-_xlfn.QUARTILE.INC(_xlfn._xlws.FILTER(Brevipetala!F$2:F1000,Brevipetala!F$2:F1000&lt;&gt;""),1))))) &amp; "–" &amp; MAX(_xlfn._xlws.FILTER(Brevipetala!F$2:F1000,(Brevipetala!F$2:F1000&lt;&gt;"")*(Brevipetala!F$2:F1000&lt;=_xlfn.QUARTILE.INC(_xlfn._xlws.FILTER(Brevipetala!F$2:F1000,Brevipetala!F$2:F1000&lt;&gt;""),3)+1.5*(_xlfn.QUARTILE.INC(_xlfn._xlws.FILTER(Brevipetala!F$2:F1000,Brevipetala!F$2:F1000&lt;&gt;""),3)-_xlfn.QUARTILE.INC(_xlfn._xlws.FILTER(Brevipetala!F$2:F1000,Brevipetala!F$2:F1000&lt;&gt;""),1))))) &amp; " (" &amp; MAX(_xlfn._xlws.FILTER(Brevipetala!F$2:F1000,Brevipetala!F$2:F1000&lt;&gt;"")) &amp; ") mm"</f>
        <v>(0) 0–0 (0) mm</v>
      </c>
      <c r="E19" s="7" t="str" cm="1">
        <f t="array" ref="E19">"(" &amp; MIN(_xlfn._xlws.FILTER(Brevipetala!G$2:G1000,Brevipetala!G$2:G1000&lt;&gt;"")) &amp; ") " &amp; MIN(_xlfn._xlws.FILTER(Brevipetala!G$2:G1000,(Brevipetala!G$2:G1000&lt;&gt;"")*(Brevipetala!G$2:G1000&gt;=_xlfn.QUARTILE.INC(_xlfn._xlws.FILTER(Brevipetala!G$2:G1000,Brevipetala!G$2:G1000&lt;&gt;""),1)-1.5*(_xlfn.QUARTILE.INC(_xlfn._xlws.FILTER(Brevipetala!G$2:G1000,Brevipetala!G$2:G1000&lt;&gt;""),3)-_xlfn.QUARTILE.INC(_xlfn._xlws.FILTER(Brevipetala!G$2:G1000,Brevipetala!G$2:G1000&lt;&gt;""),1))))) &amp; "–" &amp; MAX(_xlfn._xlws.FILTER(Brevipetala!G$2:G1000,(Brevipetala!G$2:G1000&lt;&gt;"")*(Brevipetala!G$2:G1000&lt;=_xlfn.QUARTILE.INC(_xlfn._xlws.FILTER(Brevipetala!G$2:G1000,Brevipetala!G$2:G1000&lt;&gt;""),3)+1.5*(_xlfn.QUARTILE.INC(_xlfn._xlws.FILTER(Brevipetala!G$2:G1000,Brevipetala!G$2:G1000&lt;&gt;""),3)-_xlfn.QUARTILE.INC(_xlfn._xlws.FILTER(Brevipetala!G$2:G1000,Brevipetala!G$2:G1000&lt;&gt;""),1))))) &amp; " (" &amp; MAX(_xlfn._xlws.FILTER(Brevipetala!G$2:G1000,Brevipetala!G$2:G1000&lt;&gt;"")) &amp; ") mm"</f>
        <v>(0) 0–1.583 (1.583) mm</v>
      </c>
      <c r="F19" s="7" t="str" cm="1">
        <f t="array" ref="F19">"(" &amp; MIN(_xlfn._xlws.FILTER(Brevipetala!H$2:H1000,Brevipetala!H$2:H1000&lt;&gt;"")) &amp; ") " &amp; MIN(_xlfn._xlws.FILTER(Brevipetala!H$2:H1000,(Brevipetala!H$2:H1000&lt;&gt;"")*(Brevipetala!H$2:H1000&gt;=_xlfn.QUARTILE.INC(_xlfn._xlws.FILTER(Brevipetala!H$2:H1000,Brevipetala!H$2:H1000&lt;&gt;""),1)-1.5*(_xlfn.QUARTILE.INC(_xlfn._xlws.FILTER(Brevipetala!H$2:H1000,Brevipetala!H$2:H1000&lt;&gt;""),3)-_xlfn.QUARTILE.INC(_xlfn._xlws.FILTER(Brevipetala!H$2:H1000,Brevipetala!H$2:H1000&lt;&gt;""),1))))) &amp; "–" &amp; MAX(_xlfn._xlws.FILTER(Brevipetala!H$2:H1000,(Brevipetala!H$2:H1000&lt;&gt;"")*(Brevipetala!H$2:H1000&lt;=_xlfn.QUARTILE.INC(_xlfn._xlws.FILTER(Brevipetala!H$2:H1000,Brevipetala!H$2:H1000&lt;&gt;""),3)+1.5*(_xlfn.QUARTILE.INC(_xlfn._xlws.FILTER(Brevipetala!H$2:H1000,Brevipetala!H$2:H1000&lt;&gt;""),3)-_xlfn.QUARTILE.INC(_xlfn._xlws.FILTER(Brevipetala!H$2:H1000,Brevipetala!H$2:H1000&lt;&gt;""),1))))) &amp; " (" &amp; MAX(_xlfn._xlws.FILTER(Brevipetala!H$2:H1000,Brevipetala!H$2:H1000&lt;&gt;"")) &amp; ") mm"</f>
        <v>(1.645) 1.645–9.113 (10.68) mm</v>
      </c>
      <c r="G19" s="7" t="str" cm="1">
        <f t="array" ref="G19">"(" &amp; MIN(_xlfn._xlws.FILTER(Brevipetala!I$2:I1000,Brevipetala!I$2:I1000&lt;&gt;"")) &amp; ") " &amp; MIN(_xlfn._xlws.FILTER(Brevipetala!I$2:I1000,(Brevipetala!I$2:I1000&lt;&gt;"")*(Brevipetala!I$2:I1000&gt;=_xlfn.QUARTILE.INC(_xlfn._xlws.FILTER(Brevipetala!I$2:I1000,Brevipetala!I$2:I1000&lt;&gt;""),1)-1.5*(_xlfn.QUARTILE.INC(_xlfn._xlws.FILTER(Brevipetala!I$2:I1000,Brevipetala!I$2:I1000&lt;&gt;""),3)-_xlfn.QUARTILE.INC(_xlfn._xlws.FILTER(Brevipetala!I$2:I1000,Brevipetala!I$2:I1000&lt;&gt;""),1))))) &amp; "–" &amp; MAX(_xlfn._xlws.FILTER(Brevipetala!I$2:I1000,(Brevipetala!I$2:I1000&lt;&gt;"")*(Brevipetala!I$2:I1000&lt;=_xlfn.QUARTILE.INC(_xlfn._xlws.FILTER(Brevipetala!I$2:I1000,Brevipetala!I$2:I1000&lt;&gt;""),3)+1.5*(_xlfn.QUARTILE.INC(_xlfn._xlws.FILTER(Brevipetala!I$2:I1000,Brevipetala!I$2:I1000&lt;&gt;""),3)-_xlfn.QUARTILE.INC(_xlfn._xlws.FILTER(Brevipetala!I$2:I1000,Brevipetala!I$2:I1000&lt;&gt;""),1))))) &amp; " (" &amp; MAX(_xlfn._xlws.FILTER(Brevipetala!I$2:I1000,Brevipetala!I$2:I1000&lt;&gt;"")) &amp; ") mm"</f>
        <v>(0.269) 0.269–3.774 (6.49) mm</v>
      </c>
      <c r="H19" s="7" t="str" cm="1">
        <f t="array" ref="H19">"(" &amp; MIN(_xlfn._xlws.FILTER(Brevipetala!J$2:J1000,Brevipetala!J$2:J1000&lt;&gt;"")) &amp; ") " &amp; MIN(_xlfn._xlws.FILTER(Brevipetala!J$2:J1000,(Brevipetala!J$2:J1000&lt;&gt;"")*(Brevipetala!J$2:J1000&gt;=_xlfn.QUARTILE.INC(_xlfn._xlws.FILTER(Brevipetala!J$2:J1000,Brevipetala!J$2:J1000&lt;&gt;""),1)-1.5*(_xlfn.QUARTILE.INC(_xlfn._xlws.FILTER(Brevipetala!J$2:J1000,Brevipetala!J$2:J1000&lt;&gt;""),3)-_xlfn.QUARTILE.INC(_xlfn._xlws.FILTER(Brevipetala!J$2:J1000,Brevipetala!J$2:J1000&lt;&gt;""),1))))) &amp; "–" &amp; MAX(_xlfn._xlws.FILTER(Brevipetala!J$2:J1000,(Brevipetala!J$2:J1000&lt;&gt;"")*(Brevipetala!J$2:J1000&lt;=_xlfn.QUARTILE.INC(_xlfn._xlws.FILTER(Brevipetala!J$2:J1000,Brevipetala!J$2:J1000&lt;&gt;""),3)+1.5*(_xlfn.QUARTILE.INC(_xlfn._xlws.FILTER(Brevipetala!J$2:J1000,Brevipetala!J$2:J1000&lt;&gt;""),3)-_xlfn.QUARTILE.INC(_xlfn._xlws.FILTER(Brevipetala!J$2:J1000,Brevipetala!J$2:J1000&lt;&gt;""),1))))) &amp; " (" &amp; MAX(_xlfn._xlws.FILTER(Brevipetala!J$2:J1000,Brevipetala!J$2:J1000&lt;&gt;"")) &amp; ") mm"</f>
        <v>(2.01) 2.01–5.659 (5.659) mm</v>
      </c>
      <c r="I19" s="7" t="str" cm="1">
        <f t="array" ref="I19">"(" &amp; MIN(_xlfn._xlws.FILTER(Brevipetala!K$2:K1000,Brevipetala!K$2:K1000&lt;&gt;"")) &amp; ") " &amp; MIN(_xlfn._xlws.FILTER(Brevipetala!K$2:K1000,(Brevipetala!K$2:K1000&lt;&gt;"")*(Brevipetala!K$2:K1000&gt;=_xlfn.QUARTILE.INC(_xlfn._xlws.FILTER(Brevipetala!K$2:K1000,Brevipetala!K$2:K1000&lt;&gt;""),1)-1.5*(_xlfn.QUARTILE.INC(_xlfn._xlws.FILTER(Brevipetala!K$2:K1000,Brevipetala!K$2:K1000&lt;&gt;""),3)-_xlfn.QUARTILE.INC(_xlfn._xlws.FILTER(Brevipetala!K$2:K1000,Brevipetala!K$2:K1000&lt;&gt;""),1))))) &amp; "–" &amp; MAX(_xlfn._xlws.FILTER(Brevipetala!K$2:K1000,(Brevipetala!K$2:K1000&lt;&gt;"")*(Brevipetala!K$2:K1000&lt;=_xlfn.QUARTILE.INC(_xlfn._xlws.FILTER(Brevipetala!K$2:K1000,Brevipetala!K$2:K1000&lt;&gt;""),3)+1.5*(_xlfn.QUARTILE.INC(_xlfn._xlws.FILTER(Brevipetala!K$2:K1000,Brevipetala!K$2:K1000&lt;&gt;""),3)-_xlfn.QUARTILE.INC(_xlfn._xlws.FILTER(Brevipetala!K$2:K1000,Brevipetala!K$2:K1000&lt;&gt;""),1))))) &amp; " (" &amp; MAX(_xlfn._xlws.FILTER(Brevipetala!K$2:K1000,Brevipetala!K$2:K1000&lt;&gt;"")) &amp; ") mm"</f>
        <v>(0.423) 0.423–2.309 (2.309) mm</v>
      </c>
      <c r="J19" s="7" t="str" cm="1">
        <f t="array" ref="J19">"(" &amp; MIN(_xlfn._xlws.FILTER(Brevipetala!L$2:L1000,Brevipetala!L$2:L1000&lt;&gt;"")) &amp; ") " &amp; MIN(_xlfn._xlws.FILTER(Brevipetala!L$2:L1000,(Brevipetala!L$2:L1000&lt;&gt;"")*(Brevipetala!L$2:L1000&gt;=_xlfn.QUARTILE.INC(_xlfn._xlws.FILTER(Brevipetala!L$2:L1000,Brevipetala!L$2:L1000&lt;&gt;""),1)-1.5*(_xlfn.QUARTILE.INC(_xlfn._xlws.FILTER(Brevipetala!L$2:L1000,Brevipetala!L$2:L1000&lt;&gt;""),3)-_xlfn.QUARTILE.INC(_xlfn._xlws.FILTER(Brevipetala!L$2:L1000,Brevipetala!L$2:L1000&lt;&gt;""),1))))) &amp; "–" &amp; MAX(_xlfn._xlws.FILTER(Brevipetala!L$2:L1000,(Brevipetala!L$2:L1000&lt;&gt;"")*(Brevipetala!L$2:L1000&lt;=_xlfn.QUARTILE.INC(_xlfn._xlws.FILTER(Brevipetala!L$2:L1000,Brevipetala!L$2:L1000&lt;&gt;""),3)+1.5*(_xlfn.QUARTILE.INC(_xlfn._xlws.FILTER(Brevipetala!L$2:L1000,Brevipetala!L$2:L1000&lt;&gt;""),3)-_xlfn.QUARTILE.INC(_xlfn._xlws.FILTER(Brevipetala!L$2:L1000,Brevipetala!L$2:L1000&lt;&gt;""),1))))) &amp; " (" &amp; MAX(_xlfn._xlws.FILTER(Brevipetala!L$2:L1000,Brevipetala!L$2:L1000&lt;&gt;"")) &amp; ") mm"</f>
        <v>(0.289) 0.289–1.979 (1.979) mm</v>
      </c>
      <c r="K19" s="7" t="str" cm="1">
        <f t="array" ref="K19">"(" &amp; MIN(_xlfn._xlws.FILTER(Brevipetala!M$2:M1000,Brevipetala!M$2:M1000&lt;&gt;"")) &amp; ") " &amp; MIN(_xlfn._xlws.FILTER(Brevipetala!M$2:M1000,(Brevipetala!M$2:M1000&lt;&gt;"")*(Brevipetala!M$2:M1000&gt;=_xlfn.QUARTILE.INC(_xlfn._xlws.FILTER(Brevipetala!M$2:M1000,Brevipetala!M$2:M1000&lt;&gt;""),1)-1.5*(_xlfn.QUARTILE.INC(_xlfn._xlws.FILTER(Brevipetala!M$2:M1000,Brevipetala!M$2:M1000&lt;&gt;""),3)-_xlfn.QUARTILE.INC(_xlfn._xlws.FILTER(Brevipetala!M$2:M1000,Brevipetala!M$2:M1000&lt;&gt;""),1))))) &amp; "–" &amp; MAX(_xlfn._xlws.FILTER(Brevipetala!M$2:M1000,(Brevipetala!M$2:M1000&lt;&gt;"")*(Brevipetala!M$2:M1000&lt;=_xlfn.QUARTILE.INC(_xlfn._xlws.FILTER(Brevipetala!M$2:M1000,Brevipetala!M$2:M1000&lt;&gt;""),3)+1.5*(_xlfn.QUARTILE.INC(_xlfn._xlws.FILTER(Brevipetala!M$2:M1000,Brevipetala!M$2:M1000&lt;&gt;""),3)-_xlfn.QUARTILE.INC(_xlfn._xlws.FILTER(Brevipetala!M$2:M1000,Brevipetala!M$2:M1000&lt;&gt;""),1))))) &amp; " (" &amp; MAX(_xlfn._xlws.FILTER(Brevipetala!M$2:M1000,Brevipetala!M$2:M1000&lt;&gt;"")) &amp; ") mm"</f>
        <v>(1.273) 1.273–3.596 (4.209) mm</v>
      </c>
      <c r="L19" s="7" t="str" cm="1">
        <f t="array" ref="L19">"(" &amp; MIN(_xlfn._xlws.FILTER(Brevipetala!N$2:N1000,Brevipetala!N$2:N1000&lt;&gt;"")) &amp; ") " &amp; MIN(_xlfn._xlws.FILTER(Brevipetala!N$2:N1000,(Brevipetala!N$2:N1000&lt;&gt;"")*(Brevipetala!N$2:N1000&gt;=_xlfn.QUARTILE.INC(_xlfn._xlws.FILTER(Brevipetala!N$2:N1000,Brevipetala!N$2:N1000&lt;&gt;""),1)-1.5*(_xlfn.QUARTILE.INC(_xlfn._xlws.FILTER(Brevipetala!N$2:N1000,Brevipetala!N$2:N1000&lt;&gt;""),3)-_xlfn.QUARTILE.INC(_xlfn._xlws.FILTER(Brevipetala!N$2:N1000,Brevipetala!N$2:N1000&lt;&gt;""),1))))) &amp; "–" &amp; MAX(_xlfn._xlws.FILTER(Brevipetala!N$2:N1000,(Brevipetala!N$2:N1000&lt;&gt;"")*(Brevipetala!N$2:N1000&lt;=_xlfn.QUARTILE.INC(_xlfn._xlws.FILTER(Brevipetala!N$2:N1000,Brevipetala!N$2:N1000&lt;&gt;""),3)+1.5*(_xlfn.QUARTILE.INC(_xlfn._xlws.FILTER(Brevipetala!N$2:N1000,Brevipetala!N$2:N1000&lt;&gt;""),3)-_xlfn.QUARTILE.INC(_xlfn._xlws.FILTER(Brevipetala!N$2:N1000,Brevipetala!N$2:N1000&lt;&gt;""),1))))) &amp; " (" &amp; MAX(_xlfn._xlws.FILTER(Brevipetala!N$2:N1000,Brevipetala!N$2:N1000&lt;&gt;"")) &amp; ") mm"</f>
        <v>(2.553) 2.553–5.501 (5.501) mm</v>
      </c>
      <c r="M19" s="7" t="str" cm="1">
        <f t="array" ref="M19">"(" &amp; MIN(_xlfn._xlws.FILTER(Brevipetala!O$2:O1000,Brevipetala!O$2:O1000&lt;&gt;"")) &amp; ") " &amp; MIN(_xlfn._xlws.FILTER(Brevipetala!O$2:O1000,(Brevipetala!O$2:O1000&lt;&gt;"")*(Brevipetala!O$2:O1000&gt;=_xlfn.QUARTILE.INC(_xlfn._xlws.FILTER(Brevipetala!O$2:O1000,Brevipetala!O$2:O1000&lt;&gt;""),1)-1.5*(_xlfn.QUARTILE.INC(_xlfn._xlws.FILTER(Brevipetala!O$2:O1000,Brevipetala!O$2:O1000&lt;&gt;""),3)-_xlfn.QUARTILE.INC(_xlfn._xlws.FILTER(Brevipetala!O$2:O1000,Brevipetala!O$2:O1000&lt;&gt;""),1))))) &amp; "–" &amp; MAX(_xlfn._xlws.FILTER(Brevipetala!O$2:O1000,(Brevipetala!O$2:O1000&lt;&gt;"")*(Brevipetala!O$2:O1000&lt;=_xlfn.QUARTILE.INC(_xlfn._xlws.FILTER(Brevipetala!O$2:O1000,Brevipetala!O$2:O1000&lt;&gt;""),3)+1.5*(_xlfn.QUARTILE.INC(_xlfn._xlws.FILTER(Brevipetala!O$2:O1000,Brevipetala!O$2:O1000&lt;&gt;""),3)-_xlfn.QUARTILE.INC(_xlfn._xlws.FILTER(Brevipetala!O$2:O1000,Brevipetala!O$2:O1000&lt;&gt;""),1))))) &amp; " (" &amp; MAX(_xlfn._xlws.FILTER(Brevipetala!O$2:O1000,Brevipetala!O$2:O1000&lt;&gt;"")) &amp; ") mm"</f>
        <v>(1.632) 1.632–5.83 (5.83) mm</v>
      </c>
      <c r="N19" s="7" t="str" cm="1">
        <f t="array" ref="N19">"(" &amp; MIN(_xlfn._xlws.FILTER(Brevipetala!P$2:P1000,Brevipetala!P$2:P1000&lt;&gt;"")) &amp; ") " &amp; MIN(_xlfn._xlws.FILTER(Brevipetala!P$2:P1000,(Brevipetala!P$2:P1000&lt;&gt;"")*(Brevipetala!P$2:P1000&gt;=_xlfn.QUARTILE.INC(_xlfn._xlws.FILTER(Brevipetala!P$2:P1000,Brevipetala!P$2:P1000&lt;&gt;""),1)-1.5*(_xlfn.QUARTILE.INC(_xlfn._xlws.FILTER(Brevipetala!P$2:P1000,Brevipetala!P$2:P1000&lt;&gt;""),3)-_xlfn.QUARTILE.INC(_xlfn._xlws.FILTER(Brevipetala!P$2:P1000,Brevipetala!P$2:P1000&lt;&gt;""),1))))) &amp; "–" &amp; MAX(_xlfn._xlws.FILTER(Brevipetala!P$2:P1000,(Brevipetala!P$2:P1000&lt;&gt;"")*(Brevipetala!P$2:P1000&lt;=_xlfn.QUARTILE.INC(_xlfn._xlws.FILTER(Brevipetala!P$2:P1000,Brevipetala!P$2:P1000&lt;&gt;""),3)+1.5*(_xlfn.QUARTILE.INC(_xlfn._xlws.FILTER(Brevipetala!P$2:P1000,Brevipetala!P$2:P1000&lt;&gt;""),3)-_xlfn.QUARTILE.INC(_xlfn._xlws.FILTER(Brevipetala!P$2:P1000,Brevipetala!P$2:P1000&lt;&gt;""),1))))) &amp; " (" &amp; MAX(_xlfn._xlws.FILTER(Brevipetala!P$2:P1000,Brevipetala!P$2:P1000&lt;&gt;"")) &amp; ") mm"</f>
        <v>(1.186) 1.186–8.775 (12.923) mm</v>
      </c>
      <c r="O19" s="7" t="str" cm="1">
        <f t="array" ref="O19">"(" &amp; MIN(_xlfn._xlws.FILTER(Brevipetala!Q$2:Q1000,Brevipetala!Q$2:Q1000&lt;&gt;"")) &amp; ") " &amp; MIN(_xlfn._xlws.FILTER(Brevipetala!Q$2:Q1000,(Brevipetala!Q$2:Q1000&lt;&gt;"")*(Brevipetala!Q$2:Q1000&gt;=_xlfn.QUARTILE.INC(_xlfn._xlws.FILTER(Brevipetala!Q$2:Q1000,Brevipetala!Q$2:Q1000&lt;&gt;""),1)-1.5*(_xlfn.QUARTILE.INC(_xlfn._xlws.FILTER(Brevipetala!Q$2:Q1000,Brevipetala!Q$2:Q1000&lt;&gt;""),3)-_xlfn.QUARTILE.INC(_xlfn._xlws.FILTER(Brevipetala!Q$2:Q1000,Brevipetala!Q$2:Q1000&lt;&gt;""),1))))) &amp; "–" &amp; MAX(_xlfn._xlws.FILTER(Brevipetala!Q$2:Q1000,(Brevipetala!Q$2:Q1000&lt;&gt;"")*(Brevipetala!Q$2:Q1000&lt;=_xlfn.QUARTILE.INC(_xlfn._xlws.FILTER(Brevipetala!Q$2:Q1000,Brevipetala!Q$2:Q1000&lt;&gt;""),3)+1.5*(_xlfn.QUARTILE.INC(_xlfn._xlws.FILTER(Brevipetala!Q$2:Q1000,Brevipetala!Q$2:Q1000&lt;&gt;""),3)-_xlfn.QUARTILE.INC(_xlfn._xlws.FILTER(Brevipetala!Q$2:Q1000,Brevipetala!Q$2:Q1000&lt;&gt;""),1))))) &amp; " (" &amp; MAX(_xlfn._xlws.FILTER(Brevipetala!Q$2:Q1000,Brevipetala!Q$2:Q1000&lt;&gt;"")) &amp; ") mm"</f>
        <v>(3.8) 3.8–36.975 (71.222) mm</v>
      </c>
      <c r="P19" s="7" t="str" cm="1">
        <f t="array" ref="P19">"(" &amp; MIN(_xlfn._xlws.FILTER(Brevipetala!R$2:R1000,Brevipetala!R$2:R1000&lt;&gt;"")) &amp; ") " &amp; MIN(_xlfn._xlws.FILTER(Brevipetala!R$2:R1000,(Brevipetala!R$2:R1000&lt;&gt;"")*(Brevipetala!R$2:R1000&gt;=_xlfn.QUARTILE.INC(_xlfn._xlws.FILTER(Brevipetala!R$2:R1000,Brevipetala!R$2:R1000&lt;&gt;""),1)-1.5*(_xlfn.QUARTILE.INC(_xlfn._xlws.FILTER(Brevipetala!R$2:R1000,Brevipetala!R$2:R1000&lt;&gt;""),3)-_xlfn.QUARTILE.INC(_xlfn._xlws.FILTER(Brevipetala!R$2:R1000,Brevipetala!R$2:R1000&lt;&gt;""),1))))) &amp; "–" &amp; MAX(_xlfn._xlws.FILTER(Brevipetala!R$2:R1000,(Brevipetala!R$2:R1000&lt;&gt;"")*(Brevipetala!R$2:R1000&lt;=_xlfn.QUARTILE.INC(_xlfn._xlws.FILTER(Brevipetala!R$2:R1000,Brevipetala!R$2:R1000&lt;&gt;""),3)+1.5*(_xlfn.QUARTILE.INC(_xlfn._xlws.FILTER(Brevipetala!R$2:R1000,Brevipetala!R$2:R1000&lt;&gt;""),3)-_xlfn.QUARTILE.INC(_xlfn._xlws.FILTER(Brevipetala!R$2:R1000,Brevipetala!R$2:R1000&lt;&gt;""),1))))) &amp; " (" &amp; MAX(_xlfn._xlws.FILTER(Brevipetala!R$2:R1000,Brevipetala!R$2:R1000&lt;&gt;"")) &amp; ") mm"</f>
        <v>(238.652) 322.12–1012.704 (1012.704) mm</v>
      </c>
    </row>
    <row r="20" spans="1:23" s="6" customFormat="1" x14ac:dyDescent="0.2">
      <c r="A20" s="6" t="s">
        <v>207</v>
      </c>
      <c r="B20" s="6" t="s">
        <v>217</v>
      </c>
      <c r="C20" s="6" cm="1">
        <f t="array" ref="C20">_xlfn.QUARTILE.INC(_xlfn._xlws.FILTER(Calycosa!E$2:E1000, Calycosa!E$2:E1000&lt;&gt;""), 1)</f>
        <v>0</v>
      </c>
      <c r="D20" s="6" cm="1">
        <f t="array" ref="D20">_xlfn.QUARTILE.INC(_xlfn._xlws.FILTER(Calycosa!F$2:F1000, Calycosa!F$2:F1000&lt;&gt;""), 1)</f>
        <v>0</v>
      </c>
      <c r="E20" s="6" cm="1">
        <f t="array" ref="E20">_xlfn.QUARTILE.INC(_xlfn._xlws.FILTER(Calycosa!G$2:G1000, Calycosa!G$2:G1000&lt;&gt;""), 1)</f>
        <v>0</v>
      </c>
      <c r="F20" s="6" cm="1">
        <f t="array" ref="F20">_xlfn.QUARTILE.INC(_xlfn._xlws.FILTER(Calycosa!H$2:H1000, Calycosa!H$2:H1000&lt;&gt;""), 1)</f>
        <v>3.7549999999999999</v>
      </c>
      <c r="G20" s="6" cm="1">
        <f t="array" ref="G20">_xlfn.QUARTILE.INC(_xlfn._xlws.FILTER(Calycosa!I$2:I1000, Calycosa!I$2:I1000&lt;&gt;""), 1)</f>
        <v>1.14025</v>
      </c>
      <c r="H20" s="6" cm="1">
        <f t="array" ref="H20">_xlfn.QUARTILE.INC(_xlfn._xlws.FILTER(Calycosa!J$2:J1000, Calycosa!J$2:J1000&lt;&gt;""), 1)</f>
        <v>2.6760000000000002</v>
      </c>
      <c r="I20" s="6" cm="1">
        <f t="array" ref="I20">_xlfn.QUARTILE.INC(_xlfn._xlws.FILTER(Calycosa!K$2:K1000, Calycosa!K$2:K1000&lt;&gt;""), 1)</f>
        <v>0.86399999999999999</v>
      </c>
      <c r="J20" s="6" cm="1">
        <f t="array" ref="J20">_xlfn.QUARTILE.INC(_xlfn._xlws.FILTER(Calycosa!L$2:L1000, Calycosa!L$2:L1000&lt;&gt;""), 1)</f>
        <v>0.68924999999999992</v>
      </c>
      <c r="K20" s="6" cm="1">
        <f t="array" ref="K20">_xlfn.QUARTILE.INC(_xlfn._xlws.FILTER(Calycosa!M$2:M1000, Calycosa!M$2:M1000&lt;&gt;""), 1)</f>
        <v>1.5920000000000001</v>
      </c>
      <c r="L20" s="6" cm="1">
        <f t="array" ref="L20">_xlfn.QUARTILE.INC(_xlfn._xlws.FILTER(Calycosa!N$2:N1000, Calycosa!N$2:N1000&lt;&gt;""), 1)</f>
        <v>2.4210000000000003</v>
      </c>
      <c r="M20" s="6" cm="1">
        <f t="array" ref="M20">_xlfn.QUARTILE.INC(_xlfn._xlws.FILTER(Calycosa!O$2:O1000, Calycosa!O$2:O1000&lt;&gt;""), 1)</f>
        <v>2.7199999999999998</v>
      </c>
      <c r="N20" s="6" cm="1">
        <f t="array" ref="N20">_xlfn.QUARTILE.INC(_xlfn._xlws.FILTER(Calycosa!P$2:P1000, Calycosa!P$2:P1000&lt;&gt;""), 1)</f>
        <v>2.68025</v>
      </c>
      <c r="O20" s="6" cm="1">
        <f t="array" ref="O20">_xlfn.QUARTILE.INC(_xlfn._xlws.FILTER(Calycosa!Q$2:Q1000, Calycosa!Q$2:Q1000&lt;&gt;""), 1)</f>
        <v>15.654</v>
      </c>
      <c r="P20" s="6" cm="1">
        <f t="array" ref="P20">_xlfn.QUARTILE.INC(_xlfn._xlws.FILTER(Calycosa!R$2:R1000, Calycosa!R$2:R1000&lt;&gt;""), 1)</f>
        <v>599.27800000000002</v>
      </c>
    </row>
    <row r="21" spans="1:23" s="6" customFormat="1" x14ac:dyDescent="0.2">
      <c r="A21" s="6" t="s">
        <v>208</v>
      </c>
      <c r="B21" s="6" t="s">
        <v>218</v>
      </c>
      <c r="C21" s="6" cm="1">
        <f t="array" ref="C21">_xlfn.QUARTILE.INC(_xlfn._xlws.FILTER(Calycosa!E$2:E1000, Calycosa!E$2:E1000&lt;&gt;""), 2)</f>
        <v>0</v>
      </c>
      <c r="D21" s="6" cm="1">
        <f t="array" ref="D21">_xlfn.QUARTILE.INC(_xlfn._xlws.FILTER(Calycosa!F$2:F1000, Calycosa!F$2:F1000&lt;&gt;""), 2)</f>
        <v>0</v>
      </c>
      <c r="E21" s="6" cm="1">
        <f t="array" ref="E21">_xlfn.QUARTILE.INC(_xlfn._xlws.FILTER(Calycosa!G$2:G1000, Calycosa!G$2:G1000&lt;&gt;""), 2)</f>
        <v>0</v>
      </c>
      <c r="F21" s="6" cm="1">
        <f t="array" ref="F21">_xlfn.QUARTILE.INC(_xlfn._xlws.FILTER(Calycosa!H$2:H1000, Calycosa!H$2:H1000&lt;&gt;""), 2)</f>
        <v>4.2974999999999994</v>
      </c>
      <c r="G21" s="6" cm="1">
        <f t="array" ref="G21">_xlfn.QUARTILE.INC(_xlfn._xlws.FILTER(Calycosa!I$2:I1000, Calycosa!I$2:I1000&lt;&gt;""), 2)</f>
        <v>1.5369999999999999</v>
      </c>
      <c r="H21" s="6" cm="1">
        <f t="array" ref="H21">_xlfn.QUARTILE.INC(_xlfn._xlws.FILTER(Calycosa!J$2:J1000, Calycosa!J$2:J1000&lt;&gt;""), 2)</f>
        <v>2.9159999999999999</v>
      </c>
      <c r="I21" s="6" cm="1">
        <f t="array" ref="I21">_xlfn.QUARTILE.INC(_xlfn._xlws.FILTER(Calycosa!K$2:K1000, Calycosa!K$2:K1000&lt;&gt;""), 2)</f>
        <v>1.0660000000000001</v>
      </c>
      <c r="J21" s="6" cm="1">
        <f t="array" ref="J21">_xlfn.QUARTILE.INC(_xlfn._xlws.FILTER(Calycosa!L$2:L1000, Calycosa!L$2:L1000&lt;&gt;""), 2)</f>
        <v>0.8899999999999999</v>
      </c>
      <c r="K21" s="6" cm="1">
        <f t="array" ref="K21">_xlfn.QUARTILE.INC(_xlfn._xlws.FILTER(Calycosa!M$2:M1000, Calycosa!M$2:M1000&lt;&gt;""), 2)</f>
        <v>2.0579999999999998</v>
      </c>
      <c r="L21" s="6" cm="1">
        <f t="array" ref="L21">_xlfn.QUARTILE.INC(_xlfn._xlws.FILTER(Calycosa!N$2:N1000, Calycosa!N$2:N1000&lt;&gt;""), 2)</f>
        <v>2.778</v>
      </c>
      <c r="M21" s="6" cm="1">
        <f t="array" ref="M21">_xlfn.QUARTILE.INC(_xlfn._xlws.FILTER(Calycosa!O$2:O1000, Calycosa!O$2:O1000&lt;&gt;""), 2)</f>
        <v>3.0209999999999999</v>
      </c>
      <c r="N21" s="6" cm="1">
        <f t="array" ref="N21">_xlfn.QUARTILE.INC(_xlfn._xlws.FILTER(Calycosa!P$2:P1000, Calycosa!P$2:P1000&lt;&gt;""), 2)</f>
        <v>3.806</v>
      </c>
      <c r="O21" s="6" cm="1">
        <f t="array" ref="O21">_xlfn.QUARTILE.INC(_xlfn._xlws.FILTER(Calycosa!Q$2:Q1000, Calycosa!Q$2:Q1000&lt;&gt;""), 2)</f>
        <v>20.312999999999999</v>
      </c>
      <c r="P21" s="6" cm="1">
        <f t="array" ref="P21">_xlfn.QUARTILE.INC(_xlfn._xlws.FILTER(Calycosa!R$2:R1000, Calycosa!R$2:R1000&lt;&gt;""), 2)</f>
        <v>673.39300000000003</v>
      </c>
    </row>
    <row r="22" spans="1:23" s="6" customFormat="1" x14ac:dyDescent="0.2">
      <c r="A22" s="6" t="s">
        <v>209</v>
      </c>
      <c r="B22" s="6" t="s">
        <v>219</v>
      </c>
      <c r="C22" s="6" cm="1">
        <f t="array" ref="C22">_xlfn.QUARTILE.INC(_xlfn._xlws.FILTER(Calycosa!E$2:E1000, Calycosa!E$2:E1000&lt;&gt;""), 3)</f>
        <v>0</v>
      </c>
      <c r="D22" s="6" cm="1">
        <f t="array" ref="D22">_xlfn.QUARTILE.INC(_xlfn._xlws.FILTER(Calycosa!F$2:F1000, Calycosa!F$2:F1000&lt;&gt;""), 3)</f>
        <v>0</v>
      </c>
      <c r="E22" s="6" cm="1">
        <f t="array" ref="E22">_xlfn.QUARTILE.INC(_xlfn._xlws.FILTER(Calycosa!G$2:G1000, Calycosa!G$2:G1000&lt;&gt;""), 3)</f>
        <v>0</v>
      </c>
      <c r="F22" s="6" cm="1">
        <f t="array" ref="F22">_xlfn.QUARTILE.INC(_xlfn._xlws.FILTER(Calycosa!H$2:H1000, Calycosa!H$2:H1000&lt;&gt;""), 3)</f>
        <v>4.8287500000000003</v>
      </c>
      <c r="G22" s="6" cm="1">
        <f t="array" ref="G22">_xlfn.QUARTILE.INC(_xlfn._xlws.FILTER(Calycosa!I$2:I1000, Calycosa!I$2:I1000&lt;&gt;""), 3)</f>
        <v>1.8370000000000002</v>
      </c>
      <c r="H22" s="6" cm="1">
        <f t="array" ref="H22">_xlfn.QUARTILE.INC(_xlfn._xlws.FILTER(Calycosa!J$2:J1000, Calycosa!J$2:J1000&lt;&gt;""), 3)</f>
        <v>3.39</v>
      </c>
      <c r="I22" s="6" cm="1">
        <f t="array" ref="I22">_xlfn.QUARTILE.INC(_xlfn._xlws.FILTER(Calycosa!K$2:K1000, Calycosa!K$2:K1000&lt;&gt;""), 3)</f>
        <v>1.2689999999999999</v>
      </c>
      <c r="J22" s="6" cm="1">
        <f t="array" ref="J22">_xlfn.QUARTILE.INC(_xlfn._xlws.FILTER(Calycosa!L$2:L1000, Calycosa!L$2:L1000&lt;&gt;""), 3)</f>
        <v>1.1517500000000001</v>
      </c>
      <c r="K22" s="6" cm="1">
        <f t="array" ref="K22">_xlfn.QUARTILE.INC(_xlfn._xlws.FILTER(Calycosa!M$2:M1000, Calycosa!M$2:M1000&lt;&gt;""), 3)</f>
        <v>2.4630000000000001</v>
      </c>
      <c r="L22" s="6" cm="1">
        <f t="array" ref="L22">_xlfn.QUARTILE.INC(_xlfn._xlws.FILTER(Calycosa!N$2:N1000, Calycosa!N$2:N1000&lt;&gt;""), 3)</f>
        <v>3.3485</v>
      </c>
      <c r="M22" s="6" cm="1">
        <f t="array" ref="M22">_xlfn.QUARTILE.INC(_xlfn._xlws.FILTER(Calycosa!O$2:O1000, Calycosa!O$2:O1000&lt;&gt;""), 3)</f>
        <v>3.4074999999999998</v>
      </c>
      <c r="N22" s="6" cm="1">
        <f t="array" ref="N22">_xlfn.QUARTILE.INC(_xlfn._xlws.FILTER(Calycosa!P$2:P1000, Calycosa!P$2:P1000&lt;&gt;""), 3)</f>
        <v>5.1715</v>
      </c>
      <c r="O22" s="6" cm="1">
        <f t="array" ref="O22">_xlfn.QUARTILE.INC(_xlfn._xlws.FILTER(Calycosa!Q$2:Q1000, Calycosa!Q$2:Q1000&lt;&gt;""), 3)</f>
        <v>24.018999999999998</v>
      </c>
      <c r="P22" s="6" cm="1">
        <f t="array" ref="P22">_xlfn.QUARTILE.INC(_xlfn._xlws.FILTER(Calycosa!R$2:R1000, Calycosa!R$2:R1000&lt;&gt;""), 3)</f>
        <v>816.57600000000002</v>
      </c>
    </row>
    <row r="23" spans="1:23" s="6" customFormat="1" x14ac:dyDescent="0.2">
      <c r="A23" s="6" t="s">
        <v>210</v>
      </c>
      <c r="B23" s="6" t="s">
        <v>220</v>
      </c>
      <c r="C23" s="6" cm="1">
        <f t="array" ref="C23">_xlfn.QUARTILE.INC(_xlfn._xlws.FILTER(Calycosa!E$2:E1000, Calycosa!E$2:E1000&lt;&gt;""), 3) - _xlfn.QUARTILE.INC(_xlfn._xlws.FILTER(Calycosa!E$2:E1000, Calycosa!E$2:E1000&lt;&gt;""), 1)</f>
        <v>0</v>
      </c>
      <c r="D23" s="6" cm="1">
        <f t="array" ref="D23">_xlfn.QUARTILE.INC(_xlfn._xlws.FILTER(Calycosa!F$2:F1000, Calycosa!F$2:F1000&lt;&gt;""), 3) - _xlfn.QUARTILE.INC(_xlfn._xlws.FILTER(Calycosa!F$2:F1000, Calycosa!F$2:F1000&lt;&gt;""), 1)</f>
        <v>0</v>
      </c>
      <c r="E23" s="6" cm="1">
        <f t="array" ref="E23">_xlfn.QUARTILE.INC(_xlfn._xlws.FILTER(Calycosa!G$2:G1000, Calycosa!G$2:G1000&lt;&gt;""), 3) - _xlfn.QUARTILE.INC(_xlfn._xlws.FILTER(Calycosa!G$2:G1000, Calycosa!G$2:G1000&lt;&gt;""), 1)</f>
        <v>0</v>
      </c>
      <c r="F23" s="6" cm="1">
        <f t="array" ref="F23">_xlfn.QUARTILE.INC(_xlfn._xlws.FILTER(Calycosa!H$2:H1000, Calycosa!H$2:H1000&lt;&gt;""), 3) - _xlfn.QUARTILE.INC(_xlfn._xlws.FILTER(Calycosa!H$2:H1000, Calycosa!H$2:H1000&lt;&gt;""), 1)</f>
        <v>1.0737500000000004</v>
      </c>
      <c r="G23" s="6" cm="1">
        <f t="array" ref="G23">_xlfn.QUARTILE.INC(_xlfn._xlws.FILTER(Calycosa!I$2:I1000, Calycosa!I$2:I1000&lt;&gt;""), 3) - _xlfn.QUARTILE.INC(_xlfn._xlws.FILTER(Calycosa!I$2:I1000, Calycosa!I$2:I1000&lt;&gt;""), 1)</f>
        <v>0.6967500000000002</v>
      </c>
      <c r="H23" s="6" cm="1">
        <f t="array" ref="H23">_xlfn.QUARTILE.INC(_xlfn._xlws.FILTER(Calycosa!J$2:J1000, Calycosa!J$2:J1000&lt;&gt;""), 3) - _xlfn.QUARTILE.INC(_xlfn._xlws.FILTER(Calycosa!J$2:J1000, Calycosa!J$2:J1000&lt;&gt;""), 1)</f>
        <v>0.71399999999999997</v>
      </c>
      <c r="I23" s="6" cm="1">
        <f t="array" ref="I23">_xlfn.QUARTILE.INC(_xlfn._xlws.FILTER(Calycosa!K$2:K1000, Calycosa!K$2:K1000&lt;&gt;""), 3) - _xlfn.QUARTILE.INC(_xlfn._xlws.FILTER(Calycosa!K$2:K1000, Calycosa!K$2:K1000&lt;&gt;""), 1)</f>
        <v>0.40499999999999992</v>
      </c>
      <c r="J23" s="6" cm="1">
        <f t="array" ref="J23">_xlfn.QUARTILE.INC(_xlfn._xlws.FILTER(Calycosa!L$2:L1000, Calycosa!L$2:L1000&lt;&gt;""), 3) - _xlfn.QUARTILE.INC(_xlfn._xlws.FILTER(Calycosa!L$2:L1000, Calycosa!L$2:L1000&lt;&gt;""), 1)</f>
        <v>0.46250000000000013</v>
      </c>
      <c r="K23" s="6" cm="1">
        <f t="array" ref="K23">_xlfn.QUARTILE.INC(_xlfn._xlws.FILTER(Calycosa!M$2:M1000, Calycosa!M$2:M1000&lt;&gt;""), 3) - _xlfn.QUARTILE.INC(_xlfn._xlws.FILTER(Calycosa!M$2:M1000, Calycosa!M$2:M1000&lt;&gt;""), 1)</f>
        <v>0.871</v>
      </c>
      <c r="L23" s="6" cm="1">
        <f t="array" ref="L23">_xlfn.QUARTILE.INC(_xlfn._xlws.FILTER(Calycosa!N$2:N1000, Calycosa!N$2:N1000&lt;&gt;""), 3) - _xlfn.QUARTILE.INC(_xlfn._xlws.FILTER(Calycosa!N$2:N1000, Calycosa!N$2:N1000&lt;&gt;""), 1)</f>
        <v>0.92749999999999977</v>
      </c>
      <c r="M23" s="6" cm="1">
        <f t="array" ref="M23">_xlfn.QUARTILE.INC(_xlfn._xlws.FILTER(Calycosa!O$2:O1000, Calycosa!O$2:O1000&lt;&gt;""), 3) - _xlfn.QUARTILE.INC(_xlfn._xlws.FILTER(Calycosa!O$2:O1000, Calycosa!O$2:O1000&lt;&gt;""), 1)</f>
        <v>0.6875</v>
      </c>
      <c r="N23" s="6" cm="1">
        <f t="array" ref="N23">_xlfn.QUARTILE.INC(_xlfn._xlws.FILTER(Calycosa!P$2:P1000, Calycosa!P$2:P1000&lt;&gt;""), 3) - _xlfn.QUARTILE.INC(_xlfn._xlws.FILTER(Calycosa!P$2:P1000, Calycosa!P$2:P1000&lt;&gt;""), 1)</f>
        <v>2.49125</v>
      </c>
      <c r="O23" s="6" cm="1">
        <f t="array" ref="O23">_xlfn.QUARTILE.INC(_xlfn._xlws.FILTER(Calycosa!Q$2:Q1000, Calycosa!Q$2:Q1000&lt;&gt;""), 3) - _xlfn.QUARTILE.INC(_xlfn._xlws.FILTER(Calycosa!Q$2:Q1000, Calycosa!Q$2:Q1000&lt;&gt;""), 1)</f>
        <v>8.3649999999999984</v>
      </c>
      <c r="P23" s="6" cm="1">
        <f t="array" ref="P23">_xlfn.QUARTILE.INC(_xlfn._xlws.FILTER(Calycosa!R$2:R1000, Calycosa!R$2:R1000&lt;&gt;""), 3) - _xlfn.QUARTILE.INC(_xlfn._xlws.FILTER(Calycosa!R$2:R1000, Calycosa!R$2:R1000&lt;&gt;""), 1)</f>
        <v>217.298</v>
      </c>
    </row>
    <row r="24" spans="1:23" s="6" customFormat="1" x14ac:dyDescent="0.2">
      <c r="A24" s="6" t="s">
        <v>211</v>
      </c>
      <c r="B24" s="6" t="s">
        <v>221</v>
      </c>
      <c r="C24" s="6" cm="1">
        <f t="array" ref="C24">_xlfn.QUARTILE.INC(_xlfn._xlws.FILTER(Calycosa!E$2:E1000, Calycosa!E$2:E1000&lt;&gt;""), 1) - 1.5*(_xlfn.QUARTILE.INC(_xlfn._xlws.FILTER(Calycosa!E$2:E1000, Calycosa!E$2:E1000&lt;&gt;""), 3) - _xlfn.QUARTILE.INC(_xlfn._xlws.FILTER(Calycosa!E$2:E1000, Calycosa!E$2:E1000&lt;&gt;""), 1))</f>
        <v>0</v>
      </c>
      <c r="D24" s="6" cm="1">
        <f t="array" ref="D24">_xlfn.QUARTILE.INC(_xlfn._xlws.FILTER(Calycosa!F$2:F1000, Calycosa!F$2:F1000&lt;&gt;""), 1) - 1.5*(_xlfn.QUARTILE.INC(_xlfn._xlws.FILTER(Calycosa!F$2:F1000, Calycosa!F$2:F1000&lt;&gt;""), 3) - _xlfn.QUARTILE.INC(_xlfn._xlws.FILTER(Calycosa!F$2:F1000, Calycosa!F$2:F1000&lt;&gt;""), 1))</f>
        <v>0</v>
      </c>
      <c r="E24" s="6" cm="1">
        <f t="array" ref="E24">_xlfn.QUARTILE.INC(_xlfn._xlws.FILTER(Calycosa!G$2:G1000, Calycosa!G$2:G1000&lt;&gt;""), 1) - 1.5*(_xlfn.QUARTILE.INC(_xlfn._xlws.FILTER(Calycosa!G$2:G1000, Calycosa!G$2:G1000&lt;&gt;""), 3) - _xlfn.QUARTILE.INC(_xlfn._xlws.FILTER(Calycosa!G$2:G1000, Calycosa!G$2:G1000&lt;&gt;""), 1))</f>
        <v>0</v>
      </c>
      <c r="F24" s="6" cm="1">
        <f t="array" ref="F24">_xlfn.QUARTILE.INC(_xlfn._xlws.FILTER(Calycosa!H$2:H1000, Calycosa!H$2:H1000&lt;&gt;""), 1) - 1.5*(_xlfn.QUARTILE.INC(_xlfn._xlws.FILTER(Calycosa!H$2:H1000, Calycosa!H$2:H1000&lt;&gt;""), 3) - _xlfn.QUARTILE.INC(_xlfn._xlws.FILTER(Calycosa!H$2:H1000, Calycosa!H$2:H1000&lt;&gt;""), 1))</f>
        <v>2.1443749999999993</v>
      </c>
      <c r="G24" s="6" cm="1">
        <f t="array" ref="G24">_xlfn.QUARTILE.INC(_xlfn._xlws.FILTER(Calycosa!I$2:I1000, Calycosa!I$2:I1000&lt;&gt;""), 1) - 1.5*(_xlfn.QUARTILE.INC(_xlfn._xlws.FILTER(Calycosa!I$2:I1000, Calycosa!I$2:I1000&lt;&gt;""), 3) - _xlfn.QUARTILE.INC(_xlfn._xlws.FILTER(Calycosa!I$2:I1000, Calycosa!I$2:I1000&lt;&gt;""), 1))</f>
        <v>9.5124999999999682E-2</v>
      </c>
      <c r="H24" s="6" cm="1">
        <f t="array" ref="H24">_xlfn.QUARTILE.INC(_xlfn._xlws.FILTER(Calycosa!J$2:J1000, Calycosa!J$2:J1000&lt;&gt;""), 1) - 1.5*(_xlfn.QUARTILE.INC(_xlfn._xlws.FILTER(Calycosa!J$2:J1000, Calycosa!J$2:J1000&lt;&gt;""), 3) - _xlfn.QUARTILE.INC(_xlfn._xlws.FILTER(Calycosa!J$2:J1000, Calycosa!J$2:J1000&lt;&gt;""), 1))</f>
        <v>1.6050000000000002</v>
      </c>
      <c r="I24" s="6" cm="1">
        <f t="array" ref="I24">_xlfn.QUARTILE.INC(_xlfn._xlws.FILTER(Calycosa!K$2:K1000, Calycosa!K$2:K1000&lt;&gt;""), 1) - 1.5*(_xlfn.QUARTILE.INC(_xlfn._xlws.FILTER(Calycosa!K$2:K1000, Calycosa!K$2:K1000&lt;&gt;""), 3) - _xlfn.QUARTILE.INC(_xlfn._xlws.FILTER(Calycosa!K$2:K1000, Calycosa!K$2:K1000&lt;&gt;""), 1))</f>
        <v>0.25650000000000006</v>
      </c>
      <c r="J24" s="6" cm="1">
        <f t="array" ref="J24">_xlfn.QUARTILE.INC(_xlfn._xlws.FILTER(Calycosa!L$2:L1000, Calycosa!L$2:L1000&lt;&gt;""), 1) - 1.5*(_xlfn.QUARTILE.INC(_xlfn._xlws.FILTER(Calycosa!L$2:L1000, Calycosa!L$2:L1000&lt;&gt;""), 3) - _xlfn.QUARTILE.INC(_xlfn._xlws.FILTER(Calycosa!L$2:L1000, Calycosa!L$2:L1000&lt;&gt;""), 1))</f>
        <v>-4.5000000000002816E-3</v>
      </c>
      <c r="K24" s="6" cm="1">
        <f t="array" ref="K24">_xlfn.QUARTILE.INC(_xlfn._xlws.FILTER(Calycosa!M$2:M1000, Calycosa!M$2:M1000&lt;&gt;""), 1) - 1.5*(_xlfn.QUARTILE.INC(_xlfn._xlws.FILTER(Calycosa!M$2:M1000, Calycosa!M$2:M1000&lt;&gt;""), 3) - _xlfn.QUARTILE.INC(_xlfn._xlws.FILTER(Calycosa!M$2:M1000, Calycosa!M$2:M1000&lt;&gt;""), 1))</f>
        <v>0.28550000000000009</v>
      </c>
      <c r="L24" s="6" cm="1">
        <f t="array" ref="L24">_xlfn.QUARTILE.INC(_xlfn._xlws.FILTER(Calycosa!N$2:N1000, Calycosa!N$2:N1000&lt;&gt;""), 1) - 1.5*(_xlfn.QUARTILE.INC(_xlfn._xlws.FILTER(Calycosa!N$2:N1000, Calycosa!N$2:N1000&lt;&gt;""), 3) - _xlfn.QUARTILE.INC(_xlfn._xlws.FILTER(Calycosa!N$2:N1000, Calycosa!N$2:N1000&lt;&gt;""), 1))</f>
        <v>1.0297500000000006</v>
      </c>
      <c r="M24" s="6" cm="1">
        <f t="array" ref="M24">_xlfn.QUARTILE.INC(_xlfn._xlws.FILTER(Calycosa!O$2:O1000, Calycosa!O$2:O1000&lt;&gt;""), 1) - 1.5*(_xlfn.QUARTILE.INC(_xlfn._xlws.FILTER(Calycosa!O$2:O1000, Calycosa!O$2:O1000&lt;&gt;""), 3) - _xlfn.QUARTILE.INC(_xlfn._xlws.FILTER(Calycosa!O$2:O1000, Calycosa!O$2:O1000&lt;&gt;""), 1))</f>
        <v>1.6887499999999998</v>
      </c>
      <c r="N24" s="6" cm="1">
        <f t="array" ref="N24">_xlfn.QUARTILE.INC(_xlfn._xlws.FILTER(Calycosa!P$2:P1000, Calycosa!P$2:P1000&lt;&gt;""), 1) - 1.5*(_xlfn.QUARTILE.INC(_xlfn._xlws.FILTER(Calycosa!P$2:P1000, Calycosa!P$2:P1000&lt;&gt;""), 3) - _xlfn.QUARTILE.INC(_xlfn._xlws.FILTER(Calycosa!P$2:P1000, Calycosa!P$2:P1000&lt;&gt;""), 1))</f>
        <v>-1.0566249999999999</v>
      </c>
      <c r="O24" s="6" cm="1">
        <f t="array" ref="O24">_xlfn.QUARTILE.INC(_xlfn._xlws.FILTER(Calycosa!Q$2:Q1000, Calycosa!Q$2:Q1000&lt;&gt;""), 1) - 1.5*(_xlfn.QUARTILE.INC(_xlfn._xlws.FILTER(Calycosa!Q$2:Q1000, Calycosa!Q$2:Q1000&lt;&gt;""), 3) - _xlfn.QUARTILE.INC(_xlfn._xlws.FILTER(Calycosa!Q$2:Q1000, Calycosa!Q$2:Q1000&lt;&gt;""), 1))</f>
        <v>3.1065000000000023</v>
      </c>
      <c r="P24" s="6" cm="1">
        <f t="array" ref="P24">_xlfn.QUARTILE.INC(_xlfn._xlws.FILTER(Calycosa!R$2:R1000, Calycosa!R$2:R1000&lt;&gt;""), 1) - 1.5*(_xlfn.QUARTILE.INC(_xlfn._xlws.FILTER(Calycosa!R$2:R1000, Calycosa!R$2:R1000&lt;&gt;""), 3) - _xlfn.QUARTILE.INC(_xlfn._xlws.FILTER(Calycosa!R$2:R1000, Calycosa!R$2:R1000&lt;&gt;""), 1))</f>
        <v>273.33100000000002</v>
      </c>
    </row>
    <row r="25" spans="1:23" s="6" customFormat="1" x14ac:dyDescent="0.2">
      <c r="A25" s="6" t="s">
        <v>212</v>
      </c>
      <c r="B25" s="6" t="s">
        <v>222</v>
      </c>
      <c r="C25" s="6" cm="1">
        <f t="array" ref="C25">_xlfn.QUARTILE.INC(_xlfn._xlws.FILTER(Calycosa!E$2:E1000, Calycosa!E$2:E1000&lt;&gt;""), 3) + 1.5*(_xlfn.QUARTILE.INC(_xlfn._xlws.FILTER(Calycosa!E$2:E1000, Calycosa!E$2:E1000&lt;&gt;""), 3) - _xlfn.QUARTILE.INC(_xlfn._xlws.FILTER(Calycosa!E$2:E1000, Calycosa!E$2:E1000&lt;&gt;""), 1))</f>
        <v>0</v>
      </c>
      <c r="D25" s="6" cm="1">
        <f t="array" ref="D25">_xlfn.QUARTILE.INC(_xlfn._xlws.FILTER(Calycosa!F$2:F1000, Calycosa!F$2:F1000&lt;&gt;""), 3) + 1.5*(_xlfn.QUARTILE.INC(_xlfn._xlws.FILTER(Calycosa!F$2:F1000, Calycosa!F$2:F1000&lt;&gt;""), 3) - _xlfn.QUARTILE.INC(_xlfn._xlws.FILTER(Calycosa!F$2:F1000, Calycosa!F$2:F1000&lt;&gt;""), 1))</f>
        <v>0</v>
      </c>
      <c r="E25" s="6" cm="1">
        <f t="array" ref="E25">_xlfn.QUARTILE.INC(_xlfn._xlws.FILTER(Calycosa!G$2:G1000, Calycosa!G$2:G1000&lt;&gt;""), 3) + 1.5*(_xlfn.QUARTILE.INC(_xlfn._xlws.FILTER(Calycosa!G$2:G1000, Calycosa!G$2:G1000&lt;&gt;""), 3) - _xlfn.QUARTILE.INC(_xlfn._xlws.FILTER(Calycosa!G$2:G1000, Calycosa!G$2:G1000&lt;&gt;""), 1))</f>
        <v>0</v>
      </c>
      <c r="F25" s="6" cm="1">
        <f t="array" ref="F25">_xlfn.QUARTILE.INC(_xlfn._xlws.FILTER(Calycosa!H$2:H1000, Calycosa!H$2:H1000&lt;&gt;""), 3) + 1.5*(_xlfn.QUARTILE.INC(_xlfn._xlws.FILTER(Calycosa!H$2:H1000, Calycosa!H$2:H1000&lt;&gt;""), 3) - _xlfn.QUARTILE.INC(_xlfn._xlws.FILTER(Calycosa!H$2:H1000, Calycosa!H$2:H1000&lt;&gt;""), 1))</f>
        <v>6.439375000000001</v>
      </c>
      <c r="G25" s="6" cm="1">
        <f t="array" ref="G25">_xlfn.QUARTILE.INC(_xlfn._xlws.FILTER(Calycosa!I$2:I1000, Calycosa!I$2:I1000&lt;&gt;""), 3) + 1.5*(_xlfn.QUARTILE.INC(_xlfn._xlws.FILTER(Calycosa!I$2:I1000, Calycosa!I$2:I1000&lt;&gt;""), 3) - _xlfn.QUARTILE.INC(_xlfn._xlws.FILTER(Calycosa!I$2:I1000, Calycosa!I$2:I1000&lt;&gt;""), 1))</f>
        <v>2.8821250000000003</v>
      </c>
      <c r="H25" s="6" cm="1">
        <f t="array" ref="H25">_xlfn.QUARTILE.INC(_xlfn._xlws.FILTER(Calycosa!J$2:J1000, Calycosa!J$2:J1000&lt;&gt;""), 3) + 1.5*(_xlfn.QUARTILE.INC(_xlfn._xlws.FILTER(Calycosa!J$2:J1000, Calycosa!J$2:J1000&lt;&gt;""), 3) - _xlfn.QUARTILE.INC(_xlfn._xlws.FILTER(Calycosa!J$2:J1000, Calycosa!J$2:J1000&lt;&gt;""), 1))</f>
        <v>4.4610000000000003</v>
      </c>
      <c r="I25" s="6" cm="1">
        <f t="array" ref="I25">_xlfn.QUARTILE.INC(_xlfn._xlws.FILTER(Calycosa!K$2:K1000, Calycosa!K$2:K1000&lt;&gt;""), 3) + 1.5*(_xlfn.QUARTILE.INC(_xlfn._xlws.FILTER(Calycosa!K$2:K1000, Calycosa!K$2:K1000&lt;&gt;""), 3) - _xlfn.QUARTILE.INC(_xlfn._xlws.FILTER(Calycosa!K$2:K1000, Calycosa!K$2:K1000&lt;&gt;""), 1))</f>
        <v>1.8764999999999998</v>
      </c>
      <c r="J25" s="6" cm="1">
        <f t="array" ref="J25">_xlfn.QUARTILE.INC(_xlfn._xlws.FILTER(Calycosa!L$2:L1000, Calycosa!L$2:L1000&lt;&gt;""), 3) + 1.5*(_xlfn.QUARTILE.INC(_xlfn._xlws.FILTER(Calycosa!L$2:L1000, Calycosa!L$2:L1000&lt;&gt;""), 3) - _xlfn.QUARTILE.INC(_xlfn._xlws.FILTER(Calycosa!L$2:L1000, Calycosa!L$2:L1000&lt;&gt;""), 1))</f>
        <v>1.8455000000000004</v>
      </c>
      <c r="K25" s="6" cm="1">
        <f t="array" ref="K25">_xlfn.QUARTILE.INC(_xlfn._xlws.FILTER(Calycosa!M$2:M1000, Calycosa!M$2:M1000&lt;&gt;""), 3) + 1.5*(_xlfn.QUARTILE.INC(_xlfn._xlws.FILTER(Calycosa!M$2:M1000, Calycosa!M$2:M1000&lt;&gt;""), 3) - _xlfn.QUARTILE.INC(_xlfn._xlws.FILTER(Calycosa!M$2:M1000, Calycosa!M$2:M1000&lt;&gt;""), 1))</f>
        <v>3.7694999999999999</v>
      </c>
      <c r="L25" s="6" cm="1">
        <f t="array" ref="L25">_xlfn.QUARTILE.INC(_xlfn._xlws.FILTER(Calycosa!N$2:N1000, Calycosa!N$2:N1000&lt;&gt;""), 3) + 1.5*(_xlfn.QUARTILE.INC(_xlfn._xlws.FILTER(Calycosa!N$2:N1000, Calycosa!N$2:N1000&lt;&gt;""), 3) - _xlfn.QUARTILE.INC(_xlfn._xlws.FILTER(Calycosa!N$2:N1000, Calycosa!N$2:N1000&lt;&gt;""), 1))</f>
        <v>4.7397499999999999</v>
      </c>
      <c r="M25" s="6" cm="1">
        <f t="array" ref="M25">_xlfn.QUARTILE.INC(_xlfn._xlws.FILTER(Calycosa!O$2:O1000, Calycosa!O$2:O1000&lt;&gt;""), 3) + 1.5*(_xlfn.QUARTILE.INC(_xlfn._xlws.FILTER(Calycosa!O$2:O1000, Calycosa!O$2:O1000&lt;&gt;""), 3) - _xlfn.QUARTILE.INC(_xlfn._xlws.FILTER(Calycosa!O$2:O1000, Calycosa!O$2:O1000&lt;&gt;""), 1))</f>
        <v>4.4387499999999998</v>
      </c>
      <c r="N25" s="6" cm="1">
        <f t="array" ref="N25">_xlfn.QUARTILE.INC(_xlfn._xlws.FILTER(Calycosa!P$2:P1000, Calycosa!P$2:P1000&lt;&gt;""), 3) + 1.5*(_xlfn.QUARTILE.INC(_xlfn._xlws.FILTER(Calycosa!P$2:P1000, Calycosa!P$2:P1000&lt;&gt;""), 3) - _xlfn.QUARTILE.INC(_xlfn._xlws.FILTER(Calycosa!P$2:P1000, Calycosa!P$2:P1000&lt;&gt;""), 1))</f>
        <v>8.9083749999999995</v>
      </c>
      <c r="O25" s="6" cm="1">
        <f t="array" ref="O25">_xlfn.QUARTILE.INC(_xlfn._xlws.FILTER(Calycosa!Q$2:Q1000, Calycosa!Q$2:Q1000&lt;&gt;""), 3) + 1.5*(_xlfn.QUARTILE.INC(_xlfn._xlws.FILTER(Calycosa!Q$2:Q1000, Calycosa!Q$2:Q1000&lt;&gt;""), 3) - _xlfn.QUARTILE.INC(_xlfn._xlws.FILTER(Calycosa!Q$2:Q1000, Calycosa!Q$2:Q1000&lt;&gt;""), 1))</f>
        <v>36.566499999999998</v>
      </c>
      <c r="P25" s="6" cm="1">
        <f t="array" ref="P25">_xlfn.QUARTILE.INC(_xlfn._xlws.FILTER(Calycosa!R$2:R1000, Calycosa!R$2:R1000&lt;&gt;""), 3) + 1.5*(_xlfn.QUARTILE.INC(_xlfn._xlws.FILTER(Calycosa!R$2:R1000, Calycosa!R$2:R1000&lt;&gt;""), 3) - _xlfn.QUARTILE.INC(_xlfn._xlws.FILTER(Calycosa!R$2:R1000, Calycosa!R$2:R1000&lt;&gt;""), 1))</f>
        <v>1142.5230000000001</v>
      </c>
    </row>
    <row r="26" spans="1:23" s="6" customFormat="1" x14ac:dyDescent="0.2">
      <c r="A26" s="6" t="s">
        <v>213</v>
      </c>
      <c r="B26" s="6" t="s">
        <v>223</v>
      </c>
      <c r="C26" s="6" cm="1">
        <f t="array" ref="C26">MIN(_xlfn._xlws.FILTER(Calycosa!E$2:E1000, Calycosa!E$2:E1000&lt;&gt;""))</f>
        <v>0</v>
      </c>
      <c r="D26" s="6" cm="1">
        <f t="array" ref="D26">MIN(_xlfn._xlws.FILTER(Calycosa!F$2:F1000, Calycosa!F$2:F1000&lt;&gt;""))</f>
        <v>0</v>
      </c>
      <c r="E26" s="6" cm="1">
        <f t="array" ref="E26">MIN(_xlfn._xlws.FILTER(Calycosa!G$2:G1000, Calycosa!G$2:G1000&lt;&gt;""))</f>
        <v>0</v>
      </c>
      <c r="F26" s="6" cm="1">
        <f t="array" ref="F26">MIN(_xlfn._xlws.FILTER(Calycosa!H$2:H1000, Calycosa!H$2:H1000&lt;&gt;""))</f>
        <v>2.4409999999999998</v>
      </c>
      <c r="G26" s="6" cm="1">
        <f t="array" ref="G26">MIN(_xlfn._xlws.FILTER(Calycosa!I$2:I1000, Calycosa!I$2:I1000&lt;&gt;""))</f>
        <v>0.53200000000000003</v>
      </c>
      <c r="H26" s="6" cm="1">
        <f t="array" ref="H26">MIN(_xlfn._xlws.FILTER(Calycosa!J$2:J1000, Calycosa!J$2:J1000&lt;&gt;""))</f>
        <v>2.1429999999999998</v>
      </c>
      <c r="I26" s="6" cm="1">
        <f t="array" ref="I26">MIN(_xlfn._xlws.FILTER(Calycosa!K$2:K1000, Calycosa!K$2:K1000&lt;&gt;""))</f>
        <v>0.49399999999999999</v>
      </c>
      <c r="J26" s="6" cm="1">
        <f t="array" ref="J26">MIN(_xlfn._xlws.FILTER(Calycosa!L$2:L1000, Calycosa!L$2:L1000&lt;&gt;""))</f>
        <v>0.47399999999999998</v>
      </c>
      <c r="K26" s="6" cm="1">
        <f t="array" ref="K26">MIN(_xlfn._xlws.FILTER(Calycosa!M$2:M1000, Calycosa!M$2:M1000&lt;&gt;""))</f>
        <v>1.0860000000000001</v>
      </c>
      <c r="L26" s="6" cm="1">
        <f t="array" ref="L26">MIN(_xlfn._xlws.FILTER(Calycosa!N$2:N1000, Calycosa!N$2:N1000&lt;&gt;""))</f>
        <v>2.0880000000000001</v>
      </c>
      <c r="M26" s="6" cm="1">
        <f t="array" ref="M26">MIN(_xlfn._xlws.FILTER(Calycosa!O$2:O1000, Calycosa!O$2:O1000&lt;&gt;""))</f>
        <v>2.0499999999999998</v>
      </c>
      <c r="N26" s="6" cm="1">
        <f t="array" ref="N26">MIN(_xlfn._xlws.FILTER(Calycosa!P$2:P1000, Calycosa!P$2:P1000&lt;&gt;""))</f>
        <v>1.6439999999999999</v>
      </c>
      <c r="O26" s="6" cm="1">
        <f t="array" ref="O26">MIN(_xlfn._xlws.FILTER(Calycosa!Q$2:Q1000, Calycosa!Q$2:Q1000&lt;&gt;""))</f>
        <v>10.217000000000001</v>
      </c>
      <c r="P26" s="6" cm="1">
        <f t="array" ref="P26">MIN(_xlfn._xlws.FILTER(Calycosa!R$2:R1000, Calycosa!R$2:R1000&lt;&gt;""))</f>
        <v>481.68799999999999</v>
      </c>
    </row>
    <row r="27" spans="1:23" s="6" customFormat="1" x14ac:dyDescent="0.2">
      <c r="A27" s="6" t="s">
        <v>214</v>
      </c>
      <c r="B27" s="6" t="s">
        <v>224</v>
      </c>
      <c r="C27" s="6" cm="1">
        <f t="array" ref="C27">MAX(_xlfn._xlws.FILTER(Calycosa!E$2:E1000, Calycosa!E$2:E1000&lt;&gt;""))</f>
        <v>0.871</v>
      </c>
      <c r="D27" s="6" cm="1">
        <f t="array" ref="D27">MAX(_xlfn._xlws.FILTER(Calycosa!F$2:F1000, Calycosa!F$2:F1000&lt;&gt;""))</f>
        <v>0.47899999999999998</v>
      </c>
      <c r="E27" s="6" cm="1">
        <f t="array" ref="E27">MAX(_xlfn._xlws.FILTER(Calycosa!G$2:G1000, Calycosa!G$2:G1000&lt;&gt;""))</f>
        <v>1.42</v>
      </c>
      <c r="F27" s="6" cm="1">
        <f t="array" ref="F27">MAX(_xlfn._xlws.FILTER(Calycosa!H$2:H1000, Calycosa!H$2:H1000&lt;&gt;""))</f>
        <v>8.9190000000000005</v>
      </c>
      <c r="G27" s="6" cm="1">
        <f t="array" ref="G27">MAX(_xlfn._xlws.FILTER(Calycosa!I$2:I1000, Calycosa!I$2:I1000&lt;&gt;""))</f>
        <v>2.5499999999999998</v>
      </c>
      <c r="H27" s="6" cm="1">
        <f t="array" ref="H27">MAX(_xlfn._xlws.FILTER(Calycosa!J$2:J1000, Calycosa!J$2:J1000&lt;&gt;""))</f>
        <v>4.258</v>
      </c>
      <c r="I27" s="6" cm="1">
        <f t="array" ref="I27">MAX(_xlfn._xlws.FILTER(Calycosa!K$2:K1000, Calycosa!K$2:K1000&lt;&gt;""))</f>
        <v>1.651</v>
      </c>
      <c r="J27" s="6" cm="1">
        <f t="array" ref="J27">MAX(_xlfn._xlws.FILTER(Calycosa!L$2:L1000, Calycosa!L$2:L1000&lt;&gt;""))</f>
        <v>1.6120000000000001</v>
      </c>
      <c r="K27" s="6" cm="1">
        <f t="array" ref="K27">MAX(_xlfn._xlws.FILTER(Calycosa!M$2:M1000, Calycosa!M$2:M1000&lt;&gt;""))</f>
        <v>3.1179999999999999</v>
      </c>
      <c r="L27" s="6" cm="1">
        <f t="array" ref="L27">MAX(_xlfn._xlws.FILTER(Calycosa!N$2:N1000, Calycosa!N$2:N1000&lt;&gt;""))</f>
        <v>4.2839999999999998</v>
      </c>
      <c r="M27" s="6" cm="1">
        <f t="array" ref="M27">MAX(_xlfn._xlws.FILTER(Calycosa!O$2:O1000, Calycosa!O$2:O1000&lt;&gt;""))</f>
        <v>4.2750000000000004</v>
      </c>
      <c r="N27" s="6" cm="1">
        <f t="array" ref="N27">MAX(_xlfn._xlws.FILTER(Calycosa!P$2:P1000, Calycosa!P$2:P1000&lt;&gt;""))</f>
        <v>6.625</v>
      </c>
      <c r="O27" s="6" cm="1">
        <f t="array" ref="O27">MAX(_xlfn._xlws.FILTER(Calycosa!Q$2:Q1000, Calycosa!Q$2:Q1000&lt;&gt;""))</f>
        <v>30.727</v>
      </c>
      <c r="P27" s="6" cm="1">
        <f t="array" ref="P27">MAX(_xlfn._xlws.FILTER(Calycosa!R$2:R1000, Calycosa!R$2:R1000&lt;&gt;""))</f>
        <v>961.61900000000003</v>
      </c>
    </row>
    <row r="28" spans="1:23" s="6" customFormat="1" ht="17" x14ac:dyDescent="0.25">
      <c r="A28" s="6" t="s">
        <v>215</v>
      </c>
      <c r="B28" s="6" t="s">
        <v>225</v>
      </c>
      <c r="C28" s="6" t="str">
        <f>"(" &amp; IF(MIN(Calycosa!E$2:E$1000)&lt;_xlfn.QUARTILE.INC(Calycosa!E$2:E$1000,1)-1.5*(_xlfn.QUARTILE.INC(Calycosa!E$2:E$1000,3)-_xlfn.QUARTILE.INC(Calycosa!E$2:E$1000,1)),MIN(Calycosa!E$2:E$1000),"") &amp; ") " &amp; _xlfn.MINIFS(Calycosa!E$2:E$1000,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"–" &amp; _xlfn.MAXIFS(Calycosa!E$2:E$1000,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 (" &amp; IF(MAX(Calycosa!E$2:E$1000)&gt;_xlfn.QUARTILE.INC(Calycosa!E$2:E$1000,3)+1.5*(_xlfn.QUARTILE.INC(Calycosa!E$2:E$1000,3)-_xlfn.QUARTILE.INC(Calycosa!E$2:E$1000,1)),MAX(Calycosa!E$2:E$1000),"") &amp; ") mm"</f>
        <v>() 0–0 (0.871) mm</v>
      </c>
      <c r="D28" s="6" t="str">
        <f>"(" &amp; IF(MIN(Calycosa!F$2:F$1000)&lt;_xlfn.QUARTILE.INC(Calycosa!F$2:F$1000,1)-1.5*(_xlfn.QUARTILE.INC(Calycosa!F$2:F$1000,3)-_xlfn.QUARTILE.INC(Calycosa!F$2:F$1000,1)),MIN(Calycosa!F$2:F$1000),"") &amp; ") " &amp; _xlfn.MINIFS(Calycosa!F$2:F$1000, Calycosa!F$2:F$1000, "&gt;=" &amp; _xlfn.QUARTILE.INC(Calycosa!F$2:F$1000,1)-1.5*(_xlfn.QUARTILE.INC(Calycosa!F$2:F$1000,3)-_xlfn.QUARTILE.INC(Calycosa!F$2:F$1000,1)), Calycosa!F$2:F$1000, "&lt;=" &amp; _xlfn.QUARTILE.INC(Calycosa!F$2:F$1000,3)+1.5*(_xlfn.QUARTILE.INC(Calycosa!F$2:F$1000,3)-_xlfn.QUARTILE.INC(Calycosa!F$2:F$1000,1))) &amp; "–" &amp; _xlfn.MAXIFS(Calycosa!F$2:F$1000, Calycosa!F$2:F$1000, "&gt;=" &amp; _xlfn.QUARTILE.INC(Calycosa!F$2:F$1000,1)-1.5*(_xlfn.QUARTILE.INC(Calycosa!F$2:F$1000,3)-_xlfn.QUARTILE.INC(Calycosa!F$2:F$1000,1)), Calycosa!F$2:F$1000, "&lt;=" &amp; _xlfn.QUARTILE.INC(Calycosa!F$2:F$1000,3)+1.5*(_xlfn.QUARTILE.INC(Calycosa!F$2:F$1000,3)-_xlfn.QUARTILE.INC(Calycosa!F$2:F$1000,1))) &amp; " (" &amp; IF(MAX(Calycosa!F$2:F$1000)&gt;_xlfn.QUARTILE.INC(Calycosa!F$2:F$1000,3)+1.5*(_xlfn.QUARTILE.INC(Calycosa!F$2:F$1000,3)-_xlfn.QUARTILE.INC(Calycosa!F$2:F$1000,1)),MAX(Calycosa!F$2:F$1000),"") &amp; ") mm"</f>
        <v>() 0–0 (0.479) mm</v>
      </c>
      <c r="E28" s="6" t="str">
        <f>"(" &amp; IF(MIN(Calycosa!G$2:G$1000)&lt;_xlfn.QUARTILE.INC(Calycosa!G$2:G$1000,1)-1.5*(_xlfn.QUARTILE.INC(Calycosa!G$2:G$1000,3)-_xlfn.QUARTILE.INC(Calycosa!G$2:G$1000,1)),MIN(Calycosa!G$2:G$1000),"") &amp; ") " &amp; _xlfn.MINIFS(Calycosa!G$2:G$1000, Calycosa!G$2:G$1000, "&gt;=" &amp; _xlfn.QUARTILE.INC(Calycosa!G$2:G$1000,1)-1.5*(_xlfn.QUARTILE.INC(Calycosa!G$2:G$1000,3)-_xlfn.QUARTILE.INC(Calycosa!G$2:G$1000,1)), Calycosa!G$2:G$1000, "&lt;=" &amp; _xlfn.QUARTILE.INC(Calycosa!G$2:G$1000,3)+1.5*(_xlfn.QUARTILE.INC(Calycosa!G$2:G$1000,3)-_xlfn.QUARTILE.INC(Calycosa!G$2:G$1000,1))) &amp; "–" &amp; _xlfn.MAXIFS(Calycosa!G$2:G$1000, Calycosa!G$2:G$1000, "&gt;=" &amp; _xlfn.QUARTILE.INC(Calycosa!G$2:G$1000,1)-1.5*(_xlfn.QUARTILE.INC(Calycosa!G$2:G$1000,3)-_xlfn.QUARTILE.INC(Calycosa!G$2:G$1000,1)), Calycosa!G$2:G$1000, "&lt;=" &amp; _xlfn.QUARTILE.INC(Calycosa!G$2:G$1000,3)+1.5*(_xlfn.QUARTILE.INC(Calycosa!G$2:G$1000,3)-_xlfn.QUARTILE.INC(Calycosa!G$2:G$1000,1))) &amp; " (" &amp; IF(MAX(Calycosa!G$2:G$1000)&gt;_xlfn.QUARTILE.INC(Calycosa!G$2:G$1000,3)+1.5*(_xlfn.QUARTILE.INC(Calycosa!G$2:G$1000,3)-_xlfn.QUARTILE.INC(Calycosa!G$2:G$1000,1)),MAX(Calycosa!G$2:G$1000),"") &amp; ") mm"</f>
        <v>() 0–0 (1.42) mm</v>
      </c>
      <c r="F28" s="6" t="str">
        <f>"(" &amp; IF(MIN(Calycosa!H$2:H$1000)&lt;_xlfn.QUARTILE.INC(Calycosa!H$2:H$1000,1)-1.5*(_xlfn.QUARTILE.INC(Calycosa!H$2:H$1000,3)-_xlfn.QUARTILE.INC(Calycosa!H$2:H$1000,1)),MIN(Calycosa!H$2:H$1000),"") &amp; ") " &amp; _xlfn.MINIFS(Calycosa!H$2:H$1000, Calycosa!H$2:H$1000, "&gt;=" &amp; _xlfn.QUARTILE.INC(Calycosa!H$2:H$1000,1)-1.5*(_xlfn.QUARTILE.INC(Calycosa!H$2:H$1000,3)-_xlfn.QUARTILE.INC(Calycosa!H$2:H$1000,1)), Calycosa!H$2:H$1000, "&lt;=" &amp; _xlfn.QUARTILE.INC(Calycosa!H$2:H$1000,3)+1.5*(_xlfn.QUARTILE.INC(Calycosa!H$2:H$1000,3)-_xlfn.QUARTILE.INC(Calycosa!H$2:H$1000,1))) &amp; "–" &amp; _xlfn.MAXIFS(Calycosa!H$2:H$1000, Calycosa!H$2:H$1000, "&gt;=" &amp; _xlfn.QUARTILE.INC(Calycosa!H$2:H$1000,1)-1.5*(_xlfn.QUARTILE.INC(Calycosa!H$2:H$1000,3)-_xlfn.QUARTILE.INC(Calycosa!H$2:H$1000,1)), Calycosa!H$2:H$1000, "&lt;=" &amp; _xlfn.QUARTILE.INC(Calycosa!H$2:H$1000,3)+1.5*(_xlfn.QUARTILE.INC(Calycosa!H$2:H$1000,3)-_xlfn.QUARTILE.INC(Calycosa!H$2:H$1000,1))) &amp; " (" &amp; IF(MAX(Calycosa!H$2:H$1000)&gt;_xlfn.QUARTILE.INC(Calycosa!H$2:H$1000,3)+1.5*(_xlfn.QUARTILE.INC(Calycosa!H$2:H$1000,3)-_xlfn.QUARTILE.INC(Calycosa!H$2:H$1000,1)),MAX(Calycosa!H$2:H$1000),"") &amp; ") mm"</f>
        <v>() 2.441–5.684 (8.919) mm</v>
      </c>
      <c r="G28" s="6" t="str">
        <f>"(" &amp; IF(MIN(Calycosa!I$2:I$1000)&lt;_xlfn.QUARTILE.INC(Calycosa!I$2:I$1000,1)-1.5*(_xlfn.QUARTILE.INC(Calycosa!I$2:I$1000,3)-_xlfn.QUARTILE.INC(Calycosa!I$2:I$1000,1)),MIN(Calycosa!I$2:I$1000),"") &amp; ") " &amp; _xlfn.MINIFS(Calycosa!I$2:I$1000, Calycosa!I$2:I$1000, "&gt;=" &amp; _xlfn.QUARTILE.INC(Calycosa!I$2:I$1000,1)-1.5*(_xlfn.QUARTILE.INC(Calycosa!I$2:I$1000,3)-_xlfn.QUARTILE.INC(Calycosa!I$2:I$1000,1)), Calycosa!I$2:I$1000, "&lt;=" &amp; _xlfn.QUARTILE.INC(Calycosa!I$2:I$1000,3)+1.5*(_xlfn.QUARTILE.INC(Calycosa!I$2:I$1000,3)-_xlfn.QUARTILE.INC(Calycosa!I$2:I$1000,1))) &amp; "–" &amp; _xlfn.MAXIFS(Calycosa!I$2:I$1000, Calycosa!I$2:I$1000, "&gt;=" &amp; _xlfn.QUARTILE.INC(Calycosa!I$2:I$1000,1)-1.5*(_xlfn.QUARTILE.INC(Calycosa!I$2:I$1000,3)-_xlfn.QUARTILE.INC(Calycosa!I$2:I$1000,1)), Calycosa!I$2:I$1000, "&lt;=" &amp; _xlfn.QUARTILE.INC(Calycosa!I$2:I$1000,3)+1.5*(_xlfn.QUARTILE.INC(Calycosa!I$2:I$1000,3)-_xlfn.QUARTILE.INC(Calycosa!I$2:I$1000,1))) &amp; " (" &amp; IF(MAX(Calycosa!I$2:I$1000)&gt;_xlfn.QUARTILE.INC(Calycosa!I$2:I$1000,3)+1.5*(_xlfn.QUARTILE.INC(Calycosa!I$2:I$1000,3)-_xlfn.QUARTILE.INC(Calycosa!I$2:I$1000,1)),MAX(Calycosa!I$2:I$1000),"") &amp; ") mm"</f>
        <v>() 0.532–2.55 () mm</v>
      </c>
      <c r="H28" s="6" t="str">
        <f>"(" &amp; IF(MIN(Calycosa!J$2:J$1000)&lt;_xlfn.QUARTILE.INC(Calycosa!J$2:J$1000,1)-1.5*(_xlfn.QUARTILE.INC(Calycosa!J$2:J$1000,3)-_xlfn.QUARTILE.INC(Calycosa!J$2:J$1000,1)),MIN(Calycosa!J$2:J$1000),"") &amp; ") " &amp; _xlfn.MINIFS(Calycosa!J$2:J$1000, Calycosa!J$2:J$1000, "&gt;=" &amp; _xlfn.QUARTILE.INC(Calycosa!J$2:J$1000,1)-1.5*(_xlfn.QUARTILE.INC(Calycosa!J$2:J$1000,3)-_xlfn.QUARTILE.INC(Calycosa!J$2:J$1000,1)), Calycosa!J$2:J$1000, "&lt;=" &amp; _xlfn.QUARTILE.INC(Calycosa!J$2:J$1000,3)+1.5*(_xlfn.QUARTILE.INC(Calycosa!J$2:J$1000,3)-_xlfn.QUARTILE.INC(Calycosa!J$2:J$1000,1))) &amp; "–" &amp; _xlfn.MAXIFS(Calycosa!J$2:J$1000, Calycosa!J$2:J$1000, "&gt;=" &amp; _xlfn.QUARTILE.INC(Calycosa!J$2:J$1000,1)-1.5*(_xlfn.QUARTILE.INC(Calycosa!J$2:J$1000,3)-_xlfn.QUARTILE.INC(Calycosa!J$2:J$1000,1)), Calycosa!J$2:J$1000, "&lt;=" &amp; _xlfn.QUARTILE.INC(Calycosa!J$2:J$1000,3)+1.5*(_xlfn.QUARTILE.INC(Calycosa!J$2:J$1000,3)-_xlfn.QUARTILE.INC(Calycosa!J$2:J$1000,1))) &amp; " (" &amp; IF(MAX(Calycosa!J$2:J$1000)&gt;_xlfn.QUARTILE.INC(Calycosa!J$2:J$1000,3)+1.5*(_xlfn.QUARTILE.INC(Calycosa!J$2:J$1000,3)-_xlfn.QUARTILE.INC(Calycosa!J$2:J$1000,1)),MAX(Calycosa!J$2:J$1000),"") &amp; ") mm"</f>
        <v>() 2.143–4.258 () mm</v>
      </c>
      <c r="I28" s="6" t="str">
        <f>"(" &amp; IF(MIN(Calycosa!K$2:K$1000)&lt;_xlfn.QUARTILE.INC(Calycosa!K$2:K$1000,1)-1.5*(_xlfn.QUARTILE.INC(Calycosa!K$2:K$1000,3)-_xlfn.QUARTILE.INC(Calycosa!K$2:K$1000,1)),MIN(Calycosa!K$2:K$1000),"") &amp; ") " &amp; _xlfn.MINIFS(Calycosa!K$2:K$1000, Calycosa!K$2:K$1000, "&gt;=" &amp; _xlfn.QUARTILE.INC(Calycosa!K$2:K$1000,1)-1.5*(_xlfn.QUARTILE.INC(Calycosa!K$2:K$1000,3)-_xlfn.QUARTILE.INC(Calycosa!K$2:K$1000,1)), Calycosa!K$2:K$1000, "&lt;=" &amp; _xlfn.QUARTILE.INC(Calycosa!K$2:K$1000,3)+1.5*(_xlfn.QUARTILE.INC(Calycosa!K$2:K$1000,3)-_xlfn.QUARTILE.INC(Calycosa!K$2:K$1000,1))) &amp; "–" &amp; _xlfn.MAXIFS(Calycosa!K$2:K$1000, Calycosa!K$2:K$1000, "&gt;=" &amp; _xlfn.QUARTILE.INC(Calycosa!K$2:K$1000,1)-1.5*(_xlfn.QUARTILE.INC(Calycosa!K$2:K$1000,3)-_xlfn.QUARTILE.INC(Calycosa!K$2:K$1000,1)), Calycosa!K$2:K$1000, "&lt;=" &amp; _xlfn.QUARTILE.INC(Calycosa!K$2:K$1000,3)+1.5*(_xlfn.QUARTILE.INC(Calycosa!K$2:K$1000,3)-_xlfn.QUARTILE.INC(Calycosa!K$2:K$1000,1))) &amp; " (" &amp; IF(MAX(Calycosa!K$2:K$1000)&gt;_xlfn.QUARTILE.INC(Calycosa!K$2:K$1000,3)+1.5*(_xlfn.QUARTILE.INC(Calycosa!K$2:K$1000,3)-_xlfn.QUARTILE.INC(Calycosa!K$2:K$1000,1)),MAX(Calycosa!K$2:K$1000),"") &amp; ") mm"</f>
        <v>() 0.494–1.651 () mm</v>
      </c>
      <c r="J28" s="6" t="str">
        <f>"(" &amp; IF(MIN(Calycosa!L$2:L$1000)&lt;_xlfn.QUARTILE.INC(Calycosa!L$2:L$1000,1)-1.5*(_xlfn.QUARTILE.INC(Calycosa!L$2:L$1000,3)-_xlfn.QUARTILE.INC(Calycosa!L$2:L$1000,1)),MIN(Calycosa!L$2:L$1000),"") &amp; ") " &amp; _xlfn.MINIFS(Calycosa!L$2:L$1000, Calycosa!L$2:L$1000, "&gt;=" &amp; _xlfn.QUARTILE.INC(Calycosa!L$2:L$1000,1)-1.5*(_xlfn.QUARTILE.INC(Calycosa!L$2:L$1000,3)-_xlfn.QUARTILE.INC(Calycosa!L$2:L$1000,1)), Calycosa!L$2:L$1000, "&lt;=" &amp; _xlfn.QUARTILE.INC(Calycosa!L$2:L$1000,3)+1.5*(_xlfn.QUARTILE.INC(Calycosa!L$2:L$1000,3)-_xlfn.QUARTILE.INC(Calycosa!L$2:L$1000,1))) &amp; "–" &amp; _xlfn.MAXIFS(Calycosa!L$2:L$1000, Calycosa!L$2:L$1000, "&gt;=" &amp; _xlfn.QUARTILE.INC(Calycosa!L$2:L$1000,1)-1.5*(_xlfn.QUARTILE.INC(Calycosa!L$2:L$1000,3)-_xlfn.QUARTILE.INC(Calycosa!L$2:L$1000,1)), Calycosa!L$2:L$1000, "&lt;=" &amp; _xlfn.QUARTILE.INC(Calycosa!L$2:L$1000,3)+1.5*(_xlfn.QUARTILE.INC(Calycosa!L$2:L$1000,3)-_xlfn.QUARTILE.INC(Calycosa!L$2:L$1000,1))) &amp; " (" &amp; IF(MAX(Calycosa!L$2:L$1000)&gt;_xlfn.QUARTILE.INC(Calycosa!L$2:L$1000,3)+1.5*(_xlfn.QUARTILE.INC(Calycosa!L$2:L$1000,3)-_xlfn.QUARTILE.INC(Calycosa!L$2:L$1000,1)),MAX(Calycosa!L$2:L$1000),"") &amp; ") mm"</f>
        <v>() 0.474–1.612 () mm</v>
      </c>
      <c r="K28" s="6" t="str">
        <f>"(" &amp; IF(MIN(Calycosa!M$2:M$1000)&lt;_xlfn.QUARTILE.INC(Calycosa!M$2:M$1000,1)-1.5*(_xlfn.QUARTILE.INC(Calycosa!M$2:M$1000,3)-_xlfn.QUARTILE.INC(Calycosa!M$2:M$1000,1)),MIN(Calycosa!M$2:M$1000),"") &amp; ") " &amp; _xlfn.MINIFS(Calycosa!M$2:M$1000, Calycosa!M$2:M$1000, "&gt;=" &amp; _xlfn.QUARTILE.INC(Calycosa!M$2:M$1000,1)-1.5*(_xlfn.QUARTILE.INC(Calycosa!M$2:M$1000,3)-_xlfn.QUARTILE.INC(Calycosa!M$2:M$1000,1)), Calycosa!M$2:M$1000, "&lt;=" &amp; _xlfn.QUARTILE.INC(Calycosa!M$2:M$1000,3)+1.5*(_xlfn.QUARTILE.INC(Calycosa!M$2:M$1000,3)-_xlfn.QUARTILE.INC(Calycosa!M$2:M$1000,1))) &amp; "–" &amp; _xlfn.MAXIFS(Calycosa!M$2:M$1000, Calycosa!M$2:M$1000, "&gt;=" &amp; _xlfn.QUARTILE.INC(Calycosa!M$2:M$1000,1)-1.5*(_xlfn.QUARTILE.INC(Calycosa!M$2:M$1000,3)-_xlfn.QUARTILE.INC(Calycosa!M$2:M$1000,1)), Calycosa!M$2:M$1000, "&lt;=" &amp; _xlfn.QUARTILE.INC(Calycosa!M$2:M$1000,3)+1.5*(_xlfn.QUARTILE.INC(Calycosa!M$2:M$1000,3)-_xlfn.QUARTILE.INC(Calycosa!M$2:M$1000,1))) &amp; " (" &amp; IF(MAX(Calycosa!M$2:M$1000)&gt;_xlfn.QUARTILE.INC(Calycosa!M$2:M$1000,3)+1.5*(_xlfn.QUARTILE.INC(Calycosa!M$2:M$1000,3)-_xlfn.QUARTILE.INC(Calycosa!M$2:M$1000,1)),MAX(Calycosa!M$2:M$1000),"") &amp; ") mm"</f>
        <v>() 1.086–3.118 () mm</v>
      </c>
      <c r="L28" s="6" t="str">
        <f>"(" &amp; IF(MIN(Calycosa!N$2:N$1000)&lt;_xlfn.QUARTILE.INC(Calycosa!N$2:N$1000,1)-1.5*(_xlfn.QUARTILE.INC(Calycosa!N$2:N$1000,3)-_xlfn.QUARTILE.INC(Calycosa!N$2:N$1000,1)),MIN(Calycosa!N$2:N$1000),"") &amp; ") " &amp; _xlfn.MINIFS(Calycosa!N$2:N$1000, Calycosa!N$2:N$1000, "&gt;=" &amp; _xlfn.QUARTILE.INC(Calycosa!N$2:N$1000,1)-1.5*(_xlfn.QUARTILE.INC(Calycosa!N$2:N$1000,3)-_xlfn.QUARTILE.INC(Calycosa!N$2:N$1000,1)), Calycosa!N$2:N$1000, "&lt;=" &amp; _xlfn.QUARTILE.INC(Calycosa!N$2:N$1000,3)+1.5*(_xlfn.QUARTILE.INC(Calycosa!N$2:N$1000,3)-_xlfn.QUARTILE.INC(Calycosa!N$2:N$1000,1))) &amp; "–" &amp; _xlfn.MAXIFS(Calycosa!N$2:N$1000, Calycosa!N$2:N$1000, "&gt;=" &amp; _xlfn.QUARTILE.INC(Calycosa!N$2:N$1000,1)-1.5*(_xlfn.QUARTILE.INC(Calycosa!N$2:N$1000,3)-_xlfn.QUARTILE.INC(Calycosa!N$2:N$1000,1)), Calycosa!N$2:N$1000, "&lt;=" &amp; _xlfn.QUARTILE.INC(Calycosa!N$2:N$1000,3)+1.5*(_xlfn.QUARTILE.INC(Calycosa!N$2:N$1000,3)-_xlfn.QUARTILE.INC(Calycosa!N$2:N$1000,1))) &amp; " (" &amp; IF(MAX(Calycosa!N$2:N$1000)&gt;_xlfn.QUARTILE.INC(Calycosa!N$2:N$1000,3)+1.5*(_xlfn.QUARTILE.INC(Calycosa!N$2:N$1000,3)-_xlfn.QUARTILE.INC(Calycosa!N$2:N$1000,1)),MAX(Calycosa!N$2:N$1000),"") &amp; ") mm"</f>
        <v>() 2.088–4.284 () mm</v>
      </c>
      <c r="M28" s="6" t="str">
        <f>"(" &amp; IF(MIN(Calycosa!O$2:O$1000)&lt;_xlfn.QUARTILE.INC(Calycosa!O$2:O$1000,1)-1.5*(_xlfn.QUARTILE.INC(Calycosa!O$2:O$1000,3)-_xlfn.QUARTILE.INC(Calycosa!O$2:O$1000,1)),MIN(Calycosa!O$2:O$1000),"") &amp; ") " &amp; _xlfn.MINIFS(Calycosa!O$2:O$1000, Calycosa!O$2:O$1000, "&gt;=" &amp; _xlfn.QUARTILE.INC(Calycosa!O$2:O$1000,1)-1.5*(_xlfn.QUARTILE.INC(Calycosa!O$2:O$1000,3)-_xlfn.QUARTILE.INC(Calycosa!O$2:O$1000,1)), Calycosa!O$2:O$1000, "&lt;=" &amp; _xlfn.QUARTILE.INC(Calycosa!O$2:O$1000,3)+1.5*(_xlfn.QUARTILE.INC(Calycosa!O$2:O$1000,3)-_xlfn.QUARTILE.INC(Calycosa!O$2:O$1000,1))) &amp; "–" &amp; _xlfn.MAXIFS(Calycosa!O$2:O$1000, Calycosa!O$2:O$1000, "&gt;=" &amp; _xlfn.QUARTILE.INC(Calycosa!O$2:O$1000,1)-1.5*(_xlfn.QUARTILE.INC(Calycosa!O$2:O$1000,3)-_xlfn.QUARTILE.INC(Calycosa!O$2:O$1000,1)), Calycosa!O$2:O$1000, "&lt;=" &amp; _xlfn.QUARTILE.INC(Calycosa!O$2:O$1000,3)+1.5*(_xlfn.QUARTILE.INC(Calycosa!O$2:O$1000,3)-_xlfn.QUARTILE.INC(Calycosa!O$2:O$1000,1))) &amp; " (" &amp; IF(MAX(Calycosa!O$2:O$1000)&gt;_xlfn.QUARTILE.INC(Calycosa!O$2:O$1000,3)+1.5*(_xlfn.QUARTILE.INC(Calycosa!O$2:O$1000,3)-_xlfn.QUARTILE.INC(Calycosa!O$2:O$1000,1)),MAX(Calycosa!O$2:O$1000),"") &amp; ") mm"</f>
        <v>() 2.05–4.275 () mm</v>
      </c>
      <c r="N28" s="6" t="str">
        <f>"(" &amp; IF(MIN(Calycosa!P$2:P$1000)&lt;_xlfn.QUARTILE.INC(Calycosa!P$2:P$1000,1)-1.5*(_xlfn.QUARTILE.INC(Calycosa!P$2:P$1000,3)-_xlfn.QUARTILE.INC(Calycosa!P$2:P$1000,1)),MIN(Calycosa!P$2:P$1000),"") &amp; ") " &amp; _xlfn.MINIFS(Calycosa!P$2:P$1000, Calycosa!P$2:P$1000, "&gt;=" &amp; _xlfn.QUARTILE.INC(Calycosa!P$2:P$1000,1)-1.5*(_xlfn.QUARTILE.INC(Calycosa!P$2:P$1000,3)-_xlfn.QUARTILE.INC(Calycosa!P$2:P$1000,1)), Calycosa!P$2:P$1000, "&lt;=" &amp; _xlfn.QUARTILE.INC(Calycosa!P$2:P$1000,3)+1.5*(_xlfn.QUARTILE.INC(Calycosa!P$2:P$1000,3)-_xlfn.QUARTILE.INC(Calycosa!P$2:P$1000,1))) &amp; "–" &amp; _xlfn.MAXIFS(Calycosa!P$2:P$1000, Calycosa!P$2:P$1000, "&gt;=" &amp; _xlfn.QUARTILE.INC(Calycosa!P$2:P$1000,1)-1.5*(_xlfn.QUARTILE.INC(Calycosa!P$2:P$1000,3)-_xlfn.QUARTILE.INC(Calycosa!P$2:P$1000,1)), Calycosa!P$2:P$1000, "&lt;=" &amp; _xlfn.QUARTILE.INC(Calycosa!P$2:P$1000,3)+1.5*(_xlfn.QUARTILE.INC(Calycosa!P$2:P$1000,3)-_xlfn.QUARTILE.INC(Calycosa!P$2:P$1000,1))) &amp; " (" &amp; IF(MAX(Calycosa!P$2:P$1000)&gt;_xlfn.QUARTILE.INC(Calycosa!P$2:P$1000,3)+1.5*(_xlfn.QUARTILE.INC(Calycosa!P$2:P$1000,3)-_xlfn.QUARTILE.INC(Calycosa!P$2:P$1000,1)),MAX(Calycosa!P$2:P$1000),"") &amp; ") mm"</f>
        <v>() 1.644–6.625 () mm</v>
      </c>
      <c r="O28" s="6" t="str">
        <f>"(" &amp; IF(MIN(Calycosa!Q$2:Q$1000)&lt;_xlfn.QUARTILE.INC(Calycosa!Q$2:Q$1000,1)-1.5*(_xlfn.QUARTILE.INC(Calycosa!Q$2:Q$1000,3)-_xlfn.QUARTILE.INC(Calycosa!Q$2:Q$1000,1)),MIN(Calycosa!Q$2:Q$1000),"") &amp; ") " &amp; _xlfn.MINIFS(Calycosa!Q$2:Q$1000, Calycosa!Q$2:Q$1000, "&gt;=" &amp; _xlfn.QUARTILE.INC(Calycosa!Q$2:Q$1000,1)-1.5*(_xlfn.QUARTILE.INC(Calycosa!Q$2:Q$1000,3)-_xlfn.QUARTILE.INC(Calycosa!Q$2:Q$1000,1)), Calycosa!Q$2:Q$1000, "&lt;=" &amp; _xlfn.QUARTILE.INC(Calycosa!Q$2:Q$1000,3)+1.5*(_xlfn.QUARTILE.INC(Calycosa!Q$2:Q$1000,3)-_xlfn.QUARTILE.INC(Calycosa!Q$2:Q$1000,1))) &amp; "–" &amp; _xlfn.MAXIFS(Calycosa!Q$2:Q$1000, Calycosa!Q$2:Q$1000, "&gt;=" &amp; _xlfn.QUARTILE.INC(Calycosa!Q$2:Q$1000,1)-1.5*(_xlfn.QUARTILE.INC(Calycosa!Q$2:Q$1000,3)-_xlfn.QUARTILE.INC(Calycosa!Q$2:Q$1000,1)), Calycosa!Q$2:Q$1000, "&lt;=" &amp; _xlfn.QUARTILE.INC(Calycosa!Q$2:Q$1000,3)+1.5*(_xlfn.QUARTILE.INC(Calycosa!Q$2:Q$1000,3)-_xlfn.QUARTILE.INC(Calycosa!Q$2:Q$1000,1))) &amp; " (" &amp; IF(MAX(Calycosa!Q$2:Q$1000)&gt;_xlfn.QUARTILE.INC(Calycosa!Q$2:Q$1000,3)+1.5*(_xlfn.QUARTILE.INC(Calycosa!Q$2:Q$1000,3)-_xlfn.QUARTILE.INC(Calycosa!Q$2:Q$1000,1)),MAX(Calycosa!Q$2:Q$1000),"") &amp; ") mm"</f>
        <v>() 10.217–30.727 () mm</v>
      </c>
      <c r="P28" s="6" t="str">
        <f>"(" &amp; IF(MIN(Calycosa!R$2:R$1000)&lt;_xlfn.QUARTILE.INC(Calycosa!R$2:R$1000,1)-1.5*(_xlfn.QUARTILE.INC(Calycosa!R$2:R$1000,3)-_xlfn.QUARTILE.INC(Calycosa!R$2:R$1000,1)),MIN(Calycosa!R$2:R$1000),"") &amp; ") " &amp; _xlfn.MINIFS(Calycosa!R$2:R$1000, Calycosa!R$2:R$1000, "&gt;=" &amp; _xlfn.QUARTILE.INC(Calycosa!R$2:R$1000,1)-1.5*(_xlfn.QUARTILE.INC(Calycosa!R$2:R$1000,3)-_xlfn.QUARTILE.INC(Calycosa!R$2:R$1000,1)), Calycosa!R$2:R$1000, "&lt;=" &amp; _xlfn.QUARTILE.INC(Calycosa!R$2:R$1000,3)+1.5*(_xlfn.QUARTILE.INC(Calycosa!R$2:R$1000,3)-_xlfn.QUARTILE.INC(Calycosa!R$2:R$1000,1))) &amp; "–" &amp; _xlfn.MAXIFS(Calycosa!R$2:R$1000, Calycosa!R$2:R$1000, "&gt;=" &amp; _xlfn.QUARTILE.INC(Calycosa!R$2:R$1000,1)-1.5*(_xlfn.QUARTILE.INC(Calycosa!R$2:R$1000,3)-_xlfn.QUARTILE.INC(Calycosa!R$2:R$1000,1)), Calycosa!R$2:R$1000, "&lt;=" &amp; _xlfn.QUARTILE.INC(Calycosa!R$2:R$1000,3)+1.5*(_xlfn.QUARTILE.INC(Calycosa!R$2:R$1000,3)-_xlfn.QUARTILE.INC(Calycosa!R$2:R$1000,1))) &amp; " (" &amp; IF(MAX(Calycosa!R$2:R$1000)&gt;_xlfn.QUARTILE.INC(Calycosa!R$2:R$1000,3)+1.5*(_xlfn.QUARTILE.INC(Calycosa!R$2:R$1000,3)-_xlfn.QUARTILE.INC(Calycosa!R$2:R$1000,1)),MAX(Calycosa!R$2:R$1000),"") &amp; ") mm"</f>
        <v>() 481.688–961.619 () mm</v>
      </c>
      <c r="Q28" s="6" t="str">
        <f>"(" &amp; IF(MIN(Calycosa!S$2:S$1000)&lt;_xlfn.QUARTILE.INC(Calycosa!S$2:S$1000,1)-1.5*(_xlfn.QUARTILE.INC(Calycosa!S$2:S$1000,3)-_xlfn.QUARTILE.INC(Calycosa!S$2:S$1000,1)),MIN(Calycosa!S$2:S$1000),"") &amp; ") " &amp; _xlfn.MINIFS(Calycosa!S$2:S$1000, Calycosa!S$2:S$1000, "&gt;=" &amp; _xlfn.QUARTILE.INC(Calycosa!S$2:S$1000,1)-1.5*(_xlfn.QUARTILE.INC(Calycosa!S$2:S$1000,3)-_xlfn.QUARTILE.INC(Calycosa!S$2:S$1000,1)), Calycosa!S$2:S$1000, "&lt;=" &amp; _xlfn.QUARTILE.INC(Calycosa!S$2:S$1000,3)+1.5*(_xlfn.QUARTILE.INC(Calycosa!S$2:S$1000,3)-_xlfn.QUARTILE.INC(Calycosa!S$2:S$1000,1))) &amp; "–" &amp; _xlfn.MAXIFS(Calycosa!S$2:S$1000, Calycosa!S$2:S$1000, "&gt;=" &amp; _xlfn.QUARTILE.INC(Calycosa!S$2:S$1000,1)-1.5*(_xlfn.QUARTILE.INC(Calycosa!S$2:S$1000,3)-_xlfn.QUARTILE.INC(Calycosa!S$2:S$1000,1)), Calycosa!S$2:S$1000, "&lt;=" &amp; _xlfn.QUARTILE.INC(Calycosa!S$2:S$1000,3)+1.5*(_xlfn.QUARTILE.INC(Calycosa!S$2:S$1000,3)-_xlfn.QUARTILE.INC(Calycosa!S$2:S$1000,1))) &amp; " (" &amp; IF(MAX(Calycosa!S$2:S$1000)&gt;_xlfn.QUARTILE.INC(Calycosa!S$2:S$1000,3)+1.5*(_xlfn.QUARTILE.INC(Calycosa!S$2:S$1000,3)-_xlfn.QUARTILE.INC(Calycosa!S$2:S$1000,1)),MAX(Calycosa!S$2:S$1000),"") &amp; ") mm"</f>
        <v>() 56.693–137.543 () mm</v>
      </c>
      <c r="R28" s="6" t="str">
        <f>"(" &amp; IF(MIN(Calycosa!T$2:T$1000)&lt;_xlfn.QUARTILE.INC(Calycosa!T$2:T$1000,1)-1.5*(_xlfn.QUARTILE.INC(Calycosa!T$2:T$1000,3)-_xlfn.QUARTILE.INC(Calycosa!T$2:T$1000,1)),MIN(Calycosa!T$2:T$1000),"") &amp; ") " &amp; _xlfn.MINIFS(Calycosa!T$2:T$1000, Calycosa!T$2:T$1000, "&gt;=" &amp; _xlfn.QUARTILE.INC(Calycosa!T$2:T$1000,1)-1.5*(_xlfn.QUARTILE.INC(Calycosa!T$2:T$1000,3)-_xlfn.QUARTILE.INC(Calycosa!T$2:T$1000,1)), Calycosa!T$2:T$1000, "&lt;=" &amp; _xlfn.QUARTILE.INC(Calycosa!T$2:T$1000,3)+1.5*(_xlfn.QUARTILE.INC(Calycosa!T$2:T$1000,3)-_xlfn.QUARTILE.INC(Calycosa!T$2:T$1000,1))) &amp; "–" &amp; _xlfn.MAXIFS(Calycosa!T$2:T$1000, Calycosa!T$2:T$1000, "&gt;=" &amp; _xlfn.QUARTILE.INC(Calycosa!T$2:T$1000,1)-1.5*(_xlfn.QUARTILE.INC(Calycosa!T$2:T$1000,3)-_xlfn.QUARTILE.INC(Calycosa!T$2:T$1000,1)), Calycosa!T$2:T$1000, "&lt;=" &amp; _xlfn.QUARTILE.INC(Calycosa!T$2:T$1000,3)+1.5*(_xlfn.QUARTILE.INC(Calycosa!T$2:T$1000,3)-_xlfn.QUARTILE.INC(Calycosa!T$2:T$1000,1))) &amp; " (" &amp; IF(MAX(Calycosa!T$2:T$1000)&gt;_xlfn.QUARTILE.INC(Calycosa!T$2:T$1000,3)+1.5*(_xlfn.QUARTILE.INC(Calycosa!T$2:T$1000,3)-_xlfn.QUARTILE.INC(Calycosa!T$2:T$1000,1)),MAX(Calycosa!T$2:T$1000),"") &amp; ") mm"</f>
        <v>() 29.45–63.927 () mm</v>
      </c>
      <c r="S28" s="6" t="str">
        <f>"(" &amp; IF(MIN(Calycosa!U$2:U$1000)&lt;_xlfn.QUARTILE.INC(Calycosa!U$2:U$1000,1)-1.5*(_xlfn.QUARTILE.INC(Calycosa!U$2:U$1000,3)-_xlfn.QUARTILE.INC(Calycosa!U$2:U$1000,1)),MIN(Calycosa!U$2:U$1000),"") &amp; ") " &amp; _xlfn.MINIFS(Calycosa!U$2:U$1000, Calycosa!U$2:U$1000, "&gt;=" &amp; _xlfn.QUARTILE.INC(Calycosa!U$2:U$1000,1)-1.5*(_xlfn.QUARTILE.INC(Calycosa!U$2:U$1000,3)-_xlfn.QUARTILE.INC(Calycosa!U$2:U$1000,1)), Calycosa!U$2:U$1000, "&lt;=" &amp; _xlfn.QUARTILE.INC(Calycosa!U$2:U$1000,3)+1.5*(_xlfn.QUARTILE.INC(Calycosa!U$2:U$1000,3)-_xlfn.QUARTILE.INC(Calycosa!U$2:U$1000,1))) &amp; "–" &amp; _xlfn.MAXIFS(Calycosa!U$2:U$1000, Calycosa!U$2:U$1000, "&gt;=" &amp; _xlfn.QUARTILE.INC(Calycosa!U$2:U$1000,1)-1.5*(_xlfn.QUARTILE.INC(Calycosa!U$2:U$1000,3)-_xlfn.QUARTILE.INC(Calycosa!U$2:U$1000,1)), Calycosa!U$2:U$1000, "&lt;=" &amp; _xlfn.QUARTILE.INC(Calycosa!U$2:U$1000,3)+1.5*(_xlfn.QUARTILE.INC(Calycosa!U$2:U$1000,3)-_xlfn.QUARTILE.INC(Calycosa!U$2:U$1000,1))) &amp; " (" &amp; IF(MAX(Calycosa!U$2:U$1000)&gt;_xlfn.QUARTILE.INC(Calycosa!U$2:U$1000,3)+1.5*(_xlfn.QUARTILE.INC(Calycosa!U$2:U$1000,3)-_xlfn.QUARTILE.INC(Calycosa!U$2:U$1000,1)),MAX(Calycosa!U$2:U$1000),"") &amp; ") mm"</f>
        <v>(32.406) 44.714–62.816 (72.577) mm</v>
      </c>
      <c r="T28" s="6" t="str">
        <f>"(" &amp; IF(MIN(Calycosa!V$2:V$1000)&lt;_xlfn.QUARTILE.INC(Calycosa!V$2:V$1000,1)-1.5*(_xlfn.QUARTILE.INC(Calycosa!V$2:V$1000,3)-_xlfn.QUARTILE.INC(Calycosa!V$2:V$1000,1)),MIN(Calycosa!V$2:V$1000),"") &amp; ") " &amp; _xlfn.MINIFS(Calycosa!V$2:V$1000, Calycosa!V$2:V$1000, "&gt;=" &amp; _xlfn.QUARTILE.INC(Calycosa!V$2:V$1000,1)-1.5*(_xlfn.QUARTILE.INC(Calycosa!V$2:V$1000,3)-_xlfn.QUARTILE.INC(Calycosa!V$2:V$1000,1)), Calycosa!V$2:V$1000, "&lt;=" &amp; _xlfn.QUARTILE.INC(Calycosa!V$2:V$1000,3)+1.5*(_xlfn.QUARTILE.INC(Calycosa!V$2:V$1000,3)-_xlfn.QUARTILE.INC(Calycosa!V$2:V$1000,1))) &amp; "–" &amp; _xlfn.MAXIFS(Calycosa!V$2:V$1000, Calycosa!V$2:V$1000, "&gt;=" &amp; _xlfn.QUARTILE.INC(Calycosa!V$2:V$1000,1)-1.5*(_xlfn.QUARTILE.INC(Calycosa!V$2:V$1000,3)-_xlfn.QUARTILE.INC(Calycosa!V$2:V$1000,1)), Calycosa!V$2:V$1000, "&lt;=" &amp; _xlfn.QUARTILE.INC(Calycosa!V$2:V$1000,3)+1.5*(_xlfn.QUARTILE.INC(Calycosa!V$2:V$1000,3)-_xlfn.QUARTILE.INC(Calycosa!V$2:V$1000,1))) &amp; " (" &amp; IF(MAX(Calycosa!V$2:V$1000)&gt;_xlfn.QUARTILE.INC(Calycosa!V$2:V$1000,3)+1.5*(_xlfn.QUARTILE.INC(Calycosa!V$2:V$1000,3)-_xlfn.QUARTILE.INC(Calycosa!V$2:V$1000,1)),MAX(Calycosa!V$2:V$1000),"") &amp; ") mm"</f>
        <v>() 2.635–4.068 (4.858) mm</v>
      </c>
      <c r="U28" s="6" t="str">
        <f>"(" &amp; IF(MIN(Calycosa!W$2:W$1000)&lt;_xlfn.QUARTILE.INC(Calycosa!W$2:W$1000,1)-1.5*(_xlfn.QUARTILE.INC(Calycosa!W$2:W$1000,3)-_xlfn.QUARTILE.INC(Calycosa!W$2:W$1000,1)),MIN(Calycosa!W$2:W$1000),"") &amp; ") " &amp; _xlfn.MINIFS(Calycosa!W$2:W$1000, Calycosa!W$2:W$1000, "&gt;=" &amp; _xlfn.QUARTILE.INC(Calycosa!W$2:W$1000,1)-1.5*(_xlfn.QUARTILE.INC(Calycosa!W$2:W$1000,3)-_xlfn.QUARTILE.INC(Calycosa!W$2:W$1000,1)), Calycosa!W$2:W$1000, "&lt;=" &amp; _xlfn.QUARTILE.INC(Calycosa!W$2:W$1000,3)+1.5*(_xlfn.QUARTILE.INC(Calycosa!W$2:W$1000,3)-_xlfn.QUARTILE.INC(Calycosa!W$2:W$1000,1))) &amp; "–" &amp; _xlfn.MAXIFS(Calycosa!W$2:W$1000, Calycosa!W$2:W$1000, "&gt;=" &amp; _xlfn.QUARTILE.INC(Calycosa!W$2:W$1000,1)-1.5*(_xlfn.QUARTILE.INC(Calycosa!W$2:W$1000,3)-_xlfn.QUARTILE.INC(Calycosa!W$2:W$1000,1)), Calycosa!W$2:W$1000, "&lt;=" &amp; _xlfn.QUARTILE.INC(Calycosa!W$2:W$1000,3)+1.5*(_xlfn.QUARTILE.INC(Calycosa!W$2:W$1000,3)-_xlfn.QUARTILE.INC(Calycosa!W$2:W$1000,1))) &amp; " (" &amp; IF(MAX(Calycosa!W$2:W$1000)&gt;_xlfn.QUARTILE.INC(Calycosa!W$2:W$1000,3)+1.5*(_xlfn.QUARTILE.INC(Calycosa!W$2:W$1000,3)-_xlfn.QUARTILE.INC(Calycosa!W$2:W$1000,1)),MAX(Calycosa!W$2:W$1000),"") &amp; ") mm"</f>
        <v>() 3.905–5.235 (6.58) mm</v>
      </c>
      <c r="V28" s="6" t="str">
        <f>"(" &amp; IF(MIN(Calycosa!X$2:X$1000)&lt;_xlfn.QUARTILE.INC(Calycosa!X$2:X$1000,1)-1.5*(_xlfn.QUARTILE.INC(Calycosa!X$2:X$1000,3)-_xlfn.QUARTILE.INC(Calycosa!X$2:X$1000,1)),MIN(Calycosa!X$2:X$1000),"") &amp; ") " &amp; _xlfn.MINIFS(Calycosa!X$2:X$1000, Calycosa!X$2:X$1000, "&gt;=" &amp; _xlfn.QUARTILE.INC(Calycosa!X$2:X$1000,1)-1.5*(_xlfn.QUARTILE.INC(Calycosa!X$2:X$1000,3)-_xlfn.QUARTILE.INC(Calycosa!X$2:X$1000,1)), Calycosa!X$2:X$1000, "&lt;=" &amp; _xlfn.QUARTILE.INC(Calycosa!X$2:X$1000,3)+1.5*(_xlfn.QUARTILE.INC(Calycosa!X$2:X$1000,3)-_xlfn.QUARTILE.INC(Calycosa!X$2:X$1000,1))) &amp; "–" &amp; _xlfn.MAXIFS(Calycosa!X$2:X$1000, Calycosa!X$2:X$1000, "&gt;=" &amp; _xlfn.QUARTILE.INC(Calycosa!X$2:X$1000,1)-1.5*(_xlfn.QUARTILE.INC(Calycosa!X$2:X$1000,3)-_xlfn.QUARTILE.INC(Calycosa!X$2:X$1000,1)), Calycosa!X$2:X$1000, "&lt;=" &amp; _xlfn.QUARTILE.INC(Calycosa!X$2:X$1000,3)+1.5*(_xlfn.QUARTILE.INC(Calycosa!X$2:X$1000,3)-_xlfn.QUARTILE.INC(Calycosa!X$2:X$1000,1))) &amp; " (" &amp; IF(MAX(Calycosa!X$2:X$1000)&gt;_xlfn.QUARTILE.INC(Calycosa!X$2:X$1000,3)+1.5*(_xlfn.QUARTILE.INC(Calycosa!X$2:X$1000,3)-_xlfn.QUARTILE.INC(Calycosa!X$2:X$1000,1)),MAX(Calycosa!X$2:X$1000),"") &amp; ") mm"</f>
        <v>() 4–7 (8) mm</v>
      </c>
      <c r="W28" s="6" t="str">
        <f>"(" &amp; IF(MIN(Calycosa!Y$2:Y$1000)&lt;_xlfn.QUARTILE.INC(Calycosa!Y$2:Y$1000,1)-1.5*(_xlfn.QUARTILE.INC(Calycosa!Y$2:Y$1000,3)-_xlfn.QUARTILE.INC(Calycosa!Y$2:Y$1000,1)),MIN(Calycosa!Y$2:Y$1000),"") &amp; ") " &amp; _xlfn.MINIFS(Calycosa!Y$2:Y$1000, Calycosa!Y$2:Y$1000, "&gt;=" &amp; _xlfn.QUARTILE.INC(Calycosa!Y$2:Y$1000,1)-1.5*(_xlfn.QUARTILE.INC(Calycosa!Y$2:Y$1000,3)-_xlfn.QUARTILE.INC(Calycosa!Y$2:Y$1000,1)), Calycosa!Y$2:Y$1000, "&lt;=" &amp; _xlfn.QUARTILE.INC(Calycosa!Y$2:Y$1000,3)+1.5*(_xlfn.QUARTILE.INC(Calycosa!Y$2:Y$1000,3)-_xlfn.QUARTILE.INC(Calycosa!Y$2:Y$1000,1))) &amp; "–" &amp; _xlfn.MAXIFS(Calycosa!Y$2:Y$1000, Calycosa!Y$2:Y$1000, "&gt;=" &amp; _xlfn.QUARTILE.INC(Calycosa!Y$2:Y$1000,1)-1.5*(_xlfn.QUARTILE.INC(Calycosa!Y$2:Y$1000,3)-_xlfn.QUARTILE.INC(Calycosa!Y$2:Y$1000,1)), Calycosa!Y$2:Y$1000, "&lt;=" &amp; _xlfn.QUARTILE.INC(Calycosa!Y$2:Y$1000,3)+1.5*(_xlfn.QUARTILE.INC(Calycosa!Y$2:Y$1000,3)-_xlfn.QUARTILE.INC(Calycosa!Y$2:Y$1000,1))) &amp; " (" &amp; IF(MAX(Calycosa!Y$2:Y$1000)&gt;_xlfn.QUARTILE.INC(Calycosa!Y$2:Y$1000,3)+1.5*(_xlfn.QUARTILE.INC(Calycosa!Y$2:Y$1000,3)-_xlfn.QUARTILE.INC(Calycosa!Y$2:Y$1000,1)),MAX(Calycosa!Y$2:Y$1000),"") &amp; ") mm"</f>
        <v>() 21.811–42.375 () mm</v>
      </c>
    </row>
    <row r="29" spans="1:23" s="5" customFormat="1" x14ac:dyDescent="0.2">
      <c r="A29" s="5" t="s">
        <v>99</v>
      </c>
      <c r="B29" s="5" t="s">
        <v>217</v>
      </c>
      <c r="C29" s="5" cm="1">
        <f t="array" ref="C29">_xlfn.QUARTILE.INC(_xlfn._xlws.FILTER(Fumosimontana!E$2:E1000, Fumosimontana!E$2:E1000&lt;&gt;""), 1)</f>
        <v>1.4125000000000001</v>
      </c>
      <c r="D29" s="5" cm="1">
        <f t="array" ref="D29">_xlfn.QUARTILE.INC(_xlfn._xlws.FILTER(Fumosimontana!F$2:F1000, Fumosimontana!F$2:F1000&lt;&gt;""), 1)</f>
        <v>0.57999999999999996</v>
      </c>
      <c r="E29" s="5" cm="1">
        <f t="array" ref="E29">_xlfn.QUARTILE.INC(_xlfn._xlws.FILTER(Fumosimontana!G$2:G1000, Fumosimontana!G$2:G1000&lt;&gt;""), 1)</f>
        <v>0.49</v>
      </c>
      <c r="F29" s="5" cm="1">
        <f t="array" ref="F29">_xlfn.QUARTILE.INC(_xlfn._xlws.FILTER(Fumosimontana!H$2:H1000, Fumosimontana!H$2:H1000&lt;&gt;""), 1)</f>
        <v>1.4</v>
      </c>
      <c r="G29" s="5" cm="1">
        <f t="array" ref="G29">_xlfn.QUARTILE.INC(_xlfn._xlws.FILTER(Fumosimontana!I$2:I1000, Fumosimontana!I$2:I1000&lt;&gt;""), 1)</f>
        <v>3.2050000000000001</v>
      </c>
      <c r="H29" s="5" cm="1">
        <f t="array" ref="H29">_xlfn.QUARTILE.INC(_xlfn._xlws.FILTER(Fumosimontana!J$2:J1000, Fumosimontana!J$2:J1000&lt;&gt;""), 1)</f>
        <v>3.48</v>
      </c>
      <c r="I29" s="5" cm="1">
        <f t="array" ref="I29">_xlfn.QUARTILE.INC(_xlfn._xlws.FILTER(Fumosimontana!K$2:K1000, Fumosimontana!K$2:K1000&lt;&gt;""), 1)</f>
        <v>1.1000000000000001</v>
      </c>
      <c r="J29" s="5" cm="1">
        <f t="array" ref="J29">_xlfn.QUARTILE.INC(_xlfn._xlws.FILTER(Fumosimontana!L$2:L1000, Fumosimontana!L$2:L1000&lt;&gt;""), 1)</f>
        <v>0.77750000000000008</v>
      </c>
      <c r="K29" s="5" cm="1">
        <f t="array" ref="K29">_xlfn.QUARTILE.INC(_xlfn._xlws.FILTER(Fumosimontana!M$2:M1000, Fumosimontana!M$2:M1000&lt;&gt;""), 1)</f>
        <v>2.2749999999999999</v>
      </c>
      <c r="L29" s="5" cm="1">
        <f t="array" ref="L29">_xlfn.QUARTILE.INC(_xlfn._xlws.FILTER(Fumosimontana!N$2:N1000, Fumosimontana!N$2:N1000&lt;&gt;""), 1)</f>
        <v>3.7974999999999999</v>
      </c>
      <c r="M29" s="5" cm="1">
        <f t="array" ref="M29">_xlfn.QUARTILE.INC(_xlfn._xlws.FILTER(Fumosimontana!O$2:O1000, Fumosimontana!O$2:O1000&lt;&gt;""), 1)</f>
        <v>3.7475000000000001</v>
      </c>
      <c r="N29" s="5" cm="1">
        <f t="array" ref="N29">_xlfn.QUARTILE.INC(_xlfn._xlws.FILTER(Fumosimontana!P$2:P1000, Fumosimontana!P$2:P1000&lt;&gt;""), 1)</f>
        <v>1.98</v>
      </c>
      <c r="O29" s="5" cm="1">
        <f t="array" ref="O29">_xlfn.QUARTILE.INC(_xlfn._xlws.FILTER(Fumosimontana!Q$2:Q1000, Fumosimontana!Q$2:Q1000&lt;&gt;""), 1)</f>
        <v>17.362499999999997</v>
      </c>
      <c r="P29" s="5" cm="1">
        <f t="array" ref="P29">_xlfn.QUARTILE.INC(_xlfn._xlws.FILTER(Fumosimontana!R$2:R1000, Fumosimontana!R$2:R1000&lt;&gt;""), 1)</f>
        <v>71.174000000000007</v>
      </c>
    </row>
    <row r="30" spans="1:23" s="5" customFormat="1" x14ac:dyDescent="0.2">
      <c r="A30" s="5" t="s">
        <v>99</v>
      </c>
      <c r="B30" s="5" t="s">
        <v>218</v>
      </c>
      <c r="C30" s="5" cm="1">
        <f t="array" ref="C30">_xlfn.QUARTILE.INC(_xlfn._xlws.FILTER(Fumosimontana!E$2:E1000, Fumosimontana!E$2:E1000&lt;&gt;""), 2)</f>
        <v>1.6099999999999999</v>
      </c>
      <c r="D30" s="5" cm="1">
        <f t="array" ref="D30">_xlfn.QUARTILE.INC(_xlfn._xlws.FILTER(Fumosimontana!F$2:F1000, Fumosimontana!F$2:F1000&lt;&gt;""), 2)</f>
        <v>0.68</v>
      </c>
      <c r="E30" s="5" cm="1">
        <f t="array" ref="E30">_xlfn.QUARTILE.INC(_xlfn._xlws.FILTER(Fumosimontana!G$2:G1000, Fumosimontana!G$2:G1000&lt;&gt;""), 2)</f>
        <v>0.61</v>
      </c>
      <c r="F30" s="5" cm="1">
        <f t="array" ref="F30">_xlfn.QUARTILE.INC(_xlfn._xlws.FILTER(Fumosimontana!H$2:H1000, Fumosimontana!H$2:H1000&lt;&gt;""), 2)</f>
        <v>1.5899999999999999</v>
      </c>
      <c r="G30" s="5" cm="1">
        <f t="array" ref="G30">_xlfn.QUARTILE.INC(_xlfn._xlws.FILTER(Fumosimontana!I$2:I1000, Fumosimontana!I$2:I1000&lt;&gt;""), 2)</f>
        <v>4.84</v>
      </c>
      <c r="H30" s="5" cm="1">
        <f t="array" ref="H30">_xlfn.QUARTILE.INC(_xlfn._xlws.FILTER(Fumosimontana!J$2:J1000, Fumosimontana!J$2:J1000&lt;&gt;""), 2)</f>
        <v>3.7850000000000001</v>
      </c>
      <c r="I30" s="5" cm="1">
        <f t="array" ref="I30">_xlfn.QUARTILE.INC(_xlfn._xlws.FILTER(Fumosimontana!K$2:K1000, Fumosimontana!K$2:K1000&lt;&gt;""), 2)</f>
        <v>1.2549999999999999</v>
      </c>
      <c r="J30" s="5" cm="1">
        <f t="array" ref="J30">_xlfn.QUARTILE.INC(_xlfn._xlws.FILTER(Fumosimontana!L$2:L1000, Fumosimontana!L$2:L1000&lt;&gt;""), 2)</f>
        <v>0.89500000000000002</v>
      </c>
      <c r="K30" s="5" cm="1">
        <f t="array" ref="K30">_xlfn.QUARTILE.INC(_xlfn._xlws.FILTER(Fumosimontana!M$2:M1000, Fumosimontana!M$2:M1000&lt;&gt;""), 2)</f>
        <v>2.625</v>
      </c>
      <c r="L30" s="5" cm="1">
        <f t="array" ref="L30">_xlfn.QUARTILE.INC(_xlfn._xlws.FILTER(Fumosimontana!N$2:N1000, Fumosimontana!N$2:N1000&lt;&gt;""), 2)</f>
        <v>4.05</v>
      </c>
      <c r="M30" s="5" cm="1">
        <f t="array" ref="M30">_xlfn.QUARTILE.INC(_xlfn._xlws.FILTER(Fumosimontana!O$2:O1000, Fumosimontana!O$2:O1000&lt;&gt;""), 2)</f>
        <v>4.4350000000000005</v>
      </c>
      <c r="N30" s="5" cm="1">
        <f t="array" ref="N30">_xlfn.QUARTILE.INC(_xlfn._xlws.FILTER(Fumosimontana!P$2:P1000, Fumosimontana!P$2:P1000&lt;&gt;""), 2)</f>
        <v>2.4950000000000001</v>
      </c>
      <c r="O30" s="5" cm="1">
        <f t="array" ref="O30">_xlfn.QUARTILE.INC(_xlfn._xlws.FILTER(Fumosimontana!Q$2:Q1000, Fumosimontana!Q$2:Q1000&lt;&gt;""), 2)</f>
        <v>20.344999999999999</v>
      </c>
      <c r="P30" s="5" cm="1">
        <f t="array" ref="P30">_xlfn.QUARTILE.INC(_xlfn._xlws.FILTER(Fumosimontana!R$2:R1000, Fumosimontana!R$2:R1000&lt;&gt;""), 2)</f>
        <v>75.647999999999996</v>
      </c>
    </row>
    <row r="31" spans="1:23" s="5" customFormat="1" x14ac:dyDescent="0.2">
      <c r="A31" s="5" t="s">
        <v>99</v>
      </c>
      <c r="B31" s="5" t="s">
        <v>219</v>
      </c>
      <c r="C31" s="5" cm="1">
        <f t="array" ref="C31">_xlfn.QUARTILE.INC(_xlfn._xlws.FILTER(Fumosimontana!E$2:E1000, Fumosimontana!E$2:E1000&lt;&gt;""), 3)</f>
        <v>2.2350000000000003</v>
      </c>
      <c r="D31" s="5" cm="1">
        <f t="array" ref="D31">_xlfn.QUARTILE.INC(_xlfn._xlws.FILTER(Fumosimontana!F$2:F1000, Fumosimontana!F$2:F1000&lt;&gt;""), 3)</f>
        <v>0.83000000000000007</v>
      </c>
      <c r="E31" s="5" cm="1">
        <f t="array" ref="E31">_xlfn.QUARTILE.INC(_xlfn._xlws.FILTER(Fumosimontana!G$2:G1000, Fumosimontana!G$2:G1000&lt;&gt;""), 3)</f>
        <v>0.84</v>
      </c>
      <c r="F31" s="5" cm="1">
        <f t="array" ref="F31">_xlfn.QUARTILE.INC(_xlfn._xlws.FILTER(Fumosimontana!H$2:H1000, Fumosimontana!H$2:H1000&lt;&gt;""), 3)</f>
        <v>2.88</v>
      </c>
      <c r="G31" s="5" cm="1">
        <f t="array" ref="G31">_xlfn.QUARTILE.INC(_xlfn._xlws.FILTER(Fumosimontana!I$2:I1000, Fumosimontana!I$2:I1000&lt;&gt;""), 3)</f>
        <v>6.39</v>
      </c>
      <c r="H31" s="5" cm="1">
        <f t="array" ref="H31">_xlfn.QUARTILE.INC(_xlfn._xlws.FILTER(Fumosimontana!J$2:J1000, Fumosimontana!J$2:J1000&lt;&gt;""), 3)</f>
        <v>3.8374999999999999</v>
      </c>
      <c r="I31" s="5" cm="1">
        <f t="array" ref="I31">_xlfn.QUARTILE.INC(_xlfn._xlws.FILTER(Fumosimontana!K$2:K1000, Fumosimontana!K$2:K1000&lt;&gt;""), 3)</f>
        <v>1.4424999999999999</v>
      </c>
      <c r="J31" s="5" cm="1">
        <f t="array" ref="J31">_xlfn.QUARTILE.INC(_xlfn._xlws.FILTER(Fumosimontana!L$2:L1000, Fumosimontana!L$2:L1000&lt;&gt;""), 3)</f>
        <v>1.0674999999999999</v>
      </c>
      <c r="K31" s="5" cm="1">
        <f t="array" ref="K31">_xlfn.QUARTILE.INC(_xlfn._xlws.FILTER(Fumosimontana!M$2:M1000, Fumosimontana!M$2:M1000&lt;&gt;""), 3)</f>
        <v>2.7175000000000002</v>
      </c>
      <c r="L31" s="5" cm="1">
        <f t="array" ref="L31">_xlfn.QUARTILE.INC(_xlfn._xlws.FILTER(Fumosimontana!N$2:N1000, Fumosimontana!N$2:N1000&lt;&gt;""), 3)</f>
        <v>4.25</v>
      </c>
      <c r="M31" s="5" cm="1">
        <f t="array" ref="M31">_xlfn.QUARTILE.INC(_xlfn._xlws.FILTER(Fumosimontana!O$2:O1000, Fumosimontana!O$2:O1000&lt;&gt;""), 3)</f>
        <v>4.8174999999999999</v>
      </c>
      <c r="N31" s="5" cm="1">
        <f t="array" ref="N31">_xlfn.QUARTILE.INC(_xlfn._xlws.FILTER(Fumosimontana!P$2:P1000, Fumosimontana!P$2:P1000&lt;&gt;""), 3)</f>
        <v>3.8450000000000002</v>
      </c>
      <c r="O31" s="5" cm="1">
        <f t="array" ref="O31">_xlfn.QUARTILE.INC(_xlfn._xlws.FILTER(Fumosimontana!Q$2:Q1000, Fumosimontana!Q$2:Q1000&lt;&gt;""), 3)</f>
        <v>25.614999999999998</v>
      </c>
      <c r="P31" s="5" cm="1">
        <f t="array" ref="P31">_xlfn.QUARTILE.INC(_xlfn._xlws.FILTER(Fumosimontana!R$2:R1000, Fumosimontana!R$2:R1000&lt;&gt;""), 3)</f>
        <v>80.122</v>
      </c>
    </row>
    <row r="32" spans="1:23" s="5" customFormat="1" x14ac:dyDescent="0.2">
      <c r="A32" s="5" t="s">
        <v>99</v>
      </c>
      <c r="B32" s="5" t="s">
        <v>220</v>
      </c>
      <c r="C32" s="5" cm="1">
        <f t="array" ref="C32">_xlfn.QUARTILE.INC(_xlfn._xlws.FILTER(Fumosimontana!E$2:E1000, Fumosimontana!E$2:E1000&lt;&gt;""), 3) - _xlfn.QUARTILE.INC(_xlfn._xlws.FILTER(Fumosimontana!E$2:E1000, Fumosimontana!E$2:E1000&lt;&gt;""), 1)</f>
        <v>0.82250000000000023</v>
      </c>
      <c r="D32" s="5" cm="1">
        <f t="array" ref="D32">_xlfn.QUARTILE.INC(_xlfn._xlws.FILTER(Fumosimontana!F$2:F1000, Fumosimontana!F$2:F1000&lt;&gt;""), 3) - _xlfn.QUARTILE.INC(_xlfn._xlws.FILTER(Fumosimontana!F$2:F1000, Fumosimontana!F$2:F1000&lt;&gt;""), 1)</f>
        <v>0.25000000000000011</v>
      </c>
      <c r="E32" s="5" cm="1">
        <f t="array" ref="E32">_xlfn.QUARTILE.INC(_xlfn._xlws.FILTER(Fumosimontana!G$2:G1000, Fumosimontana!G$2:G1000&lt;&gt;""), 3) - _xlfn.QUARTILE.INC(_xlfn._xlws.FILTER(Fumosimontana!G$2:G1000, Fumosimontana!G$2:G1000&lt;&gt;""), 1)</f>
        <v>0.35</v>
      </c>
      <c r="F32" s="5" cm="1">
        <f t="array" ref="F32">_xlfn.QUARTILE.INC(_xlfn._xlws.FILTER(Fumosimontana!H$2:H1000, Fumosimontana!H$2:H1000&lt;&gt;""), 3) - _xlfn.QUARTILE.INC(_xlfn._xlws.FILTER(Fumosimontana!H$2:H1000, Fumosimontana!H$2:H1000&lt;&gt;""), 1)</f>
        <v>1.48</v>
      </c>
      <c r="G32" s="5" cm="1">
        <f t="array" ref="G32">_xlfn.QUARTILE.INC(_xlfn._xlws.FILTER(Fumosimontana!I$2:I1000, Fumosimontana!I$2:I1000&lt;&gt;""), 3) - _xlfn.QUARTILE.INC(_xlfn._xlws.FILTER(Fumosimontana!I$2:I1000, Fumosimontana!I$2:I1000&lt;&gt;""), 1)</f>
        <v>3.1849999999999996</v>
      </c>
      <c r="H32" s="5" cm="1">
        <f t="array" ref="H32">_xlfn.QUARTILE.INC(_xlfn._xlws.FILTER(Fumosimontana!J$2:J1000, Fumosimontana!J$2:J1000&lt;&gt;""), 3) - _xlfn.QUARTILE.INC(_xlfn._xlws.FILTER(Fumosimontana!J$2:J1000, Fumosimontana!J$2:J1000&lt;&gt;""), 1)</f>
        <v>0.35749999999999993</v>
      </c>
      <c r="I32" s="5" cm="1">
        <f t="array" ref="I32">_xlfn.QUARTILE.INC(_xlfn._xlws.FILTER(Fumosimontana!K$2:K1000, Fumosimontana!K$2:K1000&lt;&gt;""), 3) - _xlfn.QUARTILE.INC(_xlfn._xlws.FILTER(Fumosimontana!K$2:K1000, Fumosimontana!K$2:K1000&lt;&gt;""), 1)</f>
        <v>0.3424999999999998</v>
      </c>
      <c r="J32" s="5" cm="1">
        <f t="array" ref="J32">_xlfn.QUARTILE.INC(_xlfn._xlws.FILTER(Fumosimontana!L$2:L1000, Fumosimontana!L$2:L1000&lt;&gt;""), 3) - _xlfn.QUARTILE.INC(_xlfn._xlws.FILTER(Fumosimontana!L$2:L1000, Fumosimontana!L$2:L1000&lt;&gt;""), 1)</f>
        <v>0.28999999999999981</v>
      </c>
      <c r="K32" s="5" cm="1">
        <f t="array" ref="K32">_xlfn.QUARTILE.INC(_xlfn._xlws.FILTER(Fumosimontana!M$2:M1000, Fumosimontana!M$2:M1000&lt;&gt;""), 3) - _xlfn.QUARTILE.INC(_xlfn._xlws.FILTER(Fumosimontana!M$2:M1000, Fumosimontana!M$2:M1000&lt;&gt;""), 1)</f>
        <v>0.44250000000000034</v>
      </c>
      <c r="L32" s="5" cm="1">
        <f t="array" ref="L32">_xlfn.QUARTILE.INC(_xlfn._xlws.FILTER(Fumosimontana!N$2:N1000, Fumosimontana!N$2:N1000&lt;&gt;""), 3) - _xlfn.QUARTILE.INC(_xlfn._xlws.FILTER(Fumosimontana!N$2:N1000, Fumosimontana!N$2:N1000&lt;&gt;""), 1)</f>
        <v>0.45250000000000012</v>
      </c>
      <c r="M32" s="5" cm="1">
        <f t="array" ref="M32">_xlfn.QUARTILE.INC(_xlfn._xlws.FILTER(Fumosimontana!O$2:O1000, Fumosimontana!O$2:O1000&lt;&gt;""), 3) - _xlfn.QUARTILE.INC(_xlfn._xlws.FILTER(Fumosimontana!O$2:O1000, Fumosimontana!O$2:O1000&lt;&gt;""), 1)</f>
        <v>1.0699999999999998</v>
      </c>
      <c r="N32" s="5" cm="1">
        <f t="array" ref="N32">_xlfn.QUARTILE.INC(_xlfn._xlws.FILTER(Fumosimontana!P$2:P1000, Fumosimontana!P$2:P1000&lt;&gt;""), 3) - _xlfn.QUARTILE.INC(_xlfn._xlws.FILTER(Fumosimontana!P$2:P1000, Fumosimontana!P$2:P1000&lt;&gt;""), 1)</f>
        <v>1.8650000000000002</v>
      </c>
      <c r="O32" s="5" cm="1">
        <f t="array" ref="O32">_xlfn.QUARTILE.INC(_xlfn._xlws.FILTER(Fumosimontana!Q$2:Q1000, Fumosimontana!Q$2:Q1000&lt;&gt;""), 3) - _xlfn.QUARTILE.INC(_xlfn._xlws.FILTER(Fumosimontana!Q$2:Q1000, Fumosimontana!Q$2:Q1000&lt;&gt;""), 1)</f>
        <v>8.2525000000000013</v>
      </c>
      <c r="P32" s="5" cm="1">
        <f t="array" ref="P32">_xlfn.QUARTILE.INC(_xlfn._xlws.FILTER(Fumosimontana!R$2:R1000, Fumosimontana!R$2:R1000&lt;&gt;""), 3) - _xlfn.QUARTILE.INC(_xlfn._xlws.FILTER(Fumosimontana!R$2:R1000, Fumosimontana!R$2:R1000&lt;&gt;""), 1)</f>
        <v>8.9479999999999933</v>
      </c>
    </row>
    <row r="33" spans="1:25" s="5" customFormat="1" x14ac:dyDescent="0.2">
      <c r="A33" s="5" t="s">
        <v>99</v>
      </c>
      <c r="B33" s="5" t="s">
        <v>221</v>
      </c>
      <c r="C33" s="5" cm="1">
        <f t="array" ref="C33">_xlfn.QUARTILE.INC(_xlfn._xlws.FILTER(Fumosimontana!E$2:E1000, Fumosimontana!E$2:E1000&lt;&gt;""), 1) - 1.5*(_xlfn.QUARTILE.INC(_xlfn._xlws.FILTER(Fumosimontana!E$2:E1000, Fumosimontana!E$2:E1000&lt;&gt;""), 3) - _xlfn.QUARTILE.INC(_xlfn._xlws.FILTER(Fumosimontana!E$2:E1000, Fumosimontana!E$2:E1000&lt;&gt;""), 1))</f>
        <v>0.17874999999999974</v>
      </c>
      <c r="D33" s="5" cm="1">
        <f t="array" ref="D33">_xlfn.QUARTILE.INC(_xlfn._xlws.FILTER(Fumosimontana!F$2:F1000, Fumosimontana!F$2:F1000&lt;&gt;""), 1) - 1.5*(_xlfn.QUARTILE.INC(_xlfn._xlws.FILTER(Fumosimontana!F$2:F1000, Fumosimontana!F$2:F1000&lt;&gt;""), 3) - _xlfn.QUARTILE.INC(_xlfn._xlws.FILTER(Fumosimontana!F$2:F1000, Fumosimontana!F$2:F1000&lt;&gt;""), 1))</f>
        <v>0.20499999999999979</v>
      </c>
      <c r="E33" s="5" cm="1">
        <f t="array" ref="E33">_xlfn.QUARTILE.INC(_xlfn._xlws.FILTER(Fumosimontana!G$2:G1000, Fumosimontana!G$2:G1000&lt;&gt;""), 1) - 1.5*(_xlfn.QUARTILE.INC(_xlfn._xlws.FILTER(Fumosimontana!G$2:G1000, Fumosimontana!G$2:G1000&lt;&gt;""), 3) - _xlfn.QUARTILE.INC(_xlfn._xlws.FILTER(Fumosimontana!G$2:G1000, Fumosimontana!G$2:G1000&lt;&gt;""), 1))</f>
        <v>-3.499999999999992E-2</v>
      </c>
      <c r="F33" s="5" cm="1">
        <f t="array" ref="F33">_xlfn.QUARTILE.INC(_xlfn._xlws.FILTER(Fumosimontana!H$2:H1000, Fumosimontana!H$2:H1000&lt;&gt;""), 1) - 1.5*(_xlfn.QUARTILE.INC(_xlfn._xlws.FILTER(Fumosimontana!H$2:H1000, Fumosimontana!H$2:H1000&lt;&gt;""), 3) - _xlfn.QUARTILE.INC(_xlfn._xlws.FILTER(Fumosimontana!H$2:H1000, Fumosimontana!H$2:H1000&lt;&gt;""), 1))</f>
        <v>-0.81999999999999984</v>
      </c>
      <c r="G33" s="5" cm="1">
        <f t="array" ref="G33">_xlfn.QUARTILE.INC(_xlfn._xlws.FILTER(Fumosimontana!I$2:I1000, Fumosimontana!I$2:I1000&lt;&gt;""), 1) - 1.5*(_xlfn.QUARTILE.INC(_xlfn._xlws.FILTER(Fumosimontana!I$2:I1000, Fumosimontana!I$2:I1000&lt;&gt;""), 3) - _xlfn.QUARTILE.INC(_xlfn._xlws.FILTER(Fumosimontana!I$2:I1000, Fumosimontana!I$2:I1000&lt;&gt;""), 1))</f>
        <v>-1.5724999999999998</v>
      </c>
      <c r="H33" s="5" cm="1">
        <f t="array" ref="H33">_xlfn.QUARTILE.INC(_xlfn._xlws.FILTER(Fumosimontana!J$2:J1000, Fumosimontana!J$2:J1000&lt;&gt;""), 1) - 1.5*(_xlfn.QUARTILE.INC(_xlfn._xlws.FILTER(Fumosimontana!J$2:J1000, Fumosimontana!J$2:J1000&lt;&gt;""), 3) - _xlfn.QUARTILE.INC(_xlfn._xlws.FILTER(Fumosimontana!J$2:J1000, Fumosimontana!J$2:J1000&lt;&gt;""), 1))</f>
        <v>2.9437500000000001</v>
      </c>
      <c r="I33" s="5" cm="1">
        <f t="array" ref="I33">_xlfn.QUARTILE.INC(_xlfn._xlws.FILTER(Fumosimontana!K$2:K1000, Fumosimontana!K$2:K1000&lt;&gt;""), 1) - 1.5*(_xlfn.QUARTILE.INC(_xlfn._xlws.FILTER(Fumosimontana!K$2:K1000, Fumosimontana!K$2:K1000&lt;&gt;""), 3) - _xlfn.QUARTILE.INC(_xlfn._xlws.FILTER(Fumosimontana!K$2:K1000, Fumosimontana!K$2:K1000&lt;&gt;""), 1))</f>
        <v>0.58625000000000038</v>
      </c>
      <c r="J33" s="5" cm="1">
        <f t="array" ref="J33">_xlfn.QUARTILE.INC(_xlfn._xlws.FILTER(Fumosimontana!L$2:L1000, Fumosimontana!L$2:L1000&lt;&gt;""), 1) - 1.5*(_xlfn.QUARTILE.INC(_xlfn._xlws.FILTER(Fumosimontana!L$2:L1000, Fumosimontana!L$2:L1000&lt;&gt;""), 3) - _xlfn.QUARTILE.INC(_xlfn._xlws.FILTER(Fumosimontana!L$2:L1000, Fumosimontana!L$2:L1000&lt;&gt;""), 1))</f>
        <v>0.34250000000000036</v>
      </c>
      <c r="K33" s="5" cm="1">
        <f t="array" ref="K33">_xlfn.QUARTILE.INC(_xlfn._xlws.FILTER(Fumosimontana!M$2:M1000, Fumosimontana!M$2:M1000&lt;&gt;""), 1) - 1.5*(_xlfn.QUARTILE.INC(_xlfn._xlws.FILTER(Fumosimontana!M$2:M1000, Fumosimontana!M$2:M1000&lt;&gt;""), 3) - _xlfn.QUARTILE.INC(_xlfn._xlws.FILTER(Fumosimontana!M$2:M1000, Fumosimontana!M$2:M1000&lt;&gt;""), 1))</f>
        <v>1.6112499999999994</v>
      </c>
      <c r="L33" s="5" cm="1">
        <f t="array" ref="L33">_xlfn.QUARTILE.INC(_xlfn._xlws.FILTER(Fumosimontana!N$2:N1000, Fumosimontana!N$2:N1000&lt;&gt;""), 1) - 1.5*(_xlfn.QUARTILE.INC(_xlfn._xlws.FILTER(Fumosimontana!N$2:N1000, Fumosimontana!N$2:N1000&lt;&gt;""), 3) - _xlfn.QUARTILE.INC(_xlfn._xlws.FILTER(Fumosimontana!N$2:N1000, Fumosimontana!N$2:N1000&lt;&gt;""), 1))</f>
        <v>3.1187499999999995</v>
      </c>
      <c r="M33" s="5" cm="1">
        <f t="array" ref="M33">_xlfn.QUARTILE.INC(_xlfn._xlws.FILTER(Fumosimontana!O$2:O1000, Fumosimontana!O$2:O1000&lt;&gt;""), 1) - 1.5*(_xlfn.QUARTILE.INC(_xlfn._xlws.FILTER(Fumosimontana!O$2:O1000, Fumosimontana!O$2:O1000&lt;&gt;""), 3) - _xlfn.QUARTILE.INC(_xlfn._xlws.FILTER(Fumosimontana!O$2:O1000, Fumosimontana!O$2:O1000&lt;&gt;""), 1))</f>
        <v>2.1425000000000001</v>
      </c>
      <c r="N33" s="5" cm="1">
        <f t="array" ref="N33">_xlfn.QUARTILE.INC(_xlfn._xlws.FILTER(Fumosimontana!P$2:P1000, Fumosimontana!P$2:P1000&lt;&gt;""), 1) - 1.5*(_xlfn.QUARTILE.INC(_xlfn._xlws.FILTER(Fumosimontana!P$2:P1000, Fumosimontana!P$2:P1000&lt;&gt;""), 3) - _xlfn.QUARTILE.INC(_xlfn._xlws.FILTER(Fumosimontana!P$2:P1000, Fumosimontana!P$2:P1000&lt;&gt;""), 1))</f>
        <v>-0.81750000000000034</v>
      </c>
      <c r="O33" s="5" cm="1">
        <f t="array" ref="O33">_xlfn.QUARTILE.INC(_xlfn._xlws.FILTER(Fumosimontana!Q$2:Q1000, Fumosimontana!Q$2:Q1000&lt;&gt;""), 1) - 1.5*(_xlfn.QUARTILE.INC(_xlfn._xlws.FILTER(Fumosimontana!Q$2:Q1000, Fumosimontana!Q$2:Q1000&lt;&gt;""), 3) - _xlfn.QUARTILE.INC(_xlfn._xlws.FILTER(Fumosimontana!Q$2:Q1000, Fumosimontana!Q$2:Q1000&lt;&gt;""), 1))</f>
        <v>4.9837499999999952</v>
      </c>
      <c r="P33" s="5" cm="1">
        <f t="array" ref="P33">_xlfn.QUARTILE.INC(_xlfn._xlws.FILTER(Fumosimontana!R$2:R1000, Fumosimontana!R$2:R1000&lt;&gt;""), 1) - 1.5*(_xlfn.QUARTILE.INC(_xlfn._xlws.FILTER(Fumosimontana!R$2:R1000, Fumosimontana!R$2:R1000&lt;&gt;""), 3) - _xlfn.QUARTILE.INC(_xlfn._xlws.FILTER(Fumosimontana!R$2:R1000, Fumosimontana!R$2:R1000&lt;&gt;""), 1))</f>
        <v>57.752000000000017</v>
      </c>
    </row>
    <row r="34" spans="1:25" s="5" customFormat="1" x14ac:dyDescent="0.2">
      <c r="A34" s="5" t="s">
        <v>99</v>
      </c>
      <c r="B34" s="5" t="s">
        <v>222</v>
      </c>
      <c r="C34" s="5" cm="1">
        <f t="array" ref="C34">_xlfn.QUARTILE.INC(_xlfn._xlws.FILTER(Fumosimontana!E$2:E1000, Fumosimontana!E$2:E1000&lt;&gt;""), 3) + 1.5*(_xlfn.QUARTILE.INC(_xlfn._xlws.FILTER(Fumosimontana!E$2:E1000, Fumosimontana!E$2:E1000&lt;&gt;""), 3) - _xlfn.QUARTILE.INC(_xlfn._xlws.FILTER(Fumosimontana!E$2:E1000, Fumosimontana!E$2:E1000&lt;&gt;""), 1))</f>
        <v>3.4687500000000009</v>
      </c>
      <c r="D34" s="5" cm="1">
        <f t="array" ref="D34">_xlfn.QUARTILE.INC(_xlfn._xlws.FILTER(Fumosimontana!F$2:F1000, Fumosimontana!F$2:F1000&lt;&gt;""), 3) + 1.5*(_xlfn.QUARTILE.INC(_xlfn._xlws.FILTER(Fumosimontana!F$2:F1000, Fumosimontana!F$2:F1000&lt;&gt;""), 3) - _xlfn.QUARTILE.INC(_xlfn._xlws.FILTER(Fumosimontana!F$2:F1000, Fumosimontana!F$2:F1000&lt;&gt;""), 1))</f>
        <v>1.2050000000000003</v>
      </c>
      <c r="E34" s="5" cm="1">
        <f t="array" ref="E34">_xlfn.QUARTILE.INC(_xlfn._xlws.FILTER(Fumosimontana!G$2:G1000, Fumosimontana!G$2:G1000&lt;&gt;""), 3) + 1.5*(_xlfn.QUARTILE.INC(_xlfn._xlws.FILTER(Fumosimontana!G$2:G1000, Fumosimontana!G$2:G1000&lt;&gt;""), 3) - _xlfn.QUARTILE.INC(_xlfn._xlws.FILTER(Fumosimontana!G$2:G1000, Fumosimontana!G$2:G1000&lt;&gt;""), 1))</f>
        <v>1.3649999999999998</v>
      </c>
      <c r="F34" s="5" cm="1">
        <f t="array" ref="F34">_xlfn.QUARTILE.INC(_xlfn._xlws.FILTER(Fumosimontana!H$2:H1000, Fumosimontana!H$2:H1000&lt;&gt;""), 3) + 1.5*(_xlfn.QUARTILE.INC(_xlfn._xlws.FILTER(Fumosimontana!H$2:H1000, Fumosimontana!H$2:H1000&lt;&gt;""), 3) - _xlfn.QUARTILE.INC(_xlfn._xlws.FILTER(Fumosimontana!H$2:H1000, Fumosimontana!H$2:H1000&lt;&gt;""), 1))</f>
        <v>5.0999999999999996</v>
      </c>
      <c r="G34" s="5" cm="1">
        <f t="array" ref="G34">_xlfn.QUARTILE.INC(_xlfn._xlws.FILTER(Fumosimontana!I$2:I1000, Fumosimontana!I$2:I1000&lt;&gt;""), 3) + 1.5*(_xlfn.QUARTILE.INC(_xlfn._xlws.FILTER(Fumosimontana!I$2:I1000, Fumosimontana!I$2:I1000&lt;&gt;""), 3) - _xlfn.QUARTILE.INC(_xlfn._xlws.FILTER(Fumosimontana!I$2:I1000, Fumosimontana!I$2:I1000&lt;&gt;""), 1))</f>
        <v>11.1675</v>
      </c>
      <c r="H34" s="5" cm="1">
        <f t="array" ref="H34">_xlfn.QUARTILE.INC(_xlfn._xlws.FILTER(Fumosimontana!J$2:J1000, Fumosimontana!J$2:J1000&lt;&gt;""), 3) + 1.5*(_xlfn.QUARTILE.INC(_xlfn._xlws.FILTER(Fumosimontana!J$2:J1000, Fumosimontana!J$2:J1000&lt;&gt;""), 3) - _xlfn.QUARTILE.INC(_xlfn._xlws.FILTER(Fumosimontana!J$2:J1000, Fumosimontana!J$2:J1000&lt;&gt;""), 1))</f>
        <v>4.3737499999999994</v>
      </c>
      <c r="I34" s="5" cm="1">
        <f t="array" ref="I34">_xlfn.QUARTILE.INC(_xlfn._xlws.FILTER(Fumosimontana!K$2:K1000, Fumosimontana!K$2:K1000&lt;&gt;""), 3) + 1.5*(_xlfn.QUARTILE.INC(_xlfn._xlws.FILTER(Fumosimontana!K$2:K1000, Fumosimontana!K$2:K1000&lt;&gt;""), 3) - _xlfn.QUARTILE.INC(_xlfn._xlws.FILTER(Fumosimontana!K$2:K1000, Fumosimontana!K$2:K1000&lt;&gt;""), 1))</f>
        <v>1.9562499999999996</v>
      </c>
      <c r="J34" s="5" cm="1">
        <f t="array" ref="J34">_xlfn.QUARTILE.INC(_xlfn._xlws.FILTER(Fumosimontana!L$2:L1000, Fumosimontana!L$2:L1000&lt;&gt;""), 3) + 1.5*(_xlfn.QUARTILE.INC(_xlfn._xlws.FILTER(Fumosimontana!L$2:L1000, Fumosimontana!L$2:L1000&lt;&gt;""), 3) - _xlfn.QUARTILE.INC(_xlfn._xlws.FILTER(Fumosimontana!L$2:L1000, Fumosimontana!L$2:L1000&lt;&gt;""), 1))</f>
        <v>1.5024999999999995</v>
      </c>
      <c r="K34" s="5" cm="1">
        <f t="array" ref="K34">_xlfn.QUARTILE.INC(_xlfn._xlws.FILTER(Fumosimontana!M$2:M1000, Fumosimontana!M$2:M1000&lt;&gt;""), 3) + 1.5*(_xlfn.QUARTILE.INC(_xlfn._xlws.FILTER(Fumosimontana!M$2:M1000, Fumosimontana!M$2:M1000&lt;&gt;""), 3) - _xlfn.QUARTILE.INC(_xlfn._xlws.FILTER(Fumosimontana!M$2:M1000, Fumosimontana!M$2:M1000&lt;&gt;""), 1))</f>
        <v>3.3812500000000005</v>
      </c>
      <c r="L34" s="5" cm="1">
        <f t="array" ref="L34">_xlfn.QUARTILE.INC(_xlfn._xlws.FILTER(Fumosimontana!N$2:N1000, Fumosimontana!N$2:N1000&lt;&gt;""), 3) + 1.5*(_xlfn.QUARTILE.INC(_xlfn._xlws.FILTER(Fumosimontana!N$2:N1000, Fumosimontana!N$2:N1000&lt;&gt;""), 3) - _xlfn.QUARTILE.INC(_xlfn._xlws.FILTER(Fumosimontana!N$2:N1000, Fumosimontana!N$2:N1000&lt;&gt;""), 1))</f>
        <v>4.92875</v>
      </c>
      <c r="M34" s="5" cm="1">
        <f t="array" ref="M34">_xlfn.QUARTILE.INC(_xlfn._xlws.FILTER(Fumosimontana!O$2:O1000, Fumosimontana!O$2:O1000&lt;&gt;""), 3) + 1.5*(_xlfn.QUARTILE.INC(_xlfn._xlws.FILTER(Fumosimontana!O$2:O1000, Fumosimontana!O$2:O1000&lt;&gt;""), 3) - _xlfn.QUARTILE.INC(_xlfn._xlws.FILTER(Fumosimontana!O$2:O1000, Fumosimontana!O$2:O1000&lt;&gt;""), 1))</f>
        <v>6.4224999999999994</v>
      </c>
      <c r="N34" s="5" cm="1">
        <f t="array" ref="N34">_xlfn.QUARTILE.INC(_xlfn._xlws.FILTER(Fumosimontana!P$2:P1000, Fumosimontana!P$2:P1000&lt;&gt;""), 3) + 1.5*(_xlfn.QUARTILE.INC(_xlfn._xlws.FILTER(Fumosimontana!P$2:P1000, Fumosimontana!P$2:P1000&lt;&gt;""), 3) - _xlfn.QUARTILE.INC(_xlfn._xlws.FILTER(Fumosimontana!P$2:P1000, Fumosimontana!P$2:P1000&lt;&gt;""), 1))</f>
        <v>6.6425000000000001</v>
      </c>
      <c r="O34" s="5" cm="1">
        <f t="array" ref="O34">_xlfn.QUARTILE.INC(_xlfn._xlws.FILTER(Fumosimontana!Q$2:Q1000, Fumosimontana!Q$2:Q1000&lt;&gt;""), 3) + 1.5*(_xlfn.QUARTILE.INC(_xlfn._xlws.FILTER(Fumosimontana!Q$2:Q1000, Fumosimontana!Q$2:Q1000&lt;&gt;""), 3) - _xlfn.QUARTILE.INC(_xlfn._xlws.FILTER(Fumosimontana!Q$2:Q1000, Fumosimontana!Q$2:Q1000&lt;&gt;""), 1))</f>
        <v>37.993749999999999</v>
      </c>
      <c r="P34" s="5" cm="1">
        <f t="array" ref="P34">_xlfn.QUARTILE.INC(_xlfn._xlws.FILTER(Fumosimontana!R$2:R1000, Fumosimontana!R$2:R1000&lt;&gt;""), 3) + 1.5*(_xlfn.QUARTILE.INC(_xlfn._xlws.FILTER(Fumosimontana!R$2:R1000, Fumosimontana!R$2:R1000&lt;&gt;""), 3) - _xlfn.QUARTILE.INC(_xlfn._xlws.FILTER(Fumosimontana!R$2:R1000, Fumosimontana!R$2:R1000&lt;&gt;""), 1))</f>
        <v>93.543999999999983</v>
      </c>
    </row>
    <row r="35" spans="1:25" s="5" customFormat="1" x14ac:dyDescent="0.2">
      <c r="A35" s="5" t="s">
        <v>99</v>
      </c>
      <c r="B35" s="5" t="s">
        <v>223</v>
      </c>
      <c r="C35" s="5" cm="1">
        <f t="array" ref="C35">MIN(_xlfn._xlws.FILTER(Fumosimontana!E$2:E1000, Fumosimontana!E$2:E1000&lt;&gt;""))</f>
        <v>0.98</v>
      </c>
      <c r="D35" s="5" cm="1">
        <f t="array" ref="D35">MIN(_xlfn._xlws.FILTER(Fumosimontana!F$2:F1000, Fumosimontana!F$2:F1000&lt;&gt;""))</f>
        <v>0.41</v>
      </c>
      <c r="E35" s="5" cm="1">
        <f t="array" ref="E35">MIN(_xlfn._xlws.FILTER(Fumosimontana!G$2:G1000, Fumosimontana!G$2:G1000&lt;&gt;""))</f>
        <v>0.4</v>
      </c>
      <c r="F35" s="5" cm="1">
        <f t="array" ref="F35">MIN(_xlfn._xlws.FILTER(Fumosimontana!H$2:H1000, Fumosimontana!H$2:H1000&lt;&gt;""))</f>
        <v>0.88</v>
      </c>
      <c r="G35" s="5" cm="1">
        <f t="array" ref="G35">MIN(_xlfn._xlws.FILTER(Fumosimontana!I$2:I1000, Fumosimontana!I$2:I1000&lt;&gt;""))</f>
        <v>2.52</v>
      </c>
      <c r="H35" s="5" cm="1">
        <f t="array" ref="H35">MIN(_xlfn._xlws.FILTER(Fumosimontana!J$2:J1000, Fumosimontana!J$2:J1000&lt;&gt;""))</f>
        <v>2.67</v>
      </c>
      <c r="I35" s="5" cm="1">
        <f t="array" ref="I35">MIN(_xlfn._xlws.FILTER(Fumosimontana!K$2:K1000, Fumosimontana!K$2:K1000&lt;&gt;""))</f>
        <v>0.76</v>
      </c>
      <c r="J35" s="5" cm="1">
        <f t="array" ref="J35">MIN(_xlfn._xlws.FILTER(Fumosimontana!L$2:L1000, Fumosimontana!L$2:L1000&lt;&gt;""))</f>
        <v>0.51</v>
      </c>
      <c r="K35" s="5" cm="1">
        <f t="array" ref="K35">MIN(_xlfn._xlws.FILTER(Fumosimontana!M$2:M1000, Fumosimontana!M$2:M1000&lt;&gt;""))</f>
        <v>1.72</v>
      </c>
      <c r="L35" s="5" cm="1">
        <f t="array" ref="L35">MIN(_xlfn._xlws.FILTER(Fumosimontana!N$2:N1000, Fumosimontana!N$2:N1000&lt;&gt;""))</f>
        <v>2.99</v>
      </c>
      <c r="M35" s="5" cm="1">
        <f t="array" ref="M35">MIN(_xlfn._xlws.FILTER(Fumosimontana!O$2:O1000, Fumosimontana!O$2:O1000&lt;&gt;""))</f>
        <v>2.74</v>
      </c>
      <c r="N35" s="5" cm="1">
        <f t="array" ref="N35">MIN(_xlfn._xlws.FILTER(Fumosimontana!P$2:P1000, Fumosimontana!P$2:P1000&lt;&gt;""))</f>
        <v>1.21</v>
      </c>
      <c r="O35" s="5" cm="1">
        <f t="array" ref="O35">MIN(_xlfn._xlws.FILTER(Fumosimontana!Q$2:Q1000, Fumosimontana!Q$2:Q1000&lt;&gt;""))</f>
        <v>8.34</v>
      </c>
      <c r="P35" s="5" cm="1">
        <f t="array" ref="P35">MIN(_xlfn._xlws.FILTER(Fumosimontana!R$2:R1000, Fumosimontana!R$2:R1000&lt;&gt;""))</f>
        <v>66.7</v>
      </c>
    </row>
    <row r="36" spans="1:25" s="5" customFormat="1" x14ac:dyDescent="0.2">
      <c r="A36" s="5" t="s">
        <v>99</v>
      </c>
      <c r="B36" s="5" t="s">
        <v>224</v>
      </c>
      <c r="C36" s="5" cm="1">
        <f t="array" ref="C36">MAX(_xlfn._xlws.FILTER(Fumosimontana!E$2:E1000, Fumosimontana!E$2:E1000&lt;&gt;""))</f>
        <v>2.76</v>
      </c>
      <c r="D36" s="5" cm="1">
        <f t="array" ref="D36">MAX(_xlfn._xlws.FILTER(Fumosimontana!F$2:F1000, Fumosimontana!F$2:F1000&lt;&gt;""))</f>
        <v>1.04</v>
      </c>
      <c r="E36" s="5" cm="1">
        <f t="array" ref="E36">MAX(_xlfn._xlws.FILTER(Fumosimontana!G$2:G1000, Fumosimontana!G$2:G1000&lt;&gt;""))</f>
        <v>1.28</v>
      </c>
      <c r="F36" s="5" cm="1">
        <f t="array" ref="F36">MAX(_xlfn._xlws.FILTER(Fumosimontana!H$2:H1000, Fumosimontana!H$2:H1000&lt;&gt;""))</f>
        <v>3.73</v>
      </c>
      <c r="G36" s="5" cm="1">
        <f t="array" ref="G36">MAX(_xlfn._xlws.FILTER(Fumosimontana!I$2:I1000, Fumosimontana!I$2:I1000&lt;&gt;""))</f>
        <v>6.66</v>
      </c>
      <c r="H36" s="5" cm="1">
        <f t="array" ref="H36">MAX(_xlfn._xlws.FILTER(Fumosimontana!J$2:J1000, Fumosimontana!J$2:J1000&lt;&gt;""))</f>
        <v>3.91</v>
      </c>
      <c r="I36" s="5" cm="1">
        <f t="array" ref="I36">MAX(_xlfn._xlws.FILTER(Fumosimontana!K$2:K1000, Fumosimontana!K$2:K1000&lt;&gt;""))</f>
        <v>1.75</v>
      </c>
      <c r="J36" s="5" cm="1">
        <f t="array" ref="J36">MAX(_xlfn._xlws.FILTER(Fumosimontana!L$2:L1000, Fumosimontana!L$2:L1000&lt;&gt;""))</f>
        <v>1.35</v>
      </c>
      <c r="K36" s="5" cm="1">
        <f t="array" ref="K36">MAX(_xlfn._xlws.FILTER(Fumosimontana!M$2:M1000, Fumosimontana!M$2:M1000&lt;&gt;""))</f>
        <v>3.35</v>
      </c>
      <c r="L36" s="5" cm="1">
        <f t="array" ref="L36">MAX(_xlfn._xlws.FILTER(Fumosimontana!N$2:N1000, Fumosimontana!N$2:N1000&lt;&gt;""))</f>
        <v>4.3600000000000003</v>
      </c>
      <c r="M36" s="5" cm="1">
        <f t="array" ref="M36">MAX(_xlfn._xlws.FILTER(Fumosimontana!O$2:O1000, Fumosimontana!O$2:O1000&lt;&gt;""))</f>
        <v>5.59</v>
      </c>
      <c r="N36" s="5" cm="1">
        <f t="array" ref="N36">MAX(_xlfn._xlws.FILTER(Fumosimontana!P$2:P1000, Fumosimontana!P$2:P1000&lt;&gt;""))</f>
        <v>4.9800000000000004</v>
      </c>
      <c r="O36" s="5" cm="1">
        <f t="array" ref="O36">MAX(_xlfn._xlws.FILTER(Fumosimontana!Q$2:Q1000, Fumosimontana!Q$2:Q1000&lt;&gt;""))</f>
        <v>35.14</v>
      </c>
      <c r="P36" s="5" cm="1">
        <f t="array" ref="P36">MAX(_xlfn._xlws.FILTER(Fumosimontana!R$2:R1000, Fumosimontana!R$2:R1000&lt;&gt;""))</f>
        <v>84.596000000000004</v>
      </c>
    </row>
    <row r="37" spans="1:25" s="5" customFormat="1" ht="17" x14ac:dyDescent="0.25">
      <c r="A37" s="5" t="s">
        <v>99</v>
      </c>
      <c r="B37" s="5" t="s">
        <v>234</v>
      </c>
      <c r="C37" s="5" t="str">
        <f>"(" &amp; IF(MIN(Fumosimontana!E$2:E$1000)&lt;_xlfn.QUARTILE.INC(Fumosimontana!E$2:E$1000,1)-1.5*(_xlfn.QUARTILE.INC(Fumosimontana!E$2:E$1000,3)-_xlfn.QUARTILE.INC(Fumosimontana!E$2:E$1000,1)),MIN(Fumosimontana!E$2:E$1000),"") &amp; ") " &amp; _xlfn.MINIFS(Fumosimontana!E$2:E$1000,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"–" &amp; _xlfn.MAXIFS(Fumosimontana!E$2:E$1000,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 (" &amp; IF(MAX(Fumosimontana!E$2:E$1000)&gt;_xlfn.QUARTILE.INC(Fumosimontana!E$2:E$1000,3)+1.5*(_xlfn.QUARTILE.INC(Fumosimontana!E$2:E$1000,3)-_xlfn.QUARTILE.INC(Fumosimontana!E$2:E$1000,1)),MAX(Fumosimontana!E$2:E$1000),"") &amp; ") mm"</f>
        <v>() 0.98–2.76 () mm</v>
      </c>
      <c r="D37" s="5" t="str">
        <f>"(" &amp; IF(MIN(Fumosimontana!F$2:F$1000)&lt;_xlfn.QUARTILE.INC(Fumosimontana!F$2:F$1000,1)-1.5*(_xlfn.QUARTILE.INC(Fumosimontana!F$2:F$1000,3)-_xlfn.QUARTILE.INC(Fumosimontana!F$2:F$1000,1)),MIN(Fumosimontana!F$2:F$1000),"") &amp; ") " &amp; _xlfn.MINIFS(Fumosimontana!F$2:F$1000, Fumosimontana!F$2:F$1000, "&gt;=" &amp; _xlfn.QUARTILE.INC(Fumosimontana!F$2:F$1000,1)-1.5*(_xlfn.QUARTILE.INC(Fumosimontana!F$2:F$1000,3)-_xlfn.QUARTILE.INC(Fumosimontana!F$2:F$1000,1)), Fumosimontana!F$2:F$1000, "&lt;=" &amp; _xlfn.QUARTILE.INC(Fumosimontana!F$2:F$1000,3)+1.5*(_xlfn.QUARTILE.INC(Fumosimontana!F$2:F$1000,3)-_xlfn.QUARTILE.INC(Fumosimontana!F$2:F$1000,1))) &amp; "–" &amp; _xlfn.MAXIFS(Fumosimontana!F$2:F$1000, Fumosimontana!F$2:F$1000, "&gt;=" &amp; _xlfn.QUARTILE.INC(Fumosimontana!F$2:F$1000,1)-1.5*(_xlfn.QUARTILE.INC(Fumosimontana!F$2:F$1000,3)-_xlfn.QUARTILE.INC(Fumosimontana!F$2:F$1000,1)), Fumosimontana!F$2:F$1000, "&lt;=" &amp; _xlfn.QUARTILE.INC(Fumosimontana!F$2:F$1000,3)+1.5*(_xlfn.QUARTILE.INC(Fumosimontana!F$2:F$1000,3)-_xlfn.QUARTILE.INC(Fumosimontana!F$2:F$1000,1))) &amp; " (" &amp; IF(MAX(Fumosimontana!F$2:F$1000)&gt;_xlfn.QUARTILE.INC(Fumosimontana!F$2:F$1000,3)+1.5*(_xlfn.QUARTILE.INC(Fumosimontana!F$2:F$1000,3)-_xlfn.QUARTILE.INC(Fumosimontana!F$2:F$1000,1)),MAX(Fumosimontana!F$2:F$1000),"") &amp; ") mm"</f>
        <v>() 0.41–1.04 () mm</v>
      </c>
      <c r="E37" s="5" t="str">
        <f>"(" &amp; IF(MIN(Fumosimontana!G$2:G$1000)&lt;_xlfn.QUARTILE.INC(Fumosimontana!G$2:G$1000,1)-1.5*(_xlfn.QUARTILE.INC(Fumosimontana!G$2:G$1000,3)-_xlfn.QUARTILE.INC(Fumosimontana!G$2:G$1000,1)),MIN(Fumosimontana!G$2:G$1000),"") &amp; ") " &amp; _xlfn.MINIFS(Fumosimontana!G$2:G$1000, Fumosimontana!G$2:G$1000, "&gt;=" &amp; _xlfn.QUARTILE.INC(Fumosimontana!G$2:G$1000,1)-1.5*(_xlfn.QUARTILE.INC(Fumosimontana!G$2:G$1000,3)-_xlfn.QUARTILE.INC(Fumosimontana!G$2:G$1000,1)), Fumosimontana!G$2:G$1000, "&lt;=" &amp; _xlfn.QUARTILE.INC(Fumosimontana!G$2:G$1000,3)+1.5*(_xlfn.QUARTILE.INC(Fumosimontana!G$2:G$1000,3)-_xlfn.QUARTILE.INC(Fumosimontana!G$2:G$1000,1))) &amp; "–" &amp; _xlfn.MAXIFS(Fumosimontana!G$2:G$1000, Fumosimontana!G$2:G$1000, "&gt;=" &amp; _xlfn.QUARTILE.INC(Fumosimontana!G$2:G$1000,1)-1.5*(_xlfn.QUARTILE.INC(Fumosimontana!G$2:G$1000,3)-_xlfn.QUARTILE.INC(Fumosimontana!G$2:G$1000,1)), Fumosimontana!G$2:G$1000, "&lt;=" &amp; _xlfn.QUARTILE.INC(Fumosimontana!G$2:G$1000,3)+1.5*(_xlfn.QUARTILE.INC(Fumosimontana!G$2:G$1000,3)-_xlfn.QUARTILE.INC(Fumosimontana!G$2:G$1000,1))) &amp; " (" &amp; IF(MAX(Fumosimontana!G$2:G$1000)&gt;_xlfn.QUARTILE.INC(Fumosimontana!G$2:G$1000,3)+1.5*(_xlfn.QUARTILE.INC(Fumosimontana!G$2:G$1000,3)-_xlfn.QUARTILE.INC(Fumosimontana!G$2:G$1000,1)),MAX(Fumosimontana!G$2:G$1000),"") &amp; ") mm"</f>
        <v>() 0.4–1.28 () mm</v>
      </c>
      <c r="F37" s="5" t="str">
        <f>"(" &amp; IF(MIN(Fumosimontana!H$2:H$1000)&lt;_xlfn.QUARTILE.INC(Fumosimontana!H$2:H$1000,1)-1.5*(_xlfn.QUARTILE.INC(Fumosimontana!H$2:H$1000,3)-_xlfn.QUARTILE.INC(Fumosimontana!H$2:H$1000,1)),MIN(Fumosimontana!H$2:H$1000),"") &amp; ") " &amp; _xlfn.MINIFS(Fumosimontana!H$2:H$1000, Fumosimontana!H$2:H$1000, "&gt;=" &amp; _xlfn.QUARTILE.INC(Fumosimontana!H$2:H$1000,1)-1.5*(_xlfn.QUARTILE.INC(Fumosimontana!H$2:H$1000,3)-_xlfn.QUARTILE.INC(Fumosimontana!H$2:H$1000,1)), Fumosimontana!H$2:H$1000, "&lt;=" &amp; _xlfn.QUARTILE.INC(Fumosimontana!H$2:H$1000,3)+1.5*(_xlfn.QUARTILE.INC(Fumosimontana!H$2:H$1000,3)-_xlfn.QUARTILE.INC(Fumosimontana!H$2:H$1000,1))) &amp; "–" &amp; _xlfn.MAXIFS(Fumosimontana!H$2:H$1000, Fumosimontana!H$2:H$1000, "&gt;=" &amp; _xlfn.QUARTILE.INC(Fumosimontana!H$2:H$1000,1)-1.5*(_xlfn.QUARTILE.INC(Fumosimontana!H$2:H$1000,3)-_xlfn.QUARTILE.INC(Fumosimontana!H$2:H$1000,1)), Fumosimontana!H$2:H$1000, "&lt;=" &amp; _xlfn.QUARTILE.INC(Fumosimontana!H$2:H$1000,3)+1.5*(_xlfn.QUARTILE.INC(Fumosimontana!H$2:H$1000,3)-_xlfn.QUARTILE.INC(Fumosimontana!H$2:H$1000,1))) &amp; " (" &amp; IF(MAX(Fumosimontana!H$2:H$1000)&gt;_xlfn.QUARTILE.INC(Fumosimontana!H$2:H$1000,3)+1.5*(_xlfn.QUARTILE.INC(Fumosimontana!H$2:H$1000,3)-_xlfn.QUARTILE.INC(Fumosimontana!H$2:H$1000,1)),MAX(Fumosimontana!H$2:H$1000),"") &amp; ") mm"</f>
        <v>() 0.88–3.73 () mm</v>
      </c>
      <c r="G37" s="5" t="str">
        <f>"(" &amp; IF(MIN(Fumosimontana!I$2:I$1000)&lt;_xlfn.QUARTILE.INC(Fumosimontana!I$2:I$1000,1)-1.5*(_xlfn.QUARTILE.INC(Fumosimontana!I$2:I$1000,3)-_xlfn.QUARTILE.INC(Fumosimontana!I$2:I$1000,1)),MIN(Fumosimontana!I$2:I$1000),"") &amp; ") " &amp; _xlfn.MINIFS(Fumosimontana!I$2:I$1000, Fumosimontana!I$2:I$1000, "&gt;=" &amp; _xlfn.QUARTILE.INC(Fumosimontana!I$2:I$1000,1)-1.5*(_xlfn.QUARTILE.INC(Fumosimontana!I$2:I$1000,3)-_xlfn.QUARTILE.INC(Fumosimontana!I$2:I$1000,1)), Fumosimontana!I$2:I$1000, "&lt;=" &amp; _xlfn.QUARTILE.INC(Fumosimontana!I$2:I$1000,3)+1.5*(_xlfn.QUARTILE.INC(Fumosimontana!I$2:I$1000,3)-_xlfn.QUARTILE.INC(Fumosimontana!I$2:I$1000,1))) &amp; "–" &amp; _xlfn.MAXIFS(Fumosimontana!I$2:I$1000, Fumosimontana!I$2:I$1000, "&gt;=" &amp; _xlfn.QUARTILE.INC(Fumosimontana!I$2:I$1000,1)-1.5*(_xlfn.QUARTILE.INC(Fumosimontana!I$2:I$1000,3)-_xlfn.QUARTILE.INC(Fumosimontana!I$2:I$1000,1)), Fumosimontana!I$2:I$1000, "&lt;=" &amp; _xlfn.QUARTILE.INC(Fumosimontana!I$2:I$1000,3)+1.5*(_xlfn.QUARTILE.INC(Fumosimontana!I$2:I$1000,3)-_xlfn.QUARTILE.INC(Fumosimontana!I$2:I$1000,1))) &amp; " (" &amp; IF(MAX(Fumosimontana!I$2:I$1000)&gt;_xlfn.QUARTILE.INC(Fumosimontana!I$2:I$1000,3)+1.5*(_xlfn.QUARTILE.INC(Fumosimontana!I$2:I$1000,3)-_xlfn.QUARTILE.INC(Fumosimontana!I$2:I$1000,1)),MAX(Fumosimontana!I$2:I$1000),"") &amp; ") mm"</f>
        <v>() 2.52–6.66 () mm</v>
      </c>
      <c r="H37" s="5" t="str">
        <f>"(" &amp; IF(MIN(Fumosimontana!J$2:J$1000)&lt;_xlfn.QUARTILE.INC(Fumosimontana!J$2:J$1000,1)-1.5*(_xlfn.QUARTILE.INC(Fumosimontana!J$2:J$1000,3)-_xlfn.QUARTILE.INC(Fumosimontana!J$2:J$1000,1)),MIN(Fumosimontana!J$2:J$1000),"") &amp; ") " &amp; _xlfn.MINIFS(Fumosimontana!J$2:J$1000, Fumosimontana!J$2:J$1000, "&gt;=" &amp; _xlfn.QUARTILE.INC(Fumosimontana!J$2:J$1000,1)-1.5*(_xlfn.QUARTILE.INC(Fumosimontana!J$2:J$1000,3)-_xlfn.QUARTILE.INC(Fumosimontana!J$2:J$1000,1)), Fumosimontana!J$2:J$1000, "&lt;=" &amp; _xlfn.QUARTILE.INC(Fumosimontana!J$2:J$1000,3)+1.5*(_xlfn.QUARTILE.INC(Fumosimontana!J$2:J$1000,3)-_xlfn.QUARTILE.INC(Fumosimontana!J$2:J$1000,1))) &amp; "–" &amp; _xlfn.MAXIFS(Fumosimontana!J$2:J$1000, Fumosimontana!J$2:J$1000, "&gt;=" &amp; _xlfn.QUARTILE.INC(Fumosimontana!J$2:J$1000,1)-1.5*(_xlfn.QUARTILE.INC(Fumosimontana!J$2:J$1000,3)-_xlfn.QUARTILE.INC(Fumosimontana!J$2:J$1000,1)), Fumosimontana!J$2:J$1000, "&lt;=" &amp; _xlfn.QUARTILE.INC(Fumosimontana!J$2:J$1000,3)+1.5*(_xlfn.QUARTILE.INC(Fumosimontana!J$2:J$1000,3)-_xlfn.QUARTILE.INC(Fumosimontana!J$2:J$1000,1))) &amp; " (" &amp; IF(MAX(Fumosimontana!J$2:J$1000)&gt;_xlfn.QUARTILE.INC(Fumosimontana!J$2:J$1000,3)+1.5*(_xlfn.QUARTILE.INC(Fumosimontana!J$2:J$1000,3)-_xlfn.QUARTILE.INC(Fumosimontana!J$2:J$1000,1)),MAX(Fumosimontana!J$2:J$1000),"") &amp; ") mm"</f>
        <v>(2.67) 3.32–3.91 () mm</v>
      </c>
      <c r="I37" s="5" t="str">
        <f>"(" &amp; IF(MIN(Fumosimontana!K$2:K$1000)&lt;_xlfn.QUARTILE.INC(Fumosimontana!K$2:K$1000,1)-1.5*(_xlfn.QUARTILE.INC(Fumosimontana!K$2:K$1000,3)-_xlfn.QUARTILE.INC(Fumosimontana!K$2:K$1000,1)),MIN(Fumosimontana!K$2:K$1000),"") &amp; ") " &amp; _xlfn.MINIFS(Fumosimontana!K$2:K$1000, Fumosimontana!K$2:K$1000, "&gt;=" &amp; _xlfn.QUARTILE.INC(Fumosimontana!K$2:K$1000,1)-1.5*(_xlfn.QUARTILE.INC(Fumosimontana!K$2:K$1000,3)-_xlfn.QUARTILE.INC(Fumosimontana!K$2:K$1000,1)), Fumosimontana!K$2:K$1000, "&lt;=" &amp; _xlfn.QUARTILE.INC(Fumosimontana!K$2:K$1000,3)+1.5*(_xlfn.QUARTILE.INC(Fumosimontana!K$2:K$1000,3)-_xlfn.QUARTILE.INC(Fumosimontana!K$2:K$1000,1))) &amp; "–" &amp; _xlfn.MAXIFS(Fumosimontana!K$2:K$1000, Fumosimontana!K$2:K$1000, "&gt;=" &amp; _xlfn.QUARTILE.INC(Fumosimontana!K$2:K$1000,1)-1.5*(_xlfn.QUARTILE.INC(Fumosimontana!K$2:K$1000,3)-_xlfn.QUARTILE.INC(Fumosimontana!K$2:K$1000,1)), Fumosimontana!K$2:K$1000, "&lt;=" &amp; _xlfn.QUARTILE.INC(Fumosimontana!K$2:K$1000,3)+1.5*(_xlfn.QUARTILE.INC(Fumosimontana!K$2:K$1000,3)-_xlfn.QUARTILE.INC(Fumosimontana!K$2:K$1000,1))) &amp; " (" &amp; IF(MAX(Fumosimontana!K$2:K$1000)&gt;_xlfn.QUARTILE.INC(Fumosimontana!K$2:K$1000,3)+1.5*(_xlfn.QUARTILE.INC(Fumosimontana!K$2:K$1000,3)-_xlfn.QUARTILE.INC(Fumosimontana!K$2:K$1000,1)),MAX(Fumosimontana!K$2:K$1000),"") &amp; ") mm"</f>
        <v>() 0.76–1.75 () mm</v>
      </c>
      <c r="J37" s="5" t="str">
        <f>"(" &amp; IF(MIN(Fumosimontana!L$2:L$1000)&lt;_xlfn.QUARTILE.INC(Fumosimontana!L$2:L$1000,1)-1.5*(_xlfn.QUARTILE.INC(Fumosimontana!L$2:L$1000,3)-_xlfn.QUARTILE.INC(Fumosimontana!L$2:L$1000,1)),MIN(Fumosimontana!L$2:L$1000),"") &amp; ") " &amp; _xlfn.MINIFS(Fumosimontana!L$2:L$1000, Fumosimontana!L$2:L$1000, "&gt;=" &amp; _xlfn.QUARTILE.INC(Fumosimontana!L$2:L$1000,1)-1.5*(_xlfn.QUARTILE.INC(Fumosimontana!L$2:L$1000,3)-_xlfn.QUARTILE.INC(Fumosimontana!L$2:L$1000,1)), Fumosimontana!L$2:L$1000, "&lt;=" &amp; _xlfn.QUARTILE.INC(Fumosimontana!L$2:L$1000,3)+1.5*(_xlfn.QUARTILE.INC(Fumosimontana!L$2:L$1000,3)-_xlfn.QUARTILE.INC(Fumosimontana!L$2:L$1000,1))) &amp; "–" &amp; _xlfn.MAXIFS(Fumosimontana!L$2:L$1000, Fumosimontana!L$2:L$1000, "&gt;=" &amp; _xlfn.QUARTILE.INC(Fumosimontana!L$2:L$1000,1)-1.5*(_xlfn.QUARTILE.INC(Fumosimontana!L$2:L$1000,3)-_xlfn.QUARTILE.INC(Fumosimontana!L$2:L$1000,1)), Fumosimontana!L$2:L$1000, "&lt;=" &amp; _xlfn.QUARTILE.INC(Fumosimontana!L$2:L$1000,3)+1.5*(_xlfn.QUARTILE.INC(Fumosimontana!L$2:L$1000,3)-_xlfn.QUARTILE.INC(Fumosimontana!L$2:L$1000,1))) &amp; " (" &amp; IF(MAX(Fumosimontana!L$2:L$1000)&gt;_xlfn.QUARTILE.INC(Fumosimontana!L$2:L$1000,3)+1.5*(_xlfn.QUARTILE.INC(Fumosimontana!L$2:L$1000,3)-_xlfn.QUARTILE.INC(Fumosimontana!L$2:L$1000,1)),MAX(Fumosimontana!L$2:L$1000),"") &amp; ") mm"</f>
        <v>() 0.51–1.35 () mm</v>
      </c>
      <c r="K37" s="5" t="str">
        <f>"(" &amp; IF(MIN(Fumosimontana!M$2:M$1000)&lt;_xlfn.QUARTILE.INC(Fumosimontana!M$2:M$1000,1)-1.5*(_xlfn.QUARTILE.INC(Fumosimontana!M$2:M$1000,3)-_xlfn.QUARTILE.INC(Fumosimontana!M$2:M$1000,1)),MIN(Fumosimontana!M$2:M$1000),"") &amp; ") " &amp; _xlfn.MINIFS(Fumosimontana!M$2:M$1000, Fumosimontana!M$2:M$1000, "&gt;=" &amp; _xlfn.QUARTILE.INC(Fumosimontana!M$2:M$1000,1)-1.5*(_xlfn.QUARTILE.INC(Fumosimontana!M$2:M$1000,3)-_xlfn.QUARTILE.INC(Fumosimontana!M$2:M$1000,1)), Fumosimontana!M$2:M$1000, "&lt;=" &amp; _xlfn.QUARTILE.INC(Fumosimontana!M$2:M$1000,3)+1.5*(_xlfn.QUARTILE.INC(Fumosimontana!M$2:M$1000,3)-_xlfn.QUARTILE.INC(Fumosimontana!M$2:M$1000,1))) &amp; "–" &amp; _xlfn.MAXIFS(Fumosimontana!M$2:M$1000, Fumosimontana!M$2:M$1000, "&gt;=" &amp; _xlfn.QUARTILE.INC(Fumosimontana!M$2:M$1000,1)-1.5*(_xlfn.QUARTILE.INC(Fumosimontana!M$2:M$1000,3)-_xlfn.QUARTILE.INC(Fumosimontana!M$2:M$1000,1)), Fumosimontana!M$2:M$1000, "&lt;=" &amp; _xlfn.QUARTILE.INC(Fumosimontana!M$2:M$1000,3)+1.5*(_xlfn.QUARTILE.INC(Fumosimontana!M$2:M$1000,3)-_xlfn.QUARTILE.INC(Fumosimontana!M$2:M$1000,1))) &amp; " (" &amp; IF(MAX(Fumosimontana!M$2:M$1000)&gt;_xlfn.QUARTILE.INC(Fumosimontana!M$2:M$1000,3)+1.5*(_xlfn.QUARTILE.INC(Fumosimontana!M$2:M$1000,3)-_xlfn.QUARTILE.INC(Fumosimontana!M$2:M$1000,1)),MAX(Fumosimontana!M$2:M$1000),"") &amp; ") mm"</f>
        <v>() 1.72–3.35 () mm</v>
      </c>
      <c r="L37" s="5" t="str">
        <f>"(" &amp; IF(MIN(Fumosimontana!N$2:N$1000)&lt;_xlfn.QUARTILE.INC(Fumosimontana!N$2:N$1000,1)-1.5*(_xlfn.QUARTILE.INC(Fumosimontana!N$2:N$1000,3)-_xlfn.QUARTILE.INC(Fumosimontana!N$2:N$1000,1)),MIN(Fumosimontana!N$2:N$1000),"") &amp; ") " &amp; _xlfn.MINIFS(Fumosimontana!N$2:N$1000, Fumosimontana!N$2:N$1000, "&gt;=" &amp; _xlfn.QUARTILE.INC(Fumosimontana!N$2:N$1000,1)-1.5*(_xlfn.QUARTILE.INC(Fumosimontana!N$2:N$1000,3)-_xlfn.QUARTILE.INC(Fumosimontana!N$2:N$1000,1)), Fumosimontana!N$2:N$1000, "&lt;=" &amp; _xlfn.QUARTILE.INC(Fumosimontana!N$2:N$1000,3)+1.5*(_xlfn.QUARTILE.INC(Fumosimontana!N$2:N$1000,3)-_xlfn.QUARTILE.INC(Fumosimontana!N$2:N$1000,1))) &amp; "–" &amp; _xlfn.MAXIFS(Fumosimontana!N$2:N$1000, Fumosimontana!N$2:N$1000, "&gt;=" &amp; _xlfn.QUARTILE.INC(Fumosimontana!N$2:N$1000,1)-1.5*(_xlfn.QUARTILE.INC(Fumosimontana!N$2:N$1000,3)-_xlfn.QUARTILE.INC(Fumosimontana!N$2:N$1000,1)), Fumosimontana!N$2:N$1000, "&lt;=" &amp; _xlfn.QUARTILE.INC(Fumosimontana!N$2:N$1000,3)+1.5*(_xlfn.QUARTILE.INC(Fumosimontana!N$2:N$1000,3)-_xlfn.QUARTILE.INC(Fumosimontana!N$2:N$1000,1))) &amp; " (" &amp; IF(MAX(Fumosimontana!N$2:N$1000)&gt;_xlfn.QUARTILE.INC(Fumosimontana!N$2:N$1000,3)+1.5*(_xlfn.QUARTILE.INC(Fumosimontana!N$2:N$1000,3)-_xlfn.QUARTILE.INC(Fumosimontana!N$2:N$1000,1)),MAX(Fumosimontana!N$2:N$1000),"") &amp; ") mm"</f>
        <v>(2.99) 3.43–4.36 () mm</v>
      </c>
      <c r="M37" s="5" t="str">
        <f>"(" &amp; IF(MIN(Fumosimontana!O$2:O$1000)&lt;_xlfn.QUARTILE.INC(Fumosimontana!O$2:O$1000,1)-1.5*(_xlfn.QUARTILE.INC(Fumosimontana!O$2:O$1000,3)-_xlfn.QUARTILE.INC(Fumosimontana!O$2:O$1000,1)),MIN(Fumosimontana!O$2:O$1000),"") &amp; ") " &amp; _xlfn.MINIFS(Fumosimontana!O$2:O$1000, Fumosimontana!O$2:O$1000, "&gt;=" &amp; _xlfn.QUARTILE.INC(Fumosimontana!O$2:O$1000,1)-1.5*(_xlfn.QUARTILE.INC(Fumosimontana!O$2:O$1000,3)-_xlfn.QUARTILE.INC(Fumosimontana!O$2:O$1000,1)), Fumosimontana!O$2:O$1000, "&lt;=" &amp; _xlfn.QUARTILE.INC(Fumosimontana!O$2:O$1000,3)+1.5*(_xlfn.QUARTILE.INC(Fumosimontana!O$2:O$1000,3)-_xlfn.QUARTILE.INC(Fumosimontana!O$2:O$1000,1))) &amp; "–" &amp; _xlfn.MAXIFS(Fumosimontana!O$2:O$1000, Fumosimontana!O$2:O$1000, "&gt;=" &amp; _xlfn.QUARTILE.INC(Fumosimontana!O$2:O$1000,1)-1.5*(_xlfn.QUARTILE.INC(Fumosimontana!O$2:O$1000,3)-_xlfn.QUARTILE.INC(Fumosimontana!O$2:O$1000,1)), Fumosimontana!O$2:O$1000, "&lt;=" &amp; _xlfn.QUARTILE.INC(Fumosimontana!O$2:O$1000,3)+1.5*(_xlfn.QUARTILE.INC(Fumosimontana!O$2:O$1000,3)-_xlfn.QUARTILE.INC(Fumosimontana!O$2:O$1000,1))) &amp; " (" &amp; IF(MAX(Fumosimontana!O$2:O$1000)&gt;_xlfn.QUARTILE.INC(Fumosimontana!O$2:O$1000,3)+1.5*(_xlfn.QUARTILE.INC(Fumosimontana!O$2:O$1000,3)-_xlfn.QUARTILE.INC(Fumosimontana!O$2:O$1000,1)),MAX(Fumosimontana!O$2:O$1000),"") &amp; ") mm"</f>
        <v>() 2.74–5.59 () mm</v>
      </c>
      <c r="N37" s="5" t="str">
        <f>"(" &amp; IF(MIN(Fumosimontana!P$2:P$1000)&lt;_xlfn.QUARTILE.INC(Fumosimontana!P$2:P$1000,1)-1.5*(_xlfn.QUARTILE.INC(Fumosimontana!P$2:P$1000,3)-_xlfn.QUARTILE.INC(Fumosimontana!P$2:P$1000,1)),MIN(Fumosimontana!P$2:P$1000),"") &amp; ") " &amp; _xlfn.MINIFS(Fumosimontana!P$2:P$1000, Fumosimontana!P$2:P$1000, "&gt;=" &amp; _xlfn.QUARTILE.INC(Fumosimontana!P$2:P$1000,1)-1.5*(_xlfn.QUARTILE.INC(Fumosimontana!P$2:P$1000,3)-_xlfn.QUARTILE.INC(Fumosimontana!P$2:P$1000,1)), Fumosimontana!P$2:P$1000, "&lt;=" &amp; _xlfn.QUARTILE.INC(Fumosimontana!P$2:P$1000,3)+1.5*(_xlfn.QUARTILE.INC(Fumosimontana!P$2:P$1000,3)-_xlfn.QUARTILE.INC(Fumosimontana!P$2:P$1000,1))) &amp; "–" &amp; _xlfn.MAXIFS(Fumosimontana!P$2:P$1000, Fumosimontana!P$2:P$1000, "&gt;=" &amp; _xlfn.QUARTILE.INC(Fumosimontana!P$2:P$1000,1)-1.5*(_xlfn.QUARTILE.INC(Fumosimontana!P$2:P$1000,3)-_xlfn.QUARTILE.INC(Fumosimontana!P$2:P$1000,1)), Fumosimontana!P$2:P$1000, "&lt;=" &amp; _xlfn.QUARTILE.INC(Fumosimontana!P$2:P$1000,3)+1.5*(_xlfn.QUARTILE.INC(Fumosimontana!P$2:P$1000,3)-_xlfn.QUARTILE.INC(Fumosimontana!P$2:P$1000,1))) &amp; " (" &amp; IF(MAX(Fumosimontana!P$2:P$1000)&gt;_xlfn.QUARTILE.INC(Fumosimontana!P$2:P$1000,3)+1.5*(_xlfn.QUARTILE.INC(Fumosimontana!P$2:P$1000,3)-_xlfn.QUARTILE.INC(Fumosimontana!P$2:P$1000,1)),MAX(Fumosimontana!P$2:P$1000),"") &amp; ") mm"</f>
        <v>() 1.21–4.98 () mm</v>
      </c>
      <c r="O37" s="5" t="str">
        <f>"(" &amp; IF(MIN(Fumosimontana!Q$2:Q$1000)&lt;_xlfn.QUARTILE.INC(Fumosimontana!Q$2:Q$1000,1)-1.5*(_xlfn.QUARTILE.INC(Fumosimontana!Q$2:Q$1000,3)-_xlfn.QUARTILE.INC(Fumosimontana!Q$2:Q$1000,1)),MIN(Fumosimontana!Q$2:Q$1000),"") &amp; ") " &amp; _xlfn.MINIFS(Fumosimontana!Q$2:Q$1000, Fumosimontana!Q$2:Q$1000, "&gt;=" &amp; _xlfn.QUARTILE.INC(Fumosimontana!Q$2:Q$1000,1)-1.5*(_xlfn.QUARTILE.INC(Fumosimontana!Q$2:Q$1000,3)-_xlfn.QUARTILE.INC(Fumosimontana!Q$2:Q$1000,1)), Fumosimontana!Q$2:Q$1000, "&lt;=" &amp; _xlfn.QUARTILE.INC(Fumosimontana!Q$2:Q$1000,3)+1.5*(_xlfn.QUARTILE.INC(Fumosimontana!Q$2:Q$1000,3)-_xlfn.QUARTILE.INC(Fumosimontana!Q$2:Q$1000,1))) &amp; "–" &amp; _xlfn.MAXIFS(Fumosimontana!Q$2:Q$1000, Fumosimontana!Q$2:Q$1000, "&gt;=" &amp; _xlfn.QUARTILE.INC(Fumosimontana!Q$2:Q$1000,1)-1.5*(_xlfn.QUARTILE.INC(Fumosimontana!Q$2:Q$1000,3)-_xlfn.QUARTILE.INC(Fumosimontana!Q$2:Q$1000,1)), Fumosimontana!Q$2:Q$1000, "&lt;=" &amp; _xlfn.QUARTILE.INC(Fumosimontana!Q$2:Q$1000,3)+1.5*(_xlfn.QUARTILE.INC(Fumosimontana!Q$2:Q$1000,3)-_xlfn.QUARTILE.INC(Fumosimontana!Q$2:Q$1000,1))) &amp; " (" &amp; IF(MAX(Fumosimontana!Q$2:Q$1000)&gt;_xlfn.QUARTILE.INC(Fumosimontana!Q$2:Q$1000,3)+1.5*(_xlfn.QUARTILE.INC(Fumosimontana!Q$2:Q$1000,3)-_xlfn.QUARTILE.INC(Fumosimontana!Q$2:Q$1000,1)),MAX(Fumosimontana!Q$2:Q$1000),"") &amp; ") mm"</f>
        <v>() 8.34–35.14 () mm</v>
      </c>
      <c r="P37" s="5" t="str">
        <f>"(" &amp; IF(MIN(Fumosimontana!R$2:R$1000)&lt;_xlfn.QUARTILE.INC(Fumosimontana!R$2:R$1000,1)-1.5*(_xlfn.QUARTILE.INC(Fumosimontana!R$2:R$1000,3)-_xlfn.QUARTILE.INC(Fumosimontana!R$2:R$1000,1)),MIN(Fumosimontana!R$2:R$1000),"") &amp; ") " &amp; _xlfn.MINIFS(Fumosimontana!R$2:R$1000, Fumosimontana!R$2:R$1000, "&gt;=" &amp; _xlfn.QUARTILE.INC(Fumosimontana!R$2:R$1000,1)-1.5*(_xlfn.QUARTILE.INC(Fumosimontana!R$2:R$1000,3)-_xlfn.QUARTILE.INC(Fumosimontana!R$2:R$1000,1)), Fumosimontana!R$2:R$1000, "&lt;=" &amp; _xlfn.QUARTILE.INC(Fumosimontana!R$2:R$1000,3)+1.5*(_xlfn.QUARTILE.INC(Fumosimontana!R$2:R$1000,3)-_xlfn.QUARTILE.INC(Fumosimontana!R$2:R$1000,1))) &amp; "–" &amp; _xlfn.MAXIFS(Fumosimontana!R$2:R$1000, Fumosimontana!R$2:R$1000, "&gt;=" &amp; _xlfn.QUARTILE.INC(Fumosimontana!R$2:R$1000,1)-1.5*(_xlfn.QUARTILE.INC(Fumosimontana!R$2:R$1000,3)-_xlfn.QUARTILE.INC(Fumosimontana!R$2:R$1000,1)), Fumosimontana!R$2:R$1000, "&lt;=" &amp; _xlfn.QUARTILE.INC(Fumosimontana!R$2:R$1000,3)+1.5*(_xlfn.QUARTILE.INC(Fumosimontana!R$2:R$1000,3)-_xlfn.QUARTILE.INC(Fumosimontana!R$2:R$1000,1))) &amp; " (" &amp; IF(MAX(Fumosimontana!R$2:R$1000)&gt;_xlfn.QUARTILE.INC(Fumosimontana!R$2:R$1000,3)+1.5*(_xlfn.QUARTILE.INC(Fumosimontana!R$2:R$1000,3)-_xlfn.QUARTILE.INC(Fumosimontana!R$2:R$1000,1)),MAX(Fumosimontana!R$2:R$1000),"") &amp; ") mm"</f>
        <v>() 66.7–84.596 () mm</v>
      </c>
      <c r="Q37" s="5" t="str">
        <f>"(" &amp; IF(MIN(Fumosimontana!S$2:S$1000)&lt;_xlfn.QUARTILE.INC(Fumosimontana!S$2:S$1000,1)-1.5*(_xlfn.QUARTILE.INC(Fumosimontana!S$2:S$1000,3)-_xlfn.QUARTILE.INC(Fumosimontana!S$2:S$1000,1)),MIN(Fumosimontana!S$2:S$1000),"") &amp; ") " &amp; _xlfn.MINIFS(Fumosimontana!S$2:S$1000, Fumosimontana!S$2:S$1000, "&gt;=" &amp; _xlfn.QUARTILE.INC(Fumosimontana!S$2:S$1000,1)-1.5*(_xlfn.QUARTILE.INC(Fumosimontana!S$2:S$1000,3)-_xlfn.QUARTILE.INC(Fumosimontana!S$2:S$1000,1)), Fumosimontana!S$2:S$1000, "&lt;=" &amp; _xlfn.QUARTILE.INC(Fumosimontana!S$2:S$1000,3)+1.5*(_xlfn.QUARTILE.INC(Fumosimontana!S$2:S$1000,3)-_xlfn.QUARTILE.INC(Fumosimontana!S$2:S$1000,1))) &amp; "–" &amp; _xlfn.MAXIFS(Fumosimontana!S$2:S$1000, Fumosimontana!S$2:S$1000, "&gt;=" &amp; _xlfn.QUARTILE.INC(Fumosimontana!S$2:S$1000,1)-1.5*(_xlfn.QUARTILE.INC(Fumosimontana!S$2:S$1000,3)-_xlfn.QUARTILE.INC(Fumosimontana!S$2:S$1000,1)), Fumosimontana!S$2:S$1000, "&lt;=" &amp; _xlfn.QUARTILE.INC(Fumosimontana!S$2:S$1000,3)+1.5*(_xlfn.QUARTILE.INC(Fumosimontana!S$2:S$1000,3)-_xlfn.QUARTILE.INC(Fumosimontana!S$2:S$1000,1))) &amp; " (" &amp; IF(MAX(Fumosimontana!S$2:S$1000)&gt;_xlfn.QUARTILE.INC(Fumosimontana!S$2:S$1000,3)+1.5*(_xlfn.QUARTILE.INC(Fumosimontana!S$2:S$1000,3)-_xlfn.QUARTILE.INC(Fumosimontana!S$2:S$1000,1)),MAX(Fumosimontana!S$2:S$1000),"") &amp; ") mm"</f>
        <v>() 58.049–179.083 () mm</v>
      </c>
      <c r="R37" s="5" t="str">
        <f>"(" &amp; IF(MIN(Fumosimontana!T$2:T$1000)&lt;_xlfn.QUARTILE.INC(Fumosimontana!T$2:T$1000,1)-1.5*(_xlfn.QUARTILE.INC(Fumosimontana!T$2:T$1000,3)-_xlfn.QUARTILE.INC(Fumosimontana!T$2:T$1000,1)),MIN(Fumosimontana!T$2:T$1000),"") &amp; ") " &amp; _xlfn.MINIFS(Fumosimontana!T$2:T$1000, Fumosimontana!T$2:T$1000, "&gt;=" &amp; _xlfn.QUARTILE.INC(Fumosimontana!T$2:T$1000,1)-1.5*(_xlfn.QUARTILE.INC(Fumosimontana!T$2:T$1000,3)-_xlfn.QUARTILE.INC(Fumosimontana!T$2:T$1000,1)), Fumosimontana!T$2:T$1000, "&lt;=" &amp; _xlfn.QUARTILE.INC(Fumosimontana!T$2:T$1000,3)+1.5*(_xlfn.QUARTILE.INC(Fumosimontana!T$2:T$1000,3)-_xlfn.QUARTILE.INC(Fumosimontana!T$2:T$1000,1))) &amp; "–" &amp; _xlfn.MAXIFS(Fumosimontana!T$2:T$1000, Fumosimontana!T$2:T$1000, "&gt;=" &amp; _xlfn.QUARTILE.INC(Fumosimontana!T$2:T$1000,1)-1.5*(_xlfn.QUARTILE.INC(Fumosimontana!T$2:T$1000,3)-_xlfn.QUARTILE.INC(Fumosimontana!T$2:T$1000,1)), Fumosimontana!T$2:T$1000, "&lt;=" &amp; _xlfn.QUARTILE.INC(Fumosimontana!T$2:T$1000,3)+1.5*(_xlfn.QUARTILE.INC(Fumosimontana!T$2:T$1000,3)-_xlfn.QUARTILE.INC(Fumosimontana!T$2:T$1000,1))) &amp; " (" &amp; IF(MAX(Fumosimontana!T$2:T$1000)&gt;_xlfn.QUARTILE.INC(Fumosimontana!T$2:T$1000,3)+1.5*(_xlfn.QUARTILE.INC(Fumosimontana!T$2:T$1000,3)-_xlfn.QUARTILE.INC(Fumosimontana!T$2:T$1000,1)),MAX(Fumosimontana!T$2:T$1000),"") &amp; ") mm"</f>
        <v>() 48.738–78.959 () mm</v>
      </c>
      <c r="S37" s="5" t="str">
        <f>"(" &amp; IF(MIN(Fumosimontana!U$2:U$1000)&lt;_xlfn.QUARTILE.INC(Fumosimontana!U$2:U$1000,1)-1.5*(_xlfn.QUARTILE.INC(Fumosimontana!U$2:U$1000,3)-_xlfn.QUARTILE.INC(Fumosimontana!U$2:U$1000,1)),MIN(Fumosimontana!U$2:U$1000),"") &amp; ") " &amp; _xlfn.MINIFS(Fumosimontana!U$2:U$1000, Fumosimontana!U$2:U$1000, "&gt;=" &amp; _xlfn.QUARTILE.INC(Fumosimontana!U$2:U$1000,1)-1.5*(_xlfn.QUARTILE.INC(Fumosimontana!U$2:U$1000,3)-_xlfn.QUARTILE.INC(Fumosimontana!U$2:U$1000,1)), Fumosimontana!U$2:U$1000, "&lt;=" &amp; _xlfn.QUARTILE.INC(Fumosimontana!U$2:U$1000,3)+1.5*(_xlfn.QUARTILE.INC(Fumosimontana!U$2:U$1000,3)-_xlfn.QUARTILE.INC(Fumosimontana!U$2:U$1000,1))) &amp; "–" &amp; _xlfn.MAXIFS(Fumosimontana!U$2:U$1000, Fumosimontana!U$2:U$1000, "&gt;=" &amp; _xlfn.QUARTILE.INC(Fumosimontana!U$2:U$1000,1)-1.5*(_xlfn.QUARTILE.INC(Fumosimontana!U$2:U$1000,3)-_xlfn.QUARTILE.INC(Fumosimontana!U$2:U$1000,1)), Fumosimontana!U$2:U$1000, "&lt;=" &amp; _xlfn.QUARTILE.INC(Fumosimontana!U$2:U$1000,3)+1.5*(_xlfn.QUARTILE.INC(Fumosimontana!U$2:U$1000,3)-_xlfn.QUARTILE.INC(Fumosimontana!U$2:U$1000,1))) &amp; " (" &amp; IF(MAX(Fumosimontana!U$2:U$1000)&gt;_xlfn.QUARTILE.INC(Fumosimontana!U$2:U$1000,3)+1.5*(_xlfn.QUARTILE.INC(Fumosimontana!U$2:U$1000,3)-_xlfn.QUARTILE.INC(Fumosimontana!U$2:U$1000,1)),MAX(Fumosimontana!U$2:U$1000),"") &amp; ") mm"</f>
        <v>() 54.192–92.134 () mm</v>
      </c>
      <c r="T37" s="5" t="str">
        <f>"(" &amp; IF(MIN(Fumosimontana!V$2:V$1000)&lt;_xlfn.QUARTILE.INC(Fumosimontana!V$2:V$1000,1)-1.5*(_xlfn.QUARTILE.INC(Fumosimontana!V$2:V$1000,3)-_xlfn.QUARTILE.INC(Fumosimontana!V$2:V$1000,1)),MIN(Fumosimontana!V$2:V$1000),"") &amp; ") " &amp; _xlfn.MINIFS(Fumosimontana!V$2:V$1000, Fumosimontana!V$2:V$1000, "&gt;=" &amp; _xlfn.QUARTILE.INC(Fumosimontana!V$2:V$1000,1)-1.5*(_xlfn.QUARTILE.INC(Fumosimontana!V$2:V$1000,3)-_xlfn.QUARTILE.INC(Fumosimontana!V$2:V$1000,1)), Fumosimontana!V$2:V$1000, "&lt;=" &amp; _xlfn.QUARTILE.INC(Fumosimontana!V$2:V$1000,3)+1.5*(_xlfn.QUARTILE.INC(Fumosimontana!V$2:V$1000,3)-_xlfn.QUARTILE.INC(Fumosimontana!V$2:V$1000,1))) &amp; "–" &amp; _xlfn.MAXIFS(Fumosimontana!V$2:V$1000, Fumosimontana!V$2:V$1000, "&gt;=" &amp; _xlfn.QUARTILE.INC(Fumosimontana!V$2:V$1000,1)-1.5*(_xlfn.QUARTILE.INC(Fumosimontana!V$2:V$1000,3)-_xlfn.QUARTILE.INC(Fumosimontana!V$2:V$1000,1)), Fumosimontana!V$2:V$1000, "&lt;=" &amp; _xlfn.QUARTILE.INC(Fumosimontana!V$2:V$1000,3)+1.5*(_xlfn.QUARTILE.INC(Fumosimontana!V$2:V$1000,3)-_xlfn.QUARTILE.INC(Fumosimontana!V$2:V$1000,1))) &amp; " (" &amp; IF(MAX(Fumosimontana!V$2:V$1000)&gt;_xlfn.QUARTILE.INC(Fumosimontana!V$2:V$1000,3)+1.5*(_xlfn.QUARTILE.INC(Fumosimontana!V$2:V$1000,3)-_xlfn.QUARTILE.INC(Fumosimontana!V$2:V$1000,1)),MAX(Fumosimontana!V$2:V$1000),"") &amp; ") mm"</f>
        <v>() 3.281–3.88 () mm</v>
      </c>
      <c r="U37" s="5" t="str">
        <f>"(" &amp; IF(MIN(Fumosimontana!W$2:W$1000)&lt;_xlfn.QUARTILE.INC(Fumosimontana!W$2:W$1000,1)-1.5*(_xlfn.QUARTILE.INC(Fumosimontana!W$2:W$1000,3)-_xlfn.QUARTILE.INC(Fumosimontana!W$2:W$1000,1)),MIN(Fumosimontana!W$2:W$1000),"") &amp; ") " &amp; _xlfn.MINIFS(Fumosimontana!W$2:W$1000, Fumosimontana!W$2:W$1000, "&gt;=" &amp; _xlfn.QUARTILE.INC(Fumosimontana!W$2:W$1000,1)-1.5*(_xlfn.QUARTILE.INC(Fumosimontana!W$2:W$1000,3)-_xlfn.QUARTILE.INC(Fumosimontana!W$2:W$1000,1)), Fumosimontana!W$2:W$1000, "&lt;=" &amp; _xlfn.QUARTILE.INC(Fumosimontana!W$2:W$1000,3)+1.5*(_xlfn.QUARTILE.INC(Fumosimontana!W$2:W$1000,3)-_xlfn.QUARTILE.INC(Fumosimontana!W$2:W$1000,1))) &amp; "–" &amp; _xlfn.MAXIFS(Fumosimontana!W$2:W$1000, Fumosimontana!W$2:W$1000, "&gt;=" &amp; _xlfn.QUARTILE.INC(Fumosimontana!W$2:W$1000,1)-1.5*(_xlfn.QUARTILE.INC(Fumosimontana!W$2:W$1000,3)-_xlfn.QUARTILE.INC(Fumosimontana!W$2:W$1000,1)), Fumosimontana!W$2:W$1000, "&lt;=" &amp; _xlfn.QUARTILE.INC(Fumosimontana!W$2:W$1000,3)+1.5*(_xlfn.QUARTILE.INC(Fumosimontana!W$2:W$1000,3)-_xlfn.QUARTILE.INC(Fumosimontana!W$2:W$1000,1))) &amp; " (" &amp; IF(MAX(Fumosimontana!W$2:W$1000)&gt;_xlfn.QUARTILE.INC(Fumosimontana!W$2:W$1000,3)+1.5*(_xlfn.QUARTILE.INC(Fumosimontana!W$2:W$1000,3)-_xlfn.QUARTILE.INC(Fumosimontana!W$2:W$1000,1)),MAX(Fumosimontana!W$2:W$1000),"") &amp; ") mm"</f>
        <v>() 4.9–5.996 () mm</v>
      </c>
      <c r="V37" s="5" t="str">
        <f>"(" &amp; IF(MIN(Fumosimontana!X$2:X$1000)&lt;_xlfn.QUARTILE.INC(Fumosimontana!X$2:X$1000,1)-1.5*(_xlfn.QUARTILE.INC(Fumosimontana!X$2:X$1000,3)-_xlfn.QUARTILE.INC(Fumosimontana!X$2:X$1000,1)),MIN(Fumosimontana!X$2:X$1000),"") &amp; ") " &amp; _xlfn.MINIFS(Fumosimontana!X$2:X$1000, Fumosimontana!X$2:X$1000, "&gt;=" &amp; _xlfn.QUARTILE.INC(Fumosimontana!X$2:X$1000,1)-1.5*(_xlfn.QUARTILE.INC(Fumosimontana!X$2:X$1000,3)-_xlfn.QUARTILE.INC(Fumosimontana!X$2:X$1000,1)), Fumosimontana!X$2:X$1000, "&lt;=" &amp; _xlfn.QUARTILE.INC(Fumosimontana!X$2:X$1000,3)+1.5*(_xlfn.QUARTILE.INC(Fumosimontana!X$2:X$1000,3)-_xlfn.QUARTILE.INC(Fumosimontana!X$2:X$1000,1))) &amp; "–" &amp; _xlfn.MAXIFS(Fumosimontana!X$2:X$1000, Fumosimontana!X$2:X$1000, "&gt;=" &amp; _xlfn.QUARTILE.INC(Fumosimontana!X$2:X$1000,1)-1.5*(_xlfn.QUARTILE.INC(Fumosimontana!X$2:X$1000,3)-_xlfn.QUARTILE.INC(Fumosimontana!X$2:X$1000,1)), Fumosimontana!X$2:X$1000, "&lt;=" &amp; _xlfn.QUARTILE.INC(Fumosimontana!X$2:X$1000,3)+1.5*(_xlfn.QUARTILE.INC(Fumosimontana!X$2:X$1000,3)-_xlfn.QUARTILE.INC(Fumosimontana!X$2:X$1000,1))) &amp; " (" &amp; IF(MAX(Fumosimontana!X$2:X$1000)&gt;_xlfn.QUARTILE.INC(Fumosimontana!X$2:X$1000,3)+1.5*(_xlfn.QUARTILE.INC(Fumosimontana!X$2:X$1000,3)-_xlfn.QUARTILE.INC(Fumosimontana!X$2:X$1000,1)),MAX(Fumosimontana!X$2:X$1000),"") &amp; ") mm"</f>
        <v>() 4–12 () mm</v>
      </c>
      <c r="W37" s="5" t="str">
        <f>"(" &amp; IF(MIN(Fumosimontana!Y$2:Y$1000)&lt;_xlfn.QUARTILE.INC(Fumosimontana!Y$2:Y$1000,1)-1.5*(_xlfn.QUARTILE.INC(Fumosimontana!Y$2:Y$1000,3)-_xlfn.QUARTILE.INC(Fumosimontana!Y$2:Y$1000,1)),MIN(Fumosimontana!Y$2:Y$1000),"") &amp; ") " &amp; _xlfn.MINIFS(Fumosimontana!Y$2:Y$1000, Fumosimontana!Y$2:Y$1000, "&gt;=" &amp; _xlfn.QUARTILE.INC(Fumosimontana!Y$2:Y$1000,1)-1.5*(_xlfn.QUARTILE.INC(Fumosimontana!Y$2:Y$1000,3)-_xlfn.QUARTILE.INC(Fumosimontana!Y$2:Y$1000,1)), Fumosimontana!Y$2:Y$1000, "&lt;=" &amp; _xlfn.QUARTILE.INC(Fumosimontana!Y$2:Y$1000,3)+1.5*(_xlfn.QUARTILE.INC(Fumosimontana!Y$2:Y$1000,3)-_xlfn.QUARTILE.INC(Fumosimontana!Y$2:Y$1000,1))) &amp; "–" &amp; _xlfn.MAXIFS(Fumosimontana!Y$2:Y$1000, Fumosimontana!Y$2:Y$1000, "&gt;=" &amp; _xlfn.QUARTILE.INC(Fumosimontana!Y$2:Y$1000,1)-1.5*(_xlfn.QUARTILE.INC(Fumosimontana!Y$2:Y$1000,3)-_xlfn.QUARTILE.INC(Fumosimontana!Y$2:Y$1000,1)), Fumosimontana!Y$2:Y$1000, "&lt;=" &amp; _xlfn.QUARTILE.INC(Fumosimontana!Y$2:Y$1000,3)+1.5*(_xlfn.QUARTILE.INC(Fumosimontana!Y$2:Y$1000,3)-_xlfn.QUARTILE.INC(Fumosimontana!Y$2:Y$1000,1))) &amp; " (" &amp; IF(MAX(Fumosimontana!Y$2:Y$1000)&gt;_xlfn.QUARTILE.INC(Fumosimontana!Y$2:Y$1000,3)+1.5*(_xlfn.QUARTILE.INC(Fumosimontana!Y$2:Y$1000,3)-_xlfn.QUARTILE.INC(Fumosimontana!Y$2:Y$1000,1)),MAX(Fumosimontana!Y$2:Y$1000),"") &amp; ") mm"</f>
        <v>() 23.822–43.368 () mm</v>
      </c>
      <c r="X37" s="5" t="str">
        <f>"(" &amp; IF(MIN(Fumosimontana!Z$2:Z$1000)&lt;_xlfn.QUARTILE.INC(Fumosimontana!Z$2:Z$1000,1)-1.5*(_xlfn.QUARTILE.INC(Fumosimontana!Z$2:Z$1000,3)-_xlfn.QUARTILE.INC(Fumosimontana!Z$2:Z$1000,1)),MIN(Fumosimontana!Z$2:Z$1000),"") &amp; ") " &amp; _xlfn.MINIFS(Fumosimontana!Z$2:Z$1000, Fumosimontana!Z$2:Z$1000, "&gt;=" &amp; _xlfn.QUARTILE.INC(Fumosimontana!Z$2:Z$1000,1)-1.5*(_xlfn.QUARTILE.INC(Fumosimontana!Z$2:Z$1000,3)-_xlfn.QUARTILE.INC(Fumosimontana!Z$2:Z$1000,1)), Fumosimontana!Z$2:Z$1000, "&lt;=" &amp; _xlfn.QUARTILE.INC(Fumosimontana!Z$2:Z$1000,3)+1.5*(_xlfn.QUARTILE.INC(Fumosimontana!Z$2:Z$1000,3)-_xlfn.QUARTILE.INC(Fumosimontana!Z$2:Z$1000,1))) &amp; "–" &amp; _xlfn.MAXIFS(Fumosimontana!Z$2:Z$1000, Fumosimontana!Z$2:Z$1000, "&gt;=" &amp; _xlfn.QUARTILE.INC(Fumosimontana!Z$2:Z$1000,1)-1.5*(_xlfn.QUARTILE.INC(Fumosimontana!Z$2:Z$1000,3)-_xlfn.QUARTILE.INC(Fumosimontana!Z$2:Z$1000,1)), Fumosimontana!Z$2:Z$1000, "&lt;=" &amp; _xlfn.QUARTILE.INC(Fumosimontana!Z$2:Z$1000,3)+1.5*(_xlfn.QUARTILE.INC(Fumosimontana!Z$2:Z$1000,3)-_xlfn.QUARTILE.INC(Fumosimontana!Z$2:Z$1000,1))) &amp; " (" &amp; IF(MAX(Fumosimontana!Z$2:Z$1000)&gt;_xlfn.QUARTILE.INC(Fumosimontana!Z$2:Z$1000,3)+1.5*(_xlfn.QUARTILE.INC(Fumosimontana!Z$2:Z$1000,3)-_xlfn.QUARTILE.INC(Fumosimontana!Z$2:Z$1000,1)),MAX(Fumosimontana!Z$2:Z$1000),"") &amp; ") mm"</f>
        <v>(0.826) 1.05–1.298 (1.775) mm</v>
      </c>
      <c r="Y37" s="5" t="str">
        <f>"(" &amp; IF(MIN(Fumosimontana!AA$2:AA$1000)&lt;_xlfn.QUARTILE.INC(Fumosimontana!AA$2:AA$1000,1)-1.5*(_xlfn.QUARTILE.INC(Fumosimontana!AA$2:AA$1000,3)-_xlfn.QUARTILE.INC(Fumosimontana!AA$2:AA$1000,1)),MIN(Fumosimontana!AA$2:AA$1000),"") &amp; ") " &amp; _xlfn.MINIFS(Fumosimontana!AA$2:AA$1000, Fumosimontana!AA$2:AA$1000, "&gt;=" &amp; _xlfn.QUARTILE.INC(Fumosimontana!AA$2:AA$1000,1)-1.5*(_xlfn.QUARTILE.INC(Fumosimontana!AA$2:AA$1000,3)-_xlfn.QUARTILE.INC(Fumosimontana!AA$2:AA$1000,1)), Fumosimontana!AA$2:AA$1000, "&lt;=" &amp; _xlfn.QUARTILE.INC(Fumosimontana!AA$2:AA$1000,3)+1.5*(_xlfn.QUARTILE.INC(Fumosimontana!AA$2:AA$1000,3)-_xlfn.QUARTILE.INC(Fumosimontana!AA$2:AA$1000,1))) &amp; "–" &amp; _xlfn.MAXIFS(Fumosimontana!AA$2:AA$1000, Fumosimontana!AA$2:AA$1000, "&gt;=" &amp; _xlfn.QUARTILE.INC(Fumosimontana!AA$2:AA$1000,1)-1.5*(_xlfn.QUARTILE.INC(Fumosimontana!AA$2:AA$1000,3)-_xlfn.QUARTILE.INC(Fumosimontana!AA$2:AA$1000,1)), Fumosimontana!AA$2:AA$1000, "&lt;=" &amp; _xlfn.QUARTILE.INC(Fumosimontana!AA$2:AA$1000,3)+1.5*(_xlfn.QUARTILE.INC(Fumosimontana!AA$2:AA$1000,3)-_xlfn.QUARTILE.INC(Fumosimontana!AA$2:AA$1000,1))) &amp; " (" &amp; IF(MAX(Fumosimontana!AA$2:AA$1000)&gt;_xlfn.QUARTILE.INC(Fumosimontana!AA$2:AA$1000,3)+1.5*(_xlfn.QUARTILE.INC(Fumosimontana!AA$2:AA$1000,3)-_xlfn.QUARTILE.INC(Fumosimontana!AA$2:AA$1000,1)),MAX(Fumosimontana!AA$2:AA$1000),"") &amp; ") mm"</f>
        <v>() 1.771–3.88 () mm</v>
      </c>
    </row>
    <row r="38" spans="1:25" s="3" customFormat="1" x14ac:dyDescent="0.2">
      <c r="A38" s="3" t="s">
        <v>104</v>
      </c>
      <c r="B38" s="3" t="s">
        <v>217</v>
      </c>
      <c r="C38" s="3" cm="1">
        <f t="array" ref="C38">_xlfn.QUARTILE.INC(_xlfn._xlws.FILTER(Grayana!E$2:E1000, Grayana!E$2:E1000&lt;&gt;""), 1)</f>
        <v>1.2115</v>
      </c>
      <c r="D38" s="3" cm="1">
        <f t="array" ref="D38">_xlfn.QUARTILE.INC(_xlfn._xlws.FILTER(Grayana!F$2:F1000, Grayana!F$2:F1000&lt;&gt;""), 1)</f>
        <v>0.6944999999999999</v>
      </c>
      <c r="E38" s="3" cm="1">
        <f t="array" ref="E38">_xlfn.QUARTILE.INC(_xlfn._xlws.FILTER(Grayana!G$2:G1000, Grayana!G$2:G1000&lt;&gt;""), 1)</f>
        <v>0</v>
      </c>
      <c r="F38" s="3" cm="1">
        <f t="array" ref="F38">_xlfn.QUARTILE.INC(_xlfn._xlws.FILTER(Grayana!H$2:H1000, Grayana!H$2:H1000&lt;&gt;""), 1)</f>
        <v>3.968</v>
      </c>
      <c r="G38" s="3" cm="1">
        <f t="array" ref="G38">_xlfn.QUARTILE.INC(_xlfn._xlws.FILTER(Grayana!I$2:I1000, Grayana!I$2:I1000&lt;&gt;""), 1)</f>
        <v>1.655</v>
      </c>
      <c r="H38" s="3" cm="1">
        <f t="array" ref="H38">_xlfn.QUARTILE.INC(_xlfn._xlws.FILTER(Grayana!J$2:J1000, Grayana!J$2:J1000&lt;&gt;""), 1)</f>
        <v>5.1672500000000001</v>
      </c>
      <c r="I38" s="3" cm="1">
        <f t="array" ref="I38">_xlfn.QUARTILE.INC(_xlfn._xlws.FILTER(Grayana!K$2:K1000, Grayana!K$2:K1000&lt;&gt;""), 1)</f>
        <v>2.0830000000000002</v>
      </c>
      <c r="J38" s="3" cm="1">
        <f t="array" ref="J38">_xlfn.QUARTILE.INC(_xlfn._xlws.FILTER(Grayana!L$2:L1000, Grayana!L$2:L1000&lt;&gt;""), 1)</f>
        <v>1.1930000000000001</v>
      </c>
      <c r="K38" s="3" cm="1">
        <f t="array" ref="K38">_xlfn.QUARTILE.INC(_xlfn._xlws.FILTER(Grayana!M$2:M1000, Grayana!M$2:M1000&lt;&gt;""), 1)</f>
        <v>2.24675</v>
      </c>
      <c r="L38" s="3" cm="1">
        <f t="array" ref="L38">_xlfn.QUARTILE.INC(_xlfn._xlws.FILTER(Grayana!N$2:N1000, Grayana!N$2:N1000&lt;&gt;""), 1)</f>
        <v>1.8602500000000002</v>
      </c>
      <c r="M38" s="3" cm="1">
        <f t="array" ref="M38">_xlfn.QUARTILE.INC(_xlfn._xlws.FILTER(Grayana!O$2:O1000, Grayana!O$2:O1000&lt;&gt;""), 1)</f>
        <v>1.849</v>
      </c>
      <c r="N38" s="3" cm="1">
        <f t="array" ref="N38">_xlfn.QUARTILE.INC(_xlfn._xlws.FILTER(Grayana!P$2:P1000, Grayana!P$2:P1000&lt;&gt;""), 1)</f>
        <v>1.853</v>
      </c>
      <c r="O38" s="3" cm="1">
        <f t="array" ref="O38">_xlfn.QUARTILE.INC(_xlfn._xlws.FILTER(Grayana!Q$2:Q1000, Grayana!Q$2:Q1000&lt;&gt;""), 1)</f>
        <v>7.8849999999999998</v>
      </c>
      <c r="P38" s="3" cm="1">
        <f t="array" ref="P38">_xlfn.QUARTILE.INC(_xlfn._xlws.FILTER(Grayana!R$2:R1000, Grayana!R$2:R1000&lt;&gt;""), 1)</f>
        <v>519.05799999999999</v>
      </c>
    </row>
    <row r="39" spans="1:25" s="3" customFormat="1" x14ac:dyDescent="0.2">
      <c r="A39" s="3" t="s">
        <v>104</v>
      </c>
      <c r="B39" s="3" t="s">
        <v>218</v>
      </c>
      <c r="C39" s="3" cm="1">
        <f t="array" ref="C39">_xlfn.QUARTILE.INC(_xlfn._xlws.FILTER(Grayana!E$2:E1000, Grayana!E$2:E1000&lt;&gt;""), 2)</f>
        <v>1.427</v>
      </c>
      <c r="D39" s="3" cm="1">
        <f t="array" ref="D39">_xlfn.QUARTILE.INC(_xlfn._xlws.FILTER(Grayana!F$2:F1000, Grayana!F$2:F1000&lt;&gt;""), 2)</f>
        <v>0.76700000000000002</v>
      </c>
      <c r="E39" s="3" cm="1">
        <f t="array" ref="E39">_xlfn.QUARTILE.INC(_xlfn._xlws.FILTER(Grayana!G$2:G1000, Grayana!G$2:G1000&lt;&gt;""), 2)</f>
        <v>0</v>
      </c>
      <c r="F39" s="3" cm="1">
        <f t="array" ref="F39">_xlfn.QUARTILE.INC(_xlfn._xlws.FILTER(Grayana!H$2:H1000, Grayana!H$2:H1000&lt;&gt;""), 2)</f>
        <v>4.726</v>
      </c>
      <c r="G39" s="3" cm="1">
        <f t="array" ref="G39">_xlfn.QUARTILE.INC(_xlfn._xlws.FILTER(Grayana!I$2:I1000, Grayana!I$2:I1000&lt;&gt;""), 2)</f>
        <v>2.2869999999999999</v>
      </c>
      <c r="H39" s="3" cm="1">
        <f t="array" ref="H39">_xlfn.QUARTILE.INC(_xlfn._xlws.FILTER(Grayana!J$2:J1000, Grayana!J$2:J1000&lt;&gt;""), 2)</f>
        <v>6.2080000000000002</v>
      </c>
      <c r="I39" s="3" cm="1">
        <f t="array" ref="I39">_xlfn.QUARTILE.INC(_xlfn._xlws.FILTER(Grayana!K$2:K1000, Grayana!K$2:K1000&lt;&gt;""), 2)</f>
        <v>2.6989999999999998</v>
      </c>
      <c r="J39" s="3" cm="1">
        <f t="array" ref="J39">_xlfn.QUARTILE.INC(_xlfn._xlws.FILTER(Grayana!L$2:L1000, Grayana!L$2:L1000&lt;&gt;""), 2)</f>
        <v>1.865</v>
      </c>
      <c r="K39" s="3" cm="1">
        <f t="array" ref="K39">_xlfn.QUARTILE.INC(_xlfn._xlws.FILTER(Grayana!M$2:M1000, Grayana!M$2:M1000&lt;&gt;""), 2)</f>
        <v>2.3725000000000001</v>
      </c>
      <c r="L39" s="3" cm="1">
        <f t="array" ref="L39">_xlfn.QUARTILE.INC(_xlfn._xlws.FILTER(Grayana!N$2:N1000, Grayana!N$2:N1000&lt;&gt;""), 2)</f>
        <v>2.1524999999999999</v>
      </c>
      <c r="M39" s="3" cm="1">
        <f t="array" ref="M39">_xlfn.QUARTILE.INC(_xlfn._xlws.FILTER(Grayana!O$2:O1000, Grayana!O$2:O1000&lt;&gt;""), 2)</f>
        <v>2.4220000000000002</v>
      </c>
      <c r="N39" s="3" cm="1">
        <f t="array" ref="N39">_xlfn.QUARTILE.INC(_xlfn._xlws.FILTER(Grayana!P$2:P1000, Grayana!P$2:P1000&lt;&gt;""), 2)</f>
        <v>2.5350000000000001</v>
      </c>
      <c r="O39" s="3" cm="1">
        <f t="array" ref="O39">_xlfn.QUARTILE.INC(_xlfn._xlws.FILTER(Grayana!Q$2:Q1000, Grayana!Q$2:Q1000&lt;&gt;""), 2)</f>
        <v>10.571</v>
      </c>
      <c r="P39" s="3" cm="1">
        <f t="array" ref="P39">_xlfn.QUARTILE.INC(_xlfn._xlws.FILTER(Grayana!R$2:R1000, Grayana!R$2:R1000&lt;&gt;""), 2)</f>
        <v>657.42599999999993</v>
      </c>
    </row>
    <row r="40" spans="1:25" s="3" customFormat="1" x14ac:dyDescent="0.2">
      <c r="A40" s="3" t="s">
        <v>104</v>
      </c>
      <c r="B40" s="3" t="s">
        <v>219</v>
      </c>
      <c r="C40" s="3" cm="1">
        <f t="array" ref="C40">_xlfn.QUARTILE.INC(_xlfn._xlws.FILTER(Grayana!E$2:E1000, Grayana!E$2:E1000&lt;&gt;""), 3)</f>
        <v>1.651</v>
      </c>
      <c r="D40" s="3" cm="1">
        <f t="array" ref="D40">_xlfn.QUARTILE.INC(_xlfn._xlws.FILTER(Grayana!F$2:F1000, Grayana!F$2:F1000&lt;&gt;""), 3)</f>
        <v>0.90650000000000008</v>
      </c>
      <c r="E40" s="3" cm="1">
        <f t="array" ref="E40">_xlfn.QUARTILE.INC(_xlfn._xlws.FILTER(Grayana!G$2:G1000, Grayana!G$2:G1000&lt;&gt;""), 3)</f>
        <v>0</v>
      </c>
      <c r="F40" s="3" cm="1">
        <f t="array" ref="F40">_xlfn.QUARTILE.INC(_xlfn._xlws.FILTER(Grayana!H$2:H1000, Grayana!H$2:H1000&lt;&gt;""), 3)</f>
        <v>6.1715</v>
      </c>
      <c r="G40" s="3" cm="1">
        <f t="array" ref="G40">_xlfn.QUARTILE.INC(_xlfn._xlws.FILTER(Grayana!I$2:I1000, Grayana!I$2:I1000&lt;&gt;""), 3)</f>
        <v>2.7015000000000002</v>
      </c>
      <c r="H40" s="3" cm="1">
        <f t="array" ref="H40">_xlfn.QUARTILE.INC(_xlfn._xlws.FILTER(Grayana!J$2:J1000, Grayana!J$2:J1000&lt;&gt;""), 3)</f>
        <v>7.2789999999999999</v>
      </c>
      <c r="I40" s="3" cm="1">
        <f t="array" ref="I40">_xlfn.QUARTILE.INC(_xlfn._xlws.FILTER(Grayana!K$2:K1000, Grayana!K$2:K1000&lt;&gt;""), 3)</f>
        <v>3.5230000000000001</v>
      </c>
      <c r="J40" s="3" cm="1">
        <f t="array" ref="J40">_xlfn.QUARTILE.INC(_xlfn._xlws.FILTER(Grayana!L$2:L1000, Grayana!L$2:L1000&lt;&gt;""), 3)</f>
        <v>2.5880000000000001</v>
      </c>
      <c r="K40" s="3" cm="1">
        <f t="array" ref="K40">_xlfn.QUARTILE.INC(_xlfn._xlws.FILTER(Grayana!M$2:M1000, Grayana!M$2:M1000&lt;&gt;""), 3)</f>
        <v>2.6952500000000001</v>
      </c>
      <c r="L40" s="3" cm="1">
        <f t="array" ref="L40">_xlfn.QUARTILE.INC(_xlfn._xlws.FILTER(Grayana!N$2:N1000, Grayana!N$2:N1000&lt;&gt;""), 3)</f>
        <v>2.5390000000000001</v>
      </c>
      <c r="M40" s="3" cm="1">
        <f t="array" ref="M40">_xlfn.QUARTILE.INC(_xlfn._xlws.FILTER(Grayana!O$2:O1000, Grayana!O$2:O1000&lt;&gt;""), 3)</f>
        <v>2.8694999999999999</v>
      </c>
      <c r="N40" s="3" cm="1">
        <f t="array" ref="N40">_xlfn.QUARTILE.INC(_xlfn._xlws.FILTER(Grayana!P$2:P1000, Grayana!P$2:P1000&lt;&gt;""), 3)</f>
        <v>3.1760000000000002</v>
      </c>
      <c r="O40" s="3" cm="1">
        <f t="array" ref="O40">_xlfn.QUARTILE.INC(_xlfn._xlws.FILTER(Grayana!Q$2:Q1000, Grayana!Q$2:Q1000&lt;&gt;""), 3)</f>
        <v>13.968999999999999</v>
      </c>
      <c r="P40" s="3" cm="1">
        <f t="array" ref="P40">_xlfn.QUARTILE.INC(_xlfn._xlws.FILTER(Grayana!R$2:R1000, Grayana!R$2:R1000&lt;&gt;""), 3)</f>
        <v>751.36474999999996</v>
      </c>
    </row>
    <row r="41" spans="1:25" s="3" customFormat="1" x14ac:dyDescent="0.2">
      <c r="A41" s="3" t="s">
        <v>104</v>
      </c>
      <c r="B41" s="3" t="s">
        <v>220</v>
      </c>
      <c r="C41" s="3" cm="1">
        <f t="array" ref="C41">_xlfn.QUARTILE.INC(_xlfn._xlws.FILTER(Grayana!E$2:E1000, Grayana!E$2:E1000&lt;&gt;""), 3) - _xlfn.QUARTILE.INC(_xlfn._xlws.FILTER(Grayana!E$2:E1000, Grayana!E$2:E1000&lt;&gt;""), 1)</f>
        <v>0.4395</v>
      </c>
      <c r="D41" s="3" cm="1">
        <f t="array" ref="D41">_xlfn.QUARTILE.INC(_xlfn._xlws.FILTER(Grayana!F$2:F1000, Grayana!F$2:F1000&lt;&gt;""), 3) - _xlfn.QUARTILE.INC(_xlfn._xlws.FILTER(Grayana!F$2:F1000, Grayana!F$2:F1000&lt;&gt;""), 1)</f>
        <v>0.21200000000000019</v>
      </c>
      <c r="E41" s="3" cm="1">
        <f t="array" ref="E41">_xlfn.QUARTILE.INC(_xlfn._xlws.FILTER(Grayana!G$2:G1000, Grayana!G$2:G1000&lt;&gt;""), 3) - _xlfn.QUARTILE.INC(_xlfn._xlws.FILTER(Grayana!G$2:G1000, Grayana!G$2:G1000&lt;&gt;""), 1)</f>
        <v>0</v>
      </c>
      <c r="F41" s="3" cm="1">
        <f t="array" ref="F41">_xlfn.QUARTILE.INC(_xlfn._xlws.FILTER(Grayana!H$2:H1000, Grayana!H$2:H1000&lt;&gt;""), 3) - _xlfn.QUARTILE.INC(_xlfn._xlws.FILTER(Grayana!H$2:H1000, Grayana!H$2:H1000&lt;&gt;""), 1)</f>
        <v>2.2035</v>
      </c>
      <c r="G41" s="3" cm="1">
        <f t="array" ref="G41">_xlfn.QUARTILE.INC(_xlfn._xlws.FILTER(Grayana!I$2:I1000, Grayana!I$2:I1000&lt;&gt;""), 3) - _xlfn.QUARTILE.INC(_xlfn._xlws.FILTER(Grayana!I$2:I1000, Grayana!I$2:I1000&lt;&gt;""), 1)</f>
        <v>1.0465000000000002</v>
      </c>
      <c r="H41" s="3" cm="1">
        <f t="array" ref="H41">_xlfn.QUARTILE.INC(_xlfn._xlws.FILTER(Grayana!J$2:J1000, Grayana!J$2:J1000&lt;&gt;""), 3) - _xlfn.QUARTILE.INC(_xlfn._xlws.FILTER(Grayana!J$2:J1000, Grayana!J$2:J1000&lt;&gt;""), 1)</f>
        <v>2.1117499999999998</v>
      </c>
      <c r="I41" s="3" cm="1">
        <f t="array" ref="I41">_xlfn.QUARTILE.INC(_xlfn._xlws.FILTER(Grayana!K$2:K1000, Grayana!K$2:K1000&lt;&gt;""), 3) - _xlfn.QUARTILE.INC(_xlfn._xlws.FILTER(Grayana!K$2:K1000, Grayana!K$2:K1000&lt;&gt;""), 1)</f>
        <v>1.44</v>
      </c>
      <c r="J41" s="3" cm="1">
        <f t="array" ref="J41">_xlfn.QUARTILE.INC(_xlfn._xlws.FILTER(Grayana!L$2:L1000, Grayana!L$2:L1000&lt;&gt;""), 3) - _xlfn.QUARTILE.INC(_xlfn._xlws.FILTER(Grayana!L$2:L1000, Grayana!L$2:L1000&lt;&gt;""), 1)</f>
        <v>1.395</v>
      </c>
      <c r="K41" s="3" cm="1">
        <f t="array" ref="K41">_xlfn.QUARTILE.INC(_xlfn._xlws.FILTER(Grayana!M$2:M1000, Grayana!M$2:M1000&lt;&gt;""), 3) - _xlfn.QUARTILE.INC(_xlfn._xlws.FILTER(Grayana!M$2:M1000, Grayana!M$2:M1000&lt;&gt;""), 1)</f>
        <v>0.44850000000000012</v>
      </c>
      <c r="L41" s="3" cm="1">
        <f t="array" ref="L41">_xlfn.QUARTILE.INC(_xlfn._xlws.FILTER(Grayana!N$2:N1000, Grayana!N$2:N1000&lt;&gt;""), 3) - _xlfn.QUARTILE.INC(_xlfn._xlws.FILTER(Grayana!N$2:N1000, Grayana!N$2:N1000&lt;&gt;""), 1)</f>
        <v>0.67874999999999996</v>
      </c>
      <c r="M41" s="3" cm="1">
        <f t="array" ref="M41">_xlfn.QUARTILE.INC(_xlfn._xlws.FILTER(Grayana!O$2:O1000, Grayana!O$2:O1000&lt;&gt;""), 3) - _xlfn.QUARTILE.INC(_xlfn._xlws.FILTER(Grayana!O$2:O1000, Grayana!O$2:O1000&lt;&gt;""), 1)</f>
        <v>1.0205</v>
      </c>
      <c r="N41" s="3" cm="1">
        <f t="array" ref="N41">_xlfn.QUARTILE.INC(_xlfn._xlws.FILTER(Grayana!P$2:P1000, Grayana!P$2:P1000&lt;&gt;""), 3) - _xlfn.QUARTILE.INC(_xlfn._xlws.FILTER(Grayana!P$2:P1000, Grayana!P$2:P1000&lt;&gt;""), 1)</f>
        <v>1.3230000000000002</v>
      </c>
      <c r="O41" s="3" cm="1">
        <f t="array" ref="O41">_xlfn.QUARTILE.INC(_xlfn._xlws.FILTER(Grayana!Q$2:Q1000, Grayana!Q$2:Q1000&lt;&gt;""), 3) - _xlfn.QUARTILE.INC(_xlfn._xlws.FILTER(Grayana!Q$2:Q1000, Grayana!Q$2:Q1000&lt;&gt;""), 1)</f>
        <v>6.0839999999999996</v>
      </c>
      <c r="P41" s="3" cm="1">
        <f t="array" ref="P41">_xlfn.QUARTILE.INC(_xlfn._xlws.FILTER(Grayana!R$2:R1000, Grayana!R$2:R1000&lt;&gt;""), 3) - _xlfn.QUARTILE.INC(_xlfn._xlws.FILTER(Grayana!R$2:R1000, Grayana!R$2:R1000&lt;&gt;""), 1)</f>
        <v>232.30674999999997</v>
      </c>
    </row>
    <row r="42" spans="1:25" s="3" customFormat="1" x14ac:dyDescent="0.2">
      <c r="A42" s="3" t="s">
        <v>104</v>
      </c>
      <c r="B42" s="3" t="s">
        <v>221</v>
      </c>
      <c r="C42" s="3" cm="1">
        <f t="array" ref="C42">_xlfn.QUARTILE.INC(_xlfn._xlws.FILTER(Grayana!E$2:E1000, Grayana!E$2:E1000&lt;&gt;""), 1) - 1.5*(_xlfn.QUARTILE.INC(_xlfn._xlws.FILTER(Grayana!E$2:E1000, Grayana!E$2:E1000&lt;&gt;""), 3) - _xlfn.QUARTILE.INC(_xlfn._xlws.FILTER(Grayana!E$2:E1000, Grayana!E$2:E1000&lt;&gt;""), 1))</f>
        <v>0.55225000000000002</v>
      </c>
      <c r="D42" s="3" cm="1">
        <f t="array" ref="D42">_xlfn.QUARTILE.INC(_xlfn._xlws.FILTER(Grayana!F$2:F1000, Grayana!F$2:F1000&lt;&gt;""), 1) - 1.5*(_xlfn.QUARTILE.INC(_xlfn._xlws.FILTER(Grayana!F$2:F1000, Grayana!F$2:F1000&lt;&gt;""), 3) - _xlfn.QUARTILE.INC(_xlfn._xlws.FILTER(Grayana!F$2:F1000, Grayana!F$2:F1000&lt;&gt;""), 1))</f>
        <v>0.37649999999999961</v>
      </c>
      <c r="E42" s="3" cm="1">
        <f t="array" ref="E42">_xlfn.QUARTILE.INC(_xlfn._xlws.FILTER(Grayana!G$2:G1000, Grayana!G$2:G1000&lt;&gt;""), 1) - 1.5*(_xlfn.QUARTILE.INC(_xlfn._xlws.FILTER(Grayana!G$2:G1000, Grayana!G$2:G1000&lt;&gt;""), 3) - _xlfn.QUARTILE.INC(_xlfn._xlws.FILTER(Grayana!G$2:G1000, Grayana!G$2:G1000&lt;&gt;""), 1))</f>
        <v>0</v>
      </c>
      <c r="F42" s="3" cm="1">
        <f t="array" ref="F42">_xlfn.QUARTILE.INC(_xlfn._xlws.FILTER(Grayana!H$2:H1000, Grayana!H$2:H1000&lt;&gt;""), 1) - 1.5*(_xlfn.QUARTILE.INC(_xlfn._xlws.FILTER(Grayana!H$2:H1000, Grayana!H$2:H1000&lt;&gt;""), 3) - _xlfn.QUARTILE.INC(_xlfn._xlws.FILTER(Grayana!H$2:H1000, Grayana!H$2:H1000&lt;&gt;""), 1))</f>
        <v>0.66274999999999995</v>
      </c>
      <c r="G42" s="3" cm="1">
        <f t="array" ref="G42">_xlfn.QUARTILE.INC(_xlfn._xlws.FILTER(Grayana!I$2:I1000, Grayana!I$2:I1000&lt;&gt;""), 1) - 1.5*(_xlfn.QUARTILE.INC(_xlfn._xlws.FILTER(Grayana!I$2:I1000, Grayana!I$2:I1000&lt;&gt;""), 3) - _xlfn.QUARTILE.INC(_xlfn._xlws.FILTER(Grayana!I$2:I1000, Grayana!I$2:I1000&lt;&gt;""), 1))</f>
        <v>8.5249999999999604E-2</v>
      </c>
      <c r="H42" s="3" cm="1">
        <f t="array" ref="H42">_xlfn.QUARTILE.INC(_xlfn._xlws.FILTER(Grayana!J$2:J1000, Grayana!J$2:J1000&lt;&gt;""), 1) - 1.5*(_xlfn.QUARTILE.INC(_xlfn._xlws.FILTER(Grayana!J$2:J1000, Grayana!J$2:J1000&lt;&gt;""), 3) - _xlfn.QUARTILE.INC(_xlfn._xlws.FILTER(Grayana!J$2:J1000, Grayana!J$2:J1000&lt;&gt;""), 1))</f>
        <v>1.9996250000000004</v>
      </c>
      <c r="I42" s="3" cm="1">
        <f t="array" ref="I42">_xlfn.QUARTILE.INC(_xlfn._xlws.FILTER(Grayana!K$2:K1000, Grayana!K$2:K1000&lt;&gt;""), 1) - 1.5*(_xlfn.QUARTILE.INC(_xlfn._xlws.FILTER(Grayana!K$2:K1000, Grayana!K$2:K1000&lt;&gt;""), 3) - _xlfn.QUARTILE.INC(_xlfn._xlws.FILTER(Grayana!K$2:K1000, Grayana!K$2:K1000&lt;&gt;""), 1))</f>
        <v>-7.6999999999999957E-2</v>
      </c>
      <c r="J42" s="3" cm="1">
        <f t="array" ref="J42">_xlfn.QUARTILE.INC(_xlfn._xlws.FILTER(Grayana!L$2:L1000, Grayana!L$2:L1000&lt;&gt;""), 1) - 1.5*(_xlfn.QUARTILE.INC(_xlfn._xlws.FILTER(Grayana!L$2:L1000, Grayana!L$2:L1000&lt;&gt;""), 3) - _xlfn.QUARTILE.INC(_xlfn._xlws.FILTER(Grayana!L$2:L1000, Grayana!L$2:L1000&lt;&gt;""), 1))</f>
        <v>-0.89950000000000019</v>
      </c>
      <c r="K42" s="3" cm="1">
        <f t="array" ref="K42">_xlfn.QUARTILE.INC(_xlfn._xlws.FILTER(Grayana!M$2:M1000, Grayana!M$2:M1000&lt;&gt;""), 1) - 1.5*(_xlfn.QUARTILE.INC(_xlfn._xlws.FILTER(Grayana!M$2:M1000, Grayana!M$2:M1000&lt;&gt;""), 3) - _xlfn.QUARTILE.INC(_xlfn._xlws.FILTER(Grayana!M$2:M1000, Grayana!M$2:M1000&lt;&gt;""), 1))</f>
        <v>1.5739999999999998</v>
      </c>
      <c r="L42" s="3" cm="1">
        <f t="array" ref="L42">_xlfn.QUARTILE.INC(_xlfn._xlws.FILTER(Grayana!N$2:N1000, Grayana!N$2:N1000&lt;&gt;""), 1) - 1.5*(_xlfn.QUARTILE.INC(_xlfn._xlws.FILTER(Grayana!N$2:N1000, Grayana!N$2:N1000&lt;&gt;""), 3) - _xlfn.QUARTILE.INC(_xlfn._xlws.FILTER(Grayana!N$2:N1000, Grayana!N$2:N1000&lt;&gt;""), 1))</f>
        <v>0.84212500000000023</v>
      </c>
      <c r="M42" s="3" cm="1">
        <f t="array" ref="M42">_xlfn.QUARTILE.INC(_xlfn._xlws.FILTER(Grayana!O$2:O1000, Grayana!O$2:O1000&lt;&gt;""), 1) - 1.5*(_xlfn.QUARTILE.INC(_xlfn._xlws.FILTER(Grayana!O$2:O1000, Grayana!O$2:O1000&lt;&gt;""), 3) - _xlfn.QUARTILE.INC(_xlfn._xlws.FILTER(Grayana!O$2:O1000, Grayana!O$2:O1000&lt;&gt;""), 1))</f>
        <v>0.31825000000000014</v>
      </c>
      <c r="N42" s="3" cm="1">
        <f t="array" ref="N42">_xlfn.QUARTILE.INC(_xlfn._xlws.FILTER(Grayana!P$2:P1000, Grayana!P$2:P1000&lt;&gt;""), 1) - 1.5*(_xlfn.QUARTILE.INC(_xlfn._xlws.FILTER(Grayana!P$2:P1000, Grayana!P$2:P1000&lt;&gt;""), 3) - _xlfn.QUARTILE.INC(_xlfn._xlws.FILTER(Grayana!P$2:P1000, Grayana!P$2:P1000&lt;&gt;""), 1))</f>
        <v>-0.13150000000000017</v>
      </c>
      <c r="O42" s="3" cm="1">
        <f t="array" ref="O42">_xlfn.QUARTILE.INC(_xlfn._xlws.FILTER(Grayana!Q$2:Q1000, Grayana!Q$2:Q1000&lt;&gt;""), 1) - 1.5*(_xlfn.QUARTILE.INC(_xlfn._xlws.FILTER(Grayana!Q$2:Q1000, Grayana!Q$2:Q1000&lt;&gt;""), 3) - _xlfn.QUARTILE.INC(_xlfn._xlws.FILTER(Grayana!Q$2:Q1000, Grayana!Q$2:Q1000&lt;&gt;""), 1))</f>
        <v>-1.2409999999999997</v>
      </c>
      <c r="P42" s="3" cm="1">
        <f t="array" ref="P42">_xlfn.QUARTILE.INC(_xlfn._xlws.FILTER(Grayana!R$2:R1000, Grayana!R$2:R1000&lt;&gt;""), 1) - 1.5*(_xlfn.QUARTILE.INC(_xlfn._xlws.FILTER(Grayana!R$2:R1000, Grayana!R$2:R1000&lt;&gt;""), 3) - _xlfn.QUARTILE.INC(_xlfn._xlws.FILTER(Grayana!R$2:R1000, Grayana!R$2:R1000&lt;&gt;""), 1))</f>
        <v>170.59787500000004</v>
      </c>
    </row>
    <row r="43" spans="1:25" s="3" customFormat="1" x14ac:dyDescent="0.2">
      <c r="A43" s="3" t="s">
        <v>104</v>
      </c>
      <c r="B43" s="3" t="s">
        <v>222</v>
      </c>
      <c r="C43" s="3" cm="1">
        <f t="array" ref="C43">_xlfn.QUARTILE.INC(_xlfn._xlws.FILTER(Grayana!E$2:E1000, Grayana!E$2:E1000&lt;&gt;""), 3) + 1.5*(_xlfn.QUARTILE.INC(_xlfn._xlws.FILTER(Grayana!E$2:E1000, Grayana!E$2:E1000&lt;&gt;""), 3) - _xlfn.QUARTILE.INC(_xlfn._xlws.FILTER(Grayana!E$2:E1000, Grayana!E$2:E1000&lt;&gt;""), 1))</f>
        <v>2.3102499999999999</v>
      </c>
      <c r="D43" s="3" cm="1">
        <f t="array" ref="D43">_xlfn.QUARTILE.INC(_xlfn._xlws.FILTER(Grayana!F$2:F1000, Grayana!F$2:F1000&lt;&gt;""), 3) + 1.5*(_xlfn.QUARTILE.INC(_xlfn._xlws.FILTER(Grayana!F$2:F1000, Grayana!F$2:F1000&lt;&gt;""), 3) - _xlfn.QUARTILE.INC(_xlfn._xlws.FILTER(Grayana!F$2:F1000, Grayana!F$2:F1000&lt;&gt;""), 1))</f>
        <v>1.2245000000000004</v>
      </c>
      <c r="E43" s="3" cm="1">
        <f t="array" ref="E43">_xlfn.QUARTILE.INC(_xlfn._xlws.FILTER(Grayana!G$2:G1000, Grayana!G$2:G1000&lt;&gt;""), 3) + 1.5*(_xlfn.QUARTILE.INC(_xlfn._xlws.FILTER(Grayana!G$2:G1000, Grayana!G$2:G1000&lt;&gt;""), 3) - _xlfn.QUARTILE.INC(_xlfn._xlws.FILTER(Grayana!G$2:G1000, Grayana!G$2:G1000&lt;&gt;""), 1))</f>
        <v>0</v>
      </c>
      <c r="F43" s="3" cm="1">
        <f t="array" ref="F43">_xlfn.QUARTILE.INC(_xlfn._xlws.FILTER(Grayana!H$2:H1000, Grayana!H$2:H1000&lt;&gt;""), 3) + 1.5*(_xlfn.QUARTILE.INC(_xlfn._xlws.FILTER(Grayana!H$2:H1000, Grayana!H$2:H1000&lt;&gt;""), 3) - _xlfn.QUARTILE.INC(_xlfn._xlws.FILTER(Grayana!H$2:H1000, Grayana!H$2:H1000&lt;&gt;""), 1))</f>
        <v>9.4767499999999991</v>
      </c>
      <c r="G43" s="3" cm="1">
        <f t="array" ref="G43">_xlfn.QUARTILE.INC(_xlfn._xlws.FILTER(Grayana!I$2:I1000, Grayana!I$2:I1000&lt;&gt;""), 3) + 1.5*(_xlfn.QUARTILE.INC(_xlfn._xlws.FILTER(Grayana!I$2:I1000, Grayana!I$2:I1000&lt;&gt;""), 3) - _xlfn.QUARTILE.INC(_xlfn._xlws.FILTER(Grayana!I$2:I1000, Grayana!I$2:I1000&lt;&gt;""), 1))</f>
        <v>4.2712500000000002</v>
      </c>
      <c r="H43" s="3" cm="1">
        <f t="array" ref="H43">_xlfn.QUARTILE.INC(_xlfn._xlws.FILTER(Grayana!J$2:J1000, Grayana!J$2:J1000&lt;&gt;""), 3) + 1.5*(_xlfn.QUARTILE.INC(_xlfn._xlws.FILTER(Grayana!J$2:J1000, Grayana!J$2:J1000&lt;&gt;""), 3) - _xlfn.QUARTILE.INC(_xlfn._xlws.FILTER(Grayana!J$2:J1000, Grayana!J$2:J1000&lt;&gt;""), 1))</f>
        <v>10.446624999999999</v>
      </c>
      <c r="I43" s="3" cm="1">
        <f t="array" ref="I43">_xlfn.QUARTILE.INC(_xlfn._xlws.FILTER(Grayana!K$2:K1000, Grayana!K$2:K1000&lt;&gt;""), 3) + 1.5*(_xlfn.QUARTILE.INC(_xlfn._xlws.FILTER(Grayana!K$2:K1000, Grayana!K$2:K1000&lt;&gt;""), 3) - _xlfn.QUARTILE.INC(_xlfn._xlws.FILTER(Grayana!K$2:K1000, Grayana!K$2:K1000&lt;&gt;""), 1))</f>
        <v>5.6829999999999998</v>
      </c>
      <c r="J43" s="3" cm="1">
        <f t="array" ref="J43">_xlfn.QUARTILE.INC(_xlfn._xlws.FILTER(Grayana!L$2:L1000, Grayana!L$2:L1000&lt;&gt;""), 3) + 1.5*(_xlfn.QUARTILE.INC(_xlfn._xlws.FILTER(Grayana!L$2:L1000, Grayana!L$2:L1000&lt;&gt;""), 3) - _xlfn.QUARTILE.INC(_xlfn._xlws.FILTER(Grayana!L$2:L1000, Grayana!L$2:L1000&lt;&gt;""), 1))</f>
        <v>4.6805000000000003</v>
      </c>
      <c r="K43" s="3" cm="1">
        <f t="array" ref="K43">_xlfn.QUARTILE.INC(_xlfn._xlws.FILTER(Grayana!M$2:M1000, Grayana!M$2:M1000&lt;&gt;""), 3) + 1.5*(_xlfn.QUARTILE.INC(_xlfn._xlws.FILTER(Grayana!M$2:M1000, Grayana!M$2:M1000&lt;&gt;""), 3) - _xlfn.QUARTILE.INC(_xlfn._xlws.FILTER(Grayana!M$2:M1000, Grayana!M$2:M1000&lt;&gt;""), 1))</f>
        <v>3.3680000000000003</v>
      </c>
      <c r="L43" s="3" cm="1">
        <f t="array" ref="L43">_xlfn.QUARTILE.INC(_xlfn._xlws.FILTER(Grayana!N$2:N1000, Grayana!N$2:N1000&lt;&gt;""), 3) + 1.5*(_xlfn.QUARTILE.INC(_xlfn._xlws.FILTER(Grayana!N$2:N1000, Grayana!N$2:N1000&lt;&gt;""), 3) - _xlfn.QUARTILE.INC(_xlfn._xlws.FILTER(Grayana!N$2:N1000, Grayana!N$2:N1000&lt;&gt;""), 1))</f>
        <v>3.5571250000000001</v>
      </c>
      <c r="M43" s="3" cm="1">
        <f t="array" ref="M43">_xlfn.QUARTILE.INC(_xlfn._xlws.FILTER(Grayana!O$2:O1000, Grayana!O$2:O1000&lt;&gt;""), 3) + 1.5*(_xlfn.QUARTILE.INC(_xlfn._xlws.FILTER(Grayana!O$2:O1000, Grayana!O$2:O1000&lt;&gt;""), 3) - _xlfn.QUARTILE.INC(_xlfn._xlws.FILTER(Grayana!O$2:O1000, Grayana!O$2:O1000&lt;&gt;""), 1))</f>
        <v>4.4002499999999998</v>
      </c>
      <c r="N43" s="3" cm="1">
        <f t="array" ref="N43">_xlfn.QUARTILE.INC(_xlfn._xlws.FILTER(Grayana!P$2:P1000, Grayana!P$2:P1000&lt;&gt;""), 3) + 1.5*(_xlfn.QUARTILE.INC(_xlfn._xlws.FILTER(Grayana!P$2:P1000, Grayana!P$2:P1000&lt;&gt;""), 3) - _xlfn.QUARTILE.INC(_xlfn._xlws.FILTER(Grayana!P$2:P1000, Grayana!P$2:P1000&lt;&gt;""), 1))</f>
        <v>5.1605000000000008</v>
      </c>
      <c r="O43" s="3" cm="1">
        <f t="array" ref="O43">_xlfn.QUARTILE.INC(_xlfn._xlws.FILTER(Grayana!Q$2:Q1000, Grayana!Q$2:Q1000&lt;&gt;""), 3) + 1.5*(_xlfn.QUARTILE.INC(_xlfn._xlws.FILTER(Grayana!Q$2:Q1000, Grayana!Q$2:Q1000&lt;&gt;""), 3) - _xlfn.QUARTILE.INC(_xlfn._xlws.FILTER(Grayana!Q$2:Q1000, Grayana!Q$2:Q1000&lt;&gt;""), 1))</f>
        <v>23.094999999999999</v>
      </c>
      <c r="P43" s="3" cm="1">
        <f t="array" ref="P43">_xlfn.QUARTILE.INC(_xlfn._xlws.FILTER(Grayana!R$2:R1000, Grayana!R$2:R1000&lt;&gt;""), 3) + 1.5*(_xlfn.QUARTILE.INC(_xlfn._xlws.FILTER(Grayana!R$2:R1000, Grayana!R$2:R1000&lt;&gt;""), 3) - _xlfn.QUARTILE.INC(_xlfn._xlws.FILTER(Grayana!R$2:R1000, Grayana!R$2:R1000&lt;&gt;""), 1))</f>
        <v>1099.8248749999998</v>
      </c>
    </row>
    <row r="44" spans="1:25" s="3" customFormat="1" x14ac:dyDescent="0.2">
      <c r="A44" s="3" t="s">
        <v>104</v>
      </c>
      <c r="B44" s="3" t="s">
        <v>223</v>
      </c>
      <c r="C44" s="3" cm="1">
        <f t="array" ref="C44">MIN(_xlfn._xlws.FILTER(Grayana!E$2:E1000, Grayana!E$2:E1000&lt;&gt;""))</f>
        <v>0.80400000000000005</v>
      </c>
      <c r="D44" s="3" cm="1">
        <f t="array" ref="D44">MIN(_xlfn._xlws.FILTER(Grayana!F$2:F1000, Grayana!F$2:F1000&lt;&gt;""))</f>
        <v>0.51400000000000001</v>
      </c>
      <c r="E44" s="3" cm="1">
        <f t="array" ref="E44">MIN(_xlfn._xlws.FILTER(Grayana!G$2:G1000, Grayana!G$2:G1000&lt;&gt;""))</f>
        <v>0</v>
      </c>
      <c r="F44" s="3" cm="1">
        <f t="array" ref="F44">MIN(_xlfn._xlws.FILTER(Grayana!H$2:H1000, Grayana!H$2:H1000&lt;&gt;""))</f>
        <v>2.4830000000000001</v>
      </c>
      <c r="G44" s="3" cm="1">
        <f t="array" ref="G44">MIN(_xlfn._xlws.FILTER(Grayana!I$2:I1000, Grayana!I$2:I1000&lt;&gt;""))</f>
        <v>0.33800000000000002</v>
      </c>
      <c r="H44" s="3" cm="1">
        <f t="array" ref="H44">MIN(_xlfn._xlws.FILTER(Grayana!J$2:J1000, Grayana!J$2:J1000&lt;&gt;""))</f>
        <v>4.1710000000000003</v>
      </c>
      <c r="I44" s="3" cm="1">
        <f t="array" ref="I44">MIN(_xlfn._xlws.FILTER(Grayana!K$2:K1000, Grayana!K$2:K1000&lt;&gt;""))</f>
        <v>1.853</v>
      </c>
      <c r="J44" s="3" cm="1">
        <f t="array" ref="J44">MIN(_xlfn._xlws.FILTER(Grayana!L$2:L1000, Grayana!L$2:L1000&lt;&gt;""))</f>
        <v>0.72599999999999998</v>
      </c>
      <c r="K44" s="3" cm="1">
        <f t="array" ref="K44">MIN(_xlfn._xlws.FILTER(Grayana!M$2:M1000, Grayana!M$2:M1000&lt;&gt;""))</f>
        <v>1.7370000000000001</v>
      </c>
      <c r="L44" s="3" cm="1">
        <f t="array" ref="L44">MIN(_xlfn._xlws.FILTER(Grayana!N$2:N1000, Grayana!N$2:N1000&lt;&gt;""))</f>
        <v>1.1259999999999999</v>
      </c>
      <c r="M44" s="3" cm="1">
        <f t="array" ref="M44">MIN(_xlfn._xlws.FILTER(Grayana!O$2:O1000, Grayana!O$2:O1000&lt;&gt;""))</f>
        <v>0.81</v>
      </c>
      <c r="N44" s="3" cm="1">
        <f t="array" ref="N44">MIN(_xlfn._xlws.FILTER(Grayana!P$2:P1000, Grayana!P$2:P1000&lt;&gt;""))</f>
        <v>0.85499999999999998</v>
      </c>
      <c r="O44" s="3" cm="1">
        <f t="array" ref="O44">MIN(_xlfn._xlws.FILTER(Grayana!Q$2:Q1000, Grayana!Q$2:Q1000&lt;&gt;""))</f>
        <v>2.5059999999999998</v>
      </c>
      <c r="P44" s="3" cm="1">
        <f t="array" ref="P44">MIN(_xlfn._xlws.FILTER(Grayana!R$2:R1000, Grayana!R$2:R1000&lt;&gt;""))</f>
        <v>380.75099999999998</v>
      </c>
    </row>
    <row r="45" spans="1:25" s="3" customFormat="1" x14ac:dyDescent="0.2">
      <c r="A45" s="3" t="s">
        <v>104</v>
      </c>
      <c r="B45" s="3" t="s">
        <v>224</v>
      </c>
      <c r="C45" s="3" cm="1">
        <f t="array" ref="C45">MAX(_xlfn._xlws.FILTER(Grayana!E$2:E1000, Grayana!E$2:E1000&lt;&gt;""))</f>
        <v>2.3610000000000002</v>
      </c>
      <c r="D45" s="3" cm="1">
        <f t="array" ref="D45">MAX(_xlfn._xlws.FILTER(Grayana!F$2:F1000, Grayana!F$2:F1000&lt;&gt;""))</f>
        <v>1.2450000000000001</v>
      </c>
      <c r="E45" s="3" cm="1">
        <f t="array" ref="E45">MAX(_xlfn._xlws.FILTER(Grayana!G$2:G1000, Grayana!G$2:G1000&lt;&gt;""))</f>
        <v>0</v>
      </c>
      <c r="F45" s="3" cm="1">
        <f t="array" ref="F45">MAX(_xlfn._xlws.FILTER(Grayana!H$2:H1000, Grayana!H$2:H1000&lt;&gt;""))</f>
        <v>9.8699999999999992</v>
      </c>
      <c r="G45" s="3" cm="1">
        <f t="array" ref="G45">MAX(_xlfn._xlws.FILTER(Grayana!I$2:I1000, Grayana!I$2:I1000&lt;&gt;""))</f>
        <v>6.625</v>
      </c>
      <c r="H45" s="3" cm="1">
        <f t="array" ref="H45">MAX(_xlfn._xlws.FILTER(Grayana!J$2:J1000, Grayana!J$2:J1000&lt;&gt;""))</f>
        <v>9.8119999999999994</v>
      </c>
      <c r="I45" s="3" cm="1">
        <f t="array" ref="I45">MAX(_xlfn._xlws.FILTER(Grayana!K$2:K1000, Grayana!K$2:K1000&lt;&gt;""))</f>
        <v>4.8330000000000002</v>
      </c>
      <c r="J45" s="3" cm="1">
        <f t="array" ref="J45">MAX(_xlfn._xlws.FILTER(Grayana!L$2:L1000, Grayana!L$2:L1000&lt;&gt;""))</f>
        <v>3.423</v>
      </c>
      <c r="K45" s="3" cm="1">
        <f t="array" ref="K45">MAX(_xlfn._xlws.FILTER(Grayana!M$2:M1000, Grayana!M$2:M1000&lt;&gt;""))</f>
        <v>3.3450000000000002</v>
      </c>
      <c r="L45" s="3" cm="1">
        <f t="array" ref="L45">MAX(_xlfn._xlws.FILTER(Grayana!N$2:N1000, Grayana!N$2:N1000&lt;&gt;""))</f>
        <v>4.2679999999999998</v>
      </c>
      <c r="M45" s="3" cm="1">
        <f t="array" ref="M45">MAX(_xlfn._xlws.FILTER(Grayana!O$2:O1000, Grayana!O$2:O1000&lt;&gt;""))</f>
        <v>4.0670000000000002</v>
      </c>
      <c r="N45" s="3" cm="1">
        <f t="array" ref="N45">MAX(_xlfn._xlws.FILTER(Grayana!P$2:P1000, Grayana!P$2:P1000&lt;&gt;""))</f>
        <v>7.7149999999999999</v>
      </c>
      <c r="O45" s="3" cm="1">
        <f t="array" ref="O45">MAX(_xlfn._xlws.FILTER(Grayana!Q$2:Q1000, Grayana!Q$2:Q1000&lt;&gt;""))</f>
        <v>25.577999999999999</v>
      </c>
      <c r="P45" s="3" cm="1">
        <f t="array" ref="P45">MAX(_xlfn._xlws.FILTER(Grayana!R$2:R1000, Grayana!R$2:R1000&lt;&gt;""))</f>
        <v>874.66700000000003</v>
      </c>
    </row>
    <row r="46" spans="1:25" s="3" customFormat="1" ht="17" x14ac:dyDescent="0.25">
      <c r="A46" s="3" t="s">
        <v>104</v>
      </c>
      <c r="B46" s="3" t="s">
        <v>225</v>
      </c>
      <c r="C46" s="3" t="str">
        <f>"(" &amp; IF(MIN(Grayana!E$2:E$1000)&lt;_xlfn.QUARTILE.INC(Grayana!E$2:E$1000,1)-1.5*(_xlfn.QUARTILE.INC(Grayana!E$2:E$1000,3)-_xlfn.QUARTILE.INC(Grayana!E$2:E$1000,1)),MIN(Grayana!E$2:E$1000),"") &amp; ") " &amp; _xlfn.MINIFS(Grayana!E$2:E$1000,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"–" &amp; _xlfn.MAXIFS(Grayana!E$2:E$1000,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 (" &amp; IF(MAX(Grayana!E$2:E$1000)&gt;_xlfn.QUARTILE.INC(Grayana!E$2:E$1000,3)+1.5*(_xlfn.QUARTILE.INC(Grayana!E$2:E$1000,3)-_xlfn.QUARTILE.INC(Grayana!E$2:E$1000,1)),MAX(Grayana!E$2:E$1000),"") &amp; ") mm"</f>
        <v>() 0.804–2.26 (2.361) mm</v>
      </c>
      <c r="D46" s="3" t="str">
        <f>"(" &amp; IF(MIN(Grayana!F$2:F$1000)&lt;_xlfn.QUARTILE.INC(Grayana!F$2:F$1000,1)-1.5*(_xlfn.QUARTILE.INC(Grayana!F$2:F$1000,3)-_xlfn.QUARTILE.INC(Grayana!F$2:F$1000,1)),MIN(Grayana!F$2:F$1000),"") &amp; ") " &amp; _xlfn.MINIFS(Grayana!F$2:F$1000, Grayana!F$2:F$1000, "&gt;=" &amp; _xlfn.QUARTILE.INC(Grayana!F$2:F$1000,1)-1.5*(_xlfn.QUARTILE.INC(Grayana!F$2:F$1000,3)-_xlfn.QUARTILE.INC(Grayana!F$2:F$1000,1)), Grayana!F$2:F$1000, "&lt;=" &amp; _xlfn.QUARTILE.INC(Grayana!F$2:F$1000,3)+1.5*(_xlfn.QUARTILE.INC(Grayana!F$2:F$1000,3)-_xlfn.QUARTILE.INC(Grayana!F$2:F$1000,1))) &amp; "–" &amp; _xlfn.MAXIFS(Grayana!F$2:F$1000, Grayana!F$2:F$1000, "&gt;=" &amp; _xlfn.QUARTILE.INC(Grayana!F$2:F$1000,1)-1.5*(_xlfn.QUARTILE.INC(Grayana!F$2:F$1000,3)-_xlfn.QUARTILE.INC(Grayana!F$2:F$1000,1)), Grayana!F$2:F$1000, "&lt;=" &amp; _xlfn.QUARTILE.INC(Grayana!F$2:F$1000,3)+1.5*(_xlfn.QUARTILE.INC(Grayana!F$2:F$1000,3)-_xlfn.QUARTILE.INC(Grayana!F$2:F$1000,1))) &amp; " (" &amp; IF(MAX(Grayana!F$2:F$1000)&gt;_xlfn.QUARTILE.INC(Grayana!F$2:F$1000,3)+1.5*(_xlfn.QUARTILE.INC(Grayana!F$2:F$1000,3)-_xlfn.QUARTILE.INC(Grayana!F$2:F$1000,1)),MAX(Grayana!F$2:F$1000),"") &amp; ") mm"</f>
        <v>() 0.514–1.19 (1.245) mm</v>
      </c>
      <c r="E46" s="3" t="str">
        <f>"(" &amp; IF(MIN(Grayana!G$2:G$1000)&lt;_xlfn.QUARTILE.INC(Grayana!G$2:G$1000,1)-1.5*(_xlfn.QUARTILE.INC(Grayana!G$2:G$1000,3)-_xlfn.QUARTILE.INC(Grayana!G$2:G$1000,1)),MIN(Grayana!G$2:G$1000),"") &amp; ") " &amp; _xlfn.MINIFS(Grayana!G$2:G$1000, Grayana!G$2:G$1000, "&gt;=" &amp; _xlfn.QUARTILE.INC(Grayana!G$2:G$1000,1)-1.5*(_xlfn.QUARTILE.INC(Grayana!G$2:G$1000,3)-_xlfn.QUARTILE.INC(Grayana!G$2:G$1000,1)), Grayana!G$2:G$1000, "&lt;=" &amp; _xlfn.QUARTILE.INC(Grayana!G$2:G$1000,3)+1.5*(_xlfn.QUARTILE.INC(Grayana!G$2:G$1000,3)-_xlfn.QUARTILE.INC(Grayana!G$2:G$1000,1))) &amp; "–" &amp; _xlfn.MAXIFS(Grayana!G$2:G$1000, Grayana!G$2:G$1000, "&gt;=" &amp; _xlfn.QUARTILE.INC(Grayana!G$2:G$1000,1)-1.5*(_xlfn.QUARTILE.INC(Grayana!G$2:G$1000,3)-_xlfn.QUARTILE.INC(Grayana!G$2:G$1000,1)), Grayana!G$2:G$1000, "&lt;=" &amp; _xlfn.QUARTILE.INC(Grayana!G$2:G$1000,3)+1.5*(_xlfn.QUARTILE.INC(Grayana!G$2:G$1000,3)-_xlfn.QUARTILE.INC(Grayana!G$2:G$1000,1))) &amp; " (" &amp; IF(MAX(Grayana!G$2:G$1000)&gt;_xlfn.QUARTILE.INC(Grayana!G$2:G$1000,3)+1.5*(_xlfn.QUARTILE.INC(Grayana!G$2:G$1000,3)-_xlfn.QUARTILE.INC(Grayana!G$2:G$1000,1)),MAX(Grayana!G$2:G$1000),"") &amp; ") mm"</f>
        <v>() 0–0 () mm</v>
      </c>
      <c r="F46" s="3" t="str">
        <f>"(" &amp; IF(MIN(Grayana!H$2:H$1000)&lt;_xlfn.QUARTILE.INC(Grayana!H$2:H$1000,1)-1.5*(_xlfn.QUARTILE.INC(Grayana!H$2:H$1000,3)-_xlfn.QUARTILE.INC(Grayana!H$2:H$1000,1)),MIN(Grayana!H$2:H$1000),"") &amp; ") " &amp; _xlfn.MINIFS(Grayana!H$2:H$1000, Grayana!H$2:H$1000, "&gt;=" &amp; _xlfn.QUARTILE.INC(Grayana!H$2:H$1000,1)-1.5*(_xlfn.QUARTILE.INC(Grayana!H$2:H$1000,3)-_xlfn.QUARTILE.INC(Grayana!H$2:H$1000,1)), Grayana!H$2:H$1000, "&lt;=" &amp; _xlfn.QUARTILE.INC(Grayana!H$2:H$1000,3)+1.5*(_xlfn.QUARTILE.INC(Grayana!H$2:H$1000,3)-_xlfn.QUARTILE.INC(Grayana!H$2:H$1000,1))) &amp; "–" &amp; _xlfn.MAXIFS(Grayana!H$2:H$1000, Grayana!H$2:H$1000, "&gt;=" &amp; _xlfn.QUARTILE.INC(Grayana!H$2:H$1000,1)-1.5*(_xlfn.QUARTILE.INC(Grayana!H$2:H$1000,3)-_xlfn.QUARTILE.INC(Grayana!H$2:H$1000,1)), Grayana!H$2:H$1000, "&lt;=" &amp; _xlfn.QUARTILE.INC(Grayana!H$2:H$1000,3)+1.5*(_xlfn.QUARTILE.INC(Grayana!H$2:H$1000,3)-_xlfn.QUARTILE.INC(Grayana!H$2:H$1000,1))) &amp; " (" &amp; IF(MAX(Grayana!H$2:H$1000)&gt;_xlfn.QUARTILE.INC(Grayana!H$2:H$1000,3)+1.5*(_xlfn.QUARTILE.INC(Grayana!H$2:H$1000,3)-_xlfn.QUARTILE.INC(Grayana!H$2:H$1000,1)),MAX(Grayana!H$2:H$1000),"") &amp; ") mm"</f>
        <v>() 2.483–9.211 (9.87) mm</v>
      </c>
      <c r="G46" s="3" t="str">
        <f>"(" &amp; IF(MIN(Grayana!I$2:I$1000)&lt;_xlfn.QUARTILE.INC(Grayana!I$2:I$1000,1)-1.5*(_xlfn.QUARTILE.INC(Grayana!I$2:I$1000,3)-_xlfn.QUARTILE.INC(Grayana!I$2:I$1000,1)),MIN(Grayana!I$2:I$1000),"") &amp; ") " &amp; _xlfn.MINIFS(Grayana!I$2:I$1000, Grayana!I$2:I$1000, "&gt;=" &amp; _xlfn.QUARTILE.INC(Grayana!I$2:I$1000,1)-1.5*(_xlfn.QUARTILE.INC(Grayana!I$2:I$1000,3)-_xlfn.QUARTILE.INC(Grayana!I$2:I$1000,1)), Grayana!I$2:I$1000, "&lt;=" &amp; _xlfn.QUARTILE.INC(Grayana!I$2:I$1000,3)+1.5*(_xlfn.QUARTILE.INC(Grayana!I$2:I$1000,3)-_xlfn.QUARTILE.INC(Grayana!I$2:I$1000,1))) &amp; "–" &amp; _xlfn.MAXIFS(Grayana!I$2:I$1000, Grayana!I$2:I$1000, "&gt;=" &amp; _xlfn.QUARTILE.INC(Grayana!I$2:I$1000,1)-1.5*(_xlfn.QUARTILE.INC(Grayana!I$2:I$1000,3)-_xlfn.QUARTILE.INC(Grayana!I$2:I$1000,1)), Grayana!I$2:I$1000, "&lt;=" &amp; _xlfn.QUARTILE.INC(Grayana!I$2:I$1000,3)+1.5*(_xlfn.QUARTILE.INC(Grayana!I$2:I$1000,3)-_xlfn.QUARTILE.INC(Grayana!I$2:I$1000,1))) &amp; " (" &amp; IF(MAX(Grayana!I$2:I$1000)&gt;_xlfn.QUARTILE.INC(Grayana!I$2:I$1000,3)+1.5*(_xlfn.QUARTILE.INC(Grayana!I$2:I$1000,3)-_xlfn.QUARTILE.INC(Grayana!I$2:I$1000,1)),MAX(Grayana!I$2:I$1000),"") &amp; ") mm"</f>
        <v>() 0.338–3.441 (6.625) mm</v>
      </c>
      <c r="H46" s="3" t="str">
        <f>"(" &amp; IF(MIN(Grayana!J$2:J$1000)&lt;_xlfn.QUARTILE.INC(Grayana!J$2:J$1000,1)-1.5*(_xlfn.QUARTILE.INC(Grayana!J$2:J$1000,3)-_xlfn.QUARTILE.INC(Grayana!J$2:J$1000,1)),MIN(Grayana!J$2:J$1000),"") &amp; ") " &amp; _xlfn.MINIFS(Grayana!J$2:J$1000, Grayana!J$2:J$1000, "&gt;=" &amp; _xlfn.QUARTILE.INC(Grayana!J$2:J$1000,1)-1.5*(_xlfn.QUARTILE.INC(Grayana!J$2:J$1000,3)-_xlfn.QUARTILE.INC(Grayana!J$2:J$1000,1)), Grayana!J$2:J$1000, "&lt;=" &amp; _xlfn.QUARTILE.INC(Grayana!J$2:J$1000,3)+1.5*(_xlfn.QUARTILE.INC(Grayana!J$2:J$1000,3)-_xlfn.QUARTILE.INC(Grayana!J$2:J$1000,1))) &amp; "–" &amp; _xlfn.MAXIFS(Grayana!J$2:J$1000, Grayana!J$2:J$1000, "&gt;=" &amp; _xlfn.QUARTILE.INC(Grayana!J$2:J$1000,1)-1.5*(_xlfn.QUARTILE.INC(Grayana!J$2:J$1000,3)-_xlfn.QUARTILE.INC(Grayana!J$2:J$1000,1)), Grayana!J$2:J$1000, "&lt;=" &amp; _xlfn.QUARTILE.INC(Grayana!J$2:J$1000,3)+1.5*(_xlfn.QUARTILE.INC(Grayana!J$2:J$1000,3)-_xlfn.QUARTILE.INC(Grayana!J$2:J$1000,1))) &amp; " (" &amp; IF(MAX(Grayana!J$2:J$1000)&gt;_xlfn.QUARTILE.INC(Grayana!J$2:J$1000,3)+1.5*(_xlfn.QUARTILE.INC(Grayana!J$2:J$1000,3)-_xlfn.QUARTILE.INC(Grayana!J$2:J$1000,1)),MAX(Grayana!J$2:J$1000),"") &amp; ") mm"</f>
        <v>() 4.171–9.812 () mm</v>
      </c>
      <c r="I46" s="3" t="str">
        <f>"(" &amp; IF(MIN(Grayana!K$2:K$1000)&lt;_xlfn.QUARTILE.INC(Grayana!K$2:K$1000,1)-1.5*(_xlfn.QUARTILE.INC(Grayana!K$2:K$1000,3)-_xlfn.QUARTILE.INC(Grayana!K$2:K$1000,1)),MIN(Grayana!K$2:K$1000),"") &amp; ") " &amp; _xlfn.MINIFS(Grayana!K$2:K$1000, Grayana!K$2:K$1000, "&gt;=" &amp; _xlfn.QUARTILE.INC(Grayana!K$2:K$1000,1)-1.5*(_xlfn.QUARTILE.INC(Grayana!K$2:K$1000,3)-_xlfn.QUARTILE.INC(Grayana!K$2:K$1000,1)), Grayana!K$2:K$1000, "&lt;=" &amp; _xlfn.QUARTILE.INC(Grayana!K$2:K$1000,3)+1.5*(_xlfn.QUARTILE.INC(Grayana!K$2:K$1000,3)-_xlfn.QUARTILE.INC(Grayana!K$2:K$1000,1))) &amp; "–" &amp; _xlfn.MAXIFS(Grayana!K$2:K$1000, Grayana!K$2:K$1000, "&gt;=" &amp; _xlfn.QUARTILE.INC(Grayana!K$2:K$1000,1)-1.5*(_xlfn.QUARTILE.INC(Grayana!K$2:K$1000,3)-_xlfn.QUARTILE.INC(Grayana!K$2:K$1000,1)), Grayana!K$2:K$1000, "&lt;=" &amp; _xlfn.QUARTILE.INC(Grayana!K$2:K$1000,3)+1.5*(_xlfn.QUARTILE.INC(Grayana!K$2:K$1000,3)-_xlfn.QUARTILE.INC(Grayana!K$2:K$1000,1))) &amp; " (" &amp; IF(MAX(Grayana!K$2:K$1000)&gt;_xlfn.QUARTILE.INC(Grayana!K$2:K$1000,3)+1.5*(_xlfn.QUARTILE.INC(Grayana!K$2:K$1000,3)-_xlfn.QUARTILE.INC(Grayana!K$2:K$1000,1)),MAX(Grayana!K$2:K$1000),"") &amp; ") mm"</f>
        <v>() 1.853–4.833 () mm</v>
      </c>
      <c r="J46" s="3" t="str">
        <f>"(" &amp; IF(MIN(Grayana!L$2:L$1000)&lt;_xlfn.QUARTILE.INC(Grayana!L$2:L$1000,1)-1.5*(_xlfn.QUARTILE.INC(Grayana!L$2:L$1000,3)-_xlfn.QUARTILE.INC(Grayana!L$2:L$1000,1)),MIN(Grayana!L$2:L$1000),"") &amp; ") " &amp; _xlfn.MINIFS(Grayana!L$2:L$1000, Grayana!L$2:L$1000, "&gt;=" &amp; _xlfn.QUARTILE.INC(Grayana!L$2:L$1000,1)-1.5*(_xlfn.QUARTILE.INC(Grayana!L$2:L$1000,3)-_xlfn.QUARTILE.INC(Grayana!L$2:L$1000,1)), Grayana!L$2:L$1000, "&lt;=" &amp; _xlfn.QUARTILE.INC(Grayana!L$2:L$1000,3)+1.5*(_xlfn.QUARTILE.INC(Grayana!L$2:L$1000,3)-_xlfn.QUARTILE.INC(Grayana!L$2:L$1000,1))) &amp; "–" &amp; _xlfn.MAXIFS(Grayana!L$2:L$1000, Grayana!L$2:L$1000, "&gt;=" &amp; _xlfn.QUARTILE.INC(Grayana!L$2:L$1000,1)-1.5*(_xlfn.QUARTILE.INC(Grayana!L$2:L$1000,3)-_xlfn.QUARTILE.INC(Grayana!L$2:L$1000,1)), Grayana!L$2:L$1000, "&lt;=" &amp; _xlfn.QUARTILE.INC(Grayana!L$2:L$1000,3)+1.5*(_xlfn.QUARTILE.INC(Grayana!L$2:L$1000,3)-_xlfn.QUARTILE.INC(Grayana!L$2:L$1000,1))) &amp; " (" &amp; IF(MAX(Grayana!L$2:L$1000)&gt;_xlfn.QUARTILE.INC(Grayana!L$2:L$1000,3)+1.5*(_xlfn.QUARTILE.INC(Grayana!L$2:L$1000,3)-_xlfn.QUARTILE.INC(Grayana!L$2:L$1000,1)),MAX(Grayana!L$2:L$1000),"") &amp; ") mm"</f>
        <v>() 0.726–3.423 () mm</v>
      </c>
      <c r="K46" s="3" t="str">
        <f>"(" &amp; IF(MIN(Grayana!M$2:M$1000)&lt;_xlfn.QUARTILE.INC(Grayana!M$2:M$1000,1)-1.5*(_xlfn.QUARTILE.INC(Grayana!M$2:M$1000,3)-_xlfn.QUARTILE.INC(Grayana!M$2:M$1000,1)),MIN(Grayana!M$2:M$1000),"") &amp; ") " &amp; _xlfn.MINIFS(Grayana!M$2:M$1000, Grayana!M$2:M$1000, "&gt;=" &amp; _xlfn.QUARTILE.INC(Grayana!M$2:M$1000,1)-1.5*(_xlfn.QUARTILE.INC(Grayana!M$2:M$1000,3)-_xlfn.QUARTILE.INC(Grayana!M$2:M$1000,1)), Grayana!M$2:M$1000, "&lt;=" &amp; _xlfn.QUARTILE.INC(Grayana!M$2:M$1000,3)+1.5*(_xlfn.QUARTILE.INC(Grayana!M$2:M$1000,3)-_xlfn.QUARTILE.INC(Grayana!M$2:M$1000,1))) &amp; "–" &amp; _xlfn.MAXIFS(Grayana!M$2:M$1000, Grayana!M$2:M$1000, "&gt;=" &amp; _xlfn.QUARTILE.INC(Grayana!M$2:M$1000,1)-1.5*(_xlfn.QUARTILE.INC(Grayana!M$2:M$1000,3)-_xlfn.QUARTILE.INC(Grayana!M$2:M$1000,1)), Grayana!M$2:M$1000, "&lt;=" &amp; _xlfn.QUARTILE.INC(Grayana!M$2:M$1000,3)+1.5*(_xlfn.QUARTILE.INC(Grayana!M$2:M$1000,3)-_xlfn.QUARTILE.INC(Grayana!M$2:M$1000,1))) &amp; " (" &amp; IF(MAX(Grayana!M$2:M$1000)&gt;_xlfn.QUARTILE.INC(Grayana!M$2:M$1000,3)+1.5*(_xlfn.QUARTILE.INC(Grayana!M$2:M$1000,3)-_xlfn.QUARTILE.INC(Grayana!M$2:M$1000,1)),MAX(Grayana!M$2:M$1000),"") &amp; ") mm"</f>
        <v>() 1.737–3.345 () mm</v>
      </c>
      <c r="L46" s="3" t="str">
        <f>"(" &amp; IF(MIN(Grayana!N$2:N$1000)&lt;_xlfn.QUARTILE.INC(Grayana!N$2:N$1000,1)-1.5*(_xlfn.QUARTILE.INC(Grayana!N$2:N$1000,3)-_xlfn.QUARTILE.INC(Grayana!N$2:N$1000,1)),MIN(Grayana!N$2:N$1000),"") &amp; ") " &amp; _xlfn.MINIFS(Grayana!N$2:N$1000, Grayana!N$2:N$1000, "&gt;=" &amp; _xlfn.QUARTILE.INC(Grayana!N$2:N$1000,1)-1.5*(_xlfn.QUARTILE.INC(Grayana!N$2:N$1000,3)-_xlfn.QUARTILE.INC(Grayana!N$2:N$1000,1)), Grayana!N$2:N$1000, "&lt;=" &amp; _xlfn.QUARTILE.INC(Grayana!N$2:N$1000,3)+1.5*(_xlfn.QUARTILE.INC(Grayana!N$2:N$1000,3)-_xlfn.QUARTILE.INC(Grayana!N$2:N$1000,1))) &amp; "–" &amp; _xlfn.MAXIFS(Grayana!N$2:N$1000, Grayana!N$2:N$1000, "&gt;=" &amp; _xlfn.QUARTILE.INC(Grayana!N$2:N$1000,1)-1.5*(_xlfn.QUARTILE.INC(Grayana!N$2:N$1000,3)-_xlfn.QUARTILE.INC(Grayana!N$2:N$1000,1)), Grayana!N$2:N$1000, "&lt;=" &amp; _xlfn.QUARTILE.INC(Grayana!N$2:N$1000,3)+1.5*(_xlfn.QUARTILE.INC(Grayana!N$2:N$1000,3)-_xlfn.QUARTILE.INC(Grayana!N$2:N$1000,1))) &amp; " (" &amp; IF(MAX(Grayana!N$2:N$1000)&gt;_xlfn.QUARTILE.INC(Grayana!N$2:N$1000,3)+1.5*(_xlfn.QUARTILE.INC(Grayana!N$2:N$1000,3)-_xlfn.QUARTILE.INC(Grayana!N$2:N$1000,1)),MAX(Grayana!N$2:N$1000),"") &amp; ") mm"</f>
        <v>() 1.126–3.399 (4.268) mm</v>
      </c>
      <c r="M46" s="3" t="str">
        <f>"(" &amp; IF(MIN(Grayana!O$2:O$1000)&lt;_xlfn.QUARTILE.INC(Grayana!O$2:O$1000,1)-1.5*(_xlfn.QUARTILE.INC(Grayana!O$2:O$1000,3)-_xlfn.QUARTILE.INC(Grayana!O$2:O$1000,1)),MIN(Grayana!O$2:O$1000),"") &amp; ") " &amp; _xlfn.MINIFS(Grayana!O$2:O$1000, Grayana!O$2:O$1000, "&gt;=" &amp; _xlfn.QUARTILE.INC(Grayana!O$2:O$1000,1)-1.5*(_xlfn.QUARTILE.INC(Grayana!O$2:O$1000,3)-_xlfn.QUARTILE.INC(Grayana!O$2:O$1000,1)), Grayana!O$2:O$1000, "&lt;=" &amp; _xlfn.QUARTILE.INC(Grayana!O$2:O$1000,3)+1.5*(_xlfn.QUARTILE.INC(Grayana!O$2:O$1000,3)-_xlfn.QUARTILE.INC(Grayana!O$2:O$1000,1))) &amp; "–" &amp; _xlfn.MAXIFS(Grayana!O$2:O$1000, Grayana!O$2:O$1000, "&gt;=" &amp; _xlfn.QUARTILE.INC(Grayana!O$2:O$1000,1)-1.5*(_xlfn.QUARTILE.INC(Grayana!O$2:O$1000,3)-_xlfn.QUARTILE.INC(Grayana!O$2:O$1000,1)), Grayana!O$2:O$1000, "&lt;=" &amp; _xlfn.QUARTILE.INC(Grayana!O$2:O$1000,3)+1.5*(_xlfn.QUARTILE.INC(Grayana!O$2:O$1000,3)-_xlfn.QUARTILE.INC(Grayana!O$2:O$1000,1))) &amp; " (" &amp; IF(MAX(Grayana!O$2:O$1000)&gt;_xlfn.QUARTILE.INC(Grayana!O$2:O$1000,3)+1.5*(_xlfn.QUARTILE.INC(Grayana!O$2:O$1000,3)-_xlfn.QUARTILE.INC(Grayana!O$2:O$1000,1)),MAX(Grayana!O$2:O$1000),"") &amp; ") mm"</f>
        <v>() 0.81–4.067 () mm</v>
      </c>
      <c r="N46" s="3" t="str">
        <f>"(" &amp; IF(MIN(Grayana!P$2:P$1000)&lt;_xlfn.QUARTILE.INC(Grayana!P$2:P$1000,1)-1.5*(_xlfn.QUARTILE.INC(Grayana!P$2:P$1000,3)-_xlfn.QUARTILE.INC(Grayana!P$2:P$1000,1)),MIN(Grayana!P$2:P$1000),"") &amp; ") " &amp; _xlfn.MINIFS(Grayana!P$2:P$1000, Grayana!P$2:P$1000, "&gt;=" &amp; _xlfn.QUARTILE.INC(Grayana!P$2:P$1000,1)-1.5*(_xlfn.QUARTILE.INC(Grayana!P$2:P$1000,3)-_xlfn.QUARTILE.INC(Grayana!P$2:P$1000,1)), Grayana!P$2:P$1000, "&lt;=" &amp; _xlfn.QUARTILE.INC(Grayana!P$2:P$1000,3)+1.5*(_xlfn.QUARTILE.INC(Grayana!P$2:P$1000,3)-_xlfn.QUARTILE.INC(Grayana!P$2:P$1000,1))) &amp; "–" &amp; _xlfn.MAXIFS(Grayana!P$2:P$1000, Grayana!P$2:P$1000, "&gt;=" &amp; _xlfn.QUARTILE.INC(Grayana!P$2:P$1000,1)-1.5*(_xlfn.QUARTILE.INC(Grayana!P$2:P$1000,3)-_xlfn.QUARTILE.INC(Grayana!P$2:P$1000,1)), Grayana!P$2:P$1000, "&lt;=" &amp; _xlfn.QUARTILE.INC(Grayana!P$2:P$1000,3)+1.5*(_xlfn.QUARTILE.INC(Grayana!P$2:P$1000,3)-_xlfn.QUARTILE.INC(Grayana!P$2:P$1000,1))) &amp; " (" &amp; IF(MAX(Grayana!P$2:P$1000)&gt;_xlfn.QUARTILE.INC(Grayana!P$2:P$1000,3)+1.5*(_xlfn.QUARTILE.INC(Grayana!P$2:P$1000,3)-_xlfn.QUARTILE.INC(Grayana!P$2:P$1000,1)),MAX(Grayana!P$2:P$1000),"") &amp; ") mm"</f>
        <v>() 0.855–5.104 (7.715) mm</v>
      </c>
      <c r="O46" s="3" t="str">
        <f>"(" &amp; IF(MIN(Grayana!Q$2:Q$1000)&lt;_xlfn.QUARTILE.INC(Grayana!Q$2:Q$1000,1)-1.5*(_xlfn.QUARTILE.INC(Grayana!Q$2:Q$1000,3)-_xlfn.QUARTILE.INC(Grayana!Q$2:Q$1000,1)),MIN(Grayana!Q$2:Q$1000),"") &amp; ") " &amp; _xlfn.MINIFS(Grayana!Q$2:Q$1000, Grayana!Q$2:Q$1000, "&gt;=" &amp; _xlfn.QUARTILE.INC(Grayana!Q$2:Q$1000,1)-1.5*(_xlfn.QUARTILE.INC(Grayana!Q$2:Q$1000,3)-_xlfn.QUARTILE.INC(Grayana!Q$2:Q$1000,1)), Grayana!Q$2:Q$1000, "&lt;=" &amp; _xlfn.QUARTILE.INC(Grayana!Q$2:Q$1000,3)+1.5*(_xlfn.QUARTILE.INC(Grayana!Q$2:Q$1000,3)-_xlfn.QUARTILE.INC(Grayana!Q$2:Q$1000,1))) &amp; "–" &amp; _xlfn.MAXIFS(Grayana!Q$2:Q$1000, Grayana!Q$2:Q$1000, "&gt;=" &amp; _xlfn.QUARTILE.INC(Grayana!Q$2:Q$1000,1)-1.5*(_xlfn.QUARTILE.INC(Grayana!Q$2:Q$1000,3)-_xlfn.QUARTILE.INC(Grayana!Q$2:Q$1000,1)), Grayana!Q$2:Q$1000, "&lt;=" &amp; _xlfn.QUARTILE.INC(Grayana!Q$2:Q$1000,3)+1.5*(_xlfn.QUARTILE.INC(Grayana!Q$2:Q$1000,3)-_xlfn.QUARTILE.INC(Grayana!Q$2:Q$1000,1))) &amp; " (" &amp; IF(MAX(Grayana!Q$2:Q$1000)&gt;_xlfn.QUARTILE.INC(Grayana!Q$2:Q$1000,3)+1.5*(_xlfn.QUARTILE.INC(Grayana!Q$2:Q$1000,3)-_xlfn.QUARTILE.INC(Grayana!Q$2:Q$1000,1)),MAX(Grayana!Q$2:Q$1000),"") &amp; ") mm"</f>
        <v>() 2.506–21.293 (25.578) mm</v>
      </c>
      <c r="P46" s="3" t="str">
        <f>"(" &amp; IF(MIN(Grayana!R$2:R$1000)&lt;_xlfn.QUARTILE.INC(Grayana!R$2:R$1000,1)-1.5*(_xlfn.QUARTILE.INC(Grayana!R$2:R$1000,3)-_xlfn.QUARTILE.INC(Grayana!R$2:R$1000,1)),MIN(Grayana!R$2:R$1000),"") &amp; ") " &amp; _xlfn.MINIFS(Grayana!R$2:R$1000, Grayana!R$2:R$1000, "&gt;=" &amp; _xlfn.QUARTILE.INC(Grayana!R$2:R$1000,1)-1.5*(_xlfn.QUARTILE.INC(Grayana!R$2:R$1000,3)-_xlfn.QUARTILE.INC(Grayana!R$2:R$1000,1)), Grayana!R$2:R$1000, "&lt;=" &amp; _xlfn.QUARTILE.INC(Grayana!R$2:R$1000,3)+1.5*(_xlfn.QUARTILE.INC(Grayana!R$2:R$1000,3)-_xlfn.QUARTILE.INC(Grayana!R$2:R$1000,1))) &amp; "–" &amp; _xlfn.MAXIFS(Grayana!R$2:R$1000, Grayana!R$2:R$1000, "&gt;=" &amp; _xlfn.QUARTILE.INC(Grayana!R$2:R$1000,1)-1.5*(_xlfn.QUARTILE.INC(Grayana!R$2:R$1000,3)-_xlfn.QUARTILE.INC(Grayana!R$2:R$1000,1)), Grayana!R$2:R$1000, "&lt;=" &amp; _xlfn.QUARTILE.INC(Grayana!R$2:R$1000,3)+1.5*(_xlfn.QUARTILE.INC(Grayana!R$2:R$1000,3)-_xlfn.QUARTILE.INC(Grayana!R$2:R$1000,1))) &amp; " (" &amp; IF(MAX(Grayana!R$2:R$1000)&gt;_xlfn.QUARTILE.INC(Grayana!R$2:R$1000,3)+1.5*(_xlfn.QUARTILE.INC(Grayana!R$2:R$1000,3)-_xlfn.QUARTILE.INC(Grayana!R$2:R$1000,1)),MAX(Grayana!R$2:R$1000),"") &amp; ") mm"</f>
        <v>() 380.751–874.667 () mm</v>
      </c>
    </row>
    <row r="47" spans="1:25" s="2" customFormat="1" x14ac:dyDescent="0.2">
      <c r="A47" s="2" t="s">
        <v>127</v>
      </c>
      <c r="B47" s="2" t="s">
        <v>217</v>
      </c>
      <c r="C47" s="2" cm="1">
        <f t="array" ref="C47">_xlfn.QUARTILE.INC(_xlfn._xlws.FILTER(Richardsonii!E$2:E1000, Richardsonii!E$2:E1000&lt;&gt;""), 1)</f>
        <v>0.79299999999999993</v>
      </c>
      <c r="D47" s="2" cm="1">
        <f t="array" ref="D47">_xlfn.QUARTILE.INC(_xlfn._xlws.FILTER(Richardsonii!F$2:F1000, Richardsonii!F$2:F1000&lt;&gt;""), 1)</f>
        <v>0.4395</v>
      </c>
      <c r="E47" s="2" cm="1">
        <f t="array" ref="E47">_xlfn.QUARTILE.INC(_xlfn._xlws.FILTER(Richardsonii!G$2:G1000, Richardsonii!G$2:G1000&lt;&gt;""), 1)</f>
        <v>0</v>
      </c>
      <c r="F47" s="2" cm="1">
        <f t="array" ref="F47">_xlfn.QUARTILE.INC(_xlfn._xlws.FILTER(Richardsonii!H$2:H1000, Richardsonii!H$2:H1000&lt;&gt;""), 1)</f>
        <v>2.2490000000000001</v>
      </c>
      <c r="G47" s="2" cm="1">
        <f t="array" ref="G47">_xlfn.QUARTILE.INC(_xlfn._xlws.FILTER(Richardsonii!I$2:I1000, Richardsonii!I$2:I1000&lt;&gt;""), 1)</f>
        <v>0.67049999999999998</v>
      </c>
      <c r="H47" s="2" cm="1">
        <f t="array" ref="H47">_xlfn.QUARTILE.INC(_xlfn._xlws.FILTER(Richardsonii!J$2:J1000, Richardsonii!J$2:J1000&lt;&gt;""), 1)</f>
        <v>5.4790000000000001</v>
      </c>
      <c r="I47" s="2" cm="1">
        <f t="array" ref="I47">_xlfn.QUARTILE.INC(_xlfn._xlws.FILTER(Richardsonii!K$2:K1000, Richardsonii!K$2:K1000&lt;&gt;""), 1)</f>
        <v>3.26</v>
      </c>
      <c r="J47" s="2" cm="1">
        <f t="array" ref="J47">_xlfn.QUARTILE.INC(_xlfn._xlws.FILTER(Richardsonii!L$2:L1000, Richardsonii!L$2:L1000&lt;&gt;""), 1)</f>
        <v>1.714</v>
      </c>
      <c r="K47" s="2" cm="1">
        <f t="array" ref="K47">_xlfn.QUARTILE.INC(_xlfn._xlws.FILTER(Richardsonii!M$2:M1000, Richardsonii!M$2:M1000&lt;&gt;""), 1)</f>
        <v>2.8370000000000002</v>
      </c>
      <c r="L47" s="2" cm="1">
        <f t="array" ref="L47">_xlfn.QUARTILE.INC(_xlfn._xlws.FILTER(Richardsonii!N$2:N1000, Richardsonii!N$2:N1000&lt;&gt;""), 1)</f>
        <v>1.3625</v>
      </c>
      <c r="M47" s="2" cm="1">
        <f t="array" ref="M47">_xlfn.QUARTILE.INC(_xlfn._xlws.FILTER(Richardsonii!O$2:O1000, Richardsonii!O$2:O1000&lt;&gt;""), 1)</f>
        <v>0.96699999999999997</v>
      </c>
      <c r="N47" s="2" cm="1">
        <f t="array" ref="N47">_xlfn.QUARTILE.INC(_xlfn._xlws.FILTER(Richardsonii!P$2:P1000, Richardsonii!P$2:P1000&lt;&gt;""), 1)</f>
        <v>1.79</v>
      </c>
      <c r="O47" s="2" cm="1">
        <f t="array" ref="O47">_xlfn.QUARTILE.INC(_xlfn._xlws.FILTER(Richardsonii!Q$2:Q1000, Richardsonii!Q$2:Q1000&lt;&gt;""), 1)</f>
        <v>6.5532500000000002</v>
      </c>
      <c r="P47" s="2" cm="1">
        <f t="array" ref="P47">_xlfn.QUARTILE.INC(_xlfn._xlws.FILTER(Richardsonii!R$2:R1000, Richardsonii!R$2:R1000&lt;&gt;""), 1)</f>
        <v>374.44550000000004</v>
      </c>
    </row>
    <row r="48" spans="1:25" s="2" customFormat="1" x14ac:dyDescent="0.2">
      <c r="A48" s="2" t="s">
        <v>127</v>
      </c>
      <c r="B48" s="2" t="s">
        <v>218</v>
      </c>
      <c r="C48" s="2" cm="1">
        <f t="array" ref="C48">_xlfn.QUARTILE.INC(_xlfn._xlws.FILTER(Richardsonii!E$2:E1000, Richardsonii!E$2:E1000&lt;&gt;""), 2)</f>
        <v>1.052</v>
      </c>
      <c r="D48" s="2" cm="1">
        <f t="array" ref="D48">_xlfn.QUARTILE.INC(_xlfn._xlws.FILTER(Richardsonii!F$2:F1000, Richardsonii!F$2:F1000&lt;&gt;""), 2)</f>
        <v>0.72499999999999998</v>
      </c>
      <c r="E48" s="2" cm="1">
        <f t="array" ref="E48">_xlfn.QUARTILE.INC(_xlfn._xlws.FILTER(Richardsonii!G$2:G1000, Richardsonii!G$2:G1000&lt;&gt;""), 2)</f>
        <v>0</v>
      </c>
      <c r="F48" s="2" cm="1">
        <f t="array" ref="F48">_xlfn.QUARTILE.INC(_xlfn._xlws.FILTER(Richardsonii!H$2:H1000, Richardsonii!H$2:H1000&lt;&gt;""), 2)</f>
        <v>2.7970000000000002</v>
      </c>
      <c r="G48" s="2" cm="1">
        <f t="array" ref="G48">_xlfn.QUARTILE.INC(_xlfn._xlws.FILTER(Richardsonii!I$2:I1000, Richardsonii!I$2:I1000&lt;&gt;""), 2)</f>
        <v>1.5629999999999999</v>
      </c>
      <c r="H48" s="2" cm="1">
        <f t="array" ref="H48">_xlfn.QUARTILE.INC(_xlfn._xlws.FILTER(Richardsonii!J$2:J1000, Richardsonii!J$2:J1000&lt;&gt;""), 2)</f>
        <v>7.93</v>
      </c>
      <c r="I48" s="2" cm="1">
        <f t="array" ref="I48">_xlfn.QUARTILE.INC(_xlfn._xlws.FILTER(Richardsonii!K$2:K1000, Richardsonii!K$2:K1000&lt;&gt;""), 2)</f>
        <v>3.774</v>
      </c>
      <c r="J48" s="2" cm="1">
        <f t="array" ref="J48">_xlfn.QUARTILE.INC(_xlfn._xlws.FILTER(Richardsonii!L$2:L1000, Richardsonii!L$2:L1000&lt;&gt;""), 2)</f>
        <v>2.153</v>
      </c>
      <c r="K48" s="2" cm="1">
        <f t="array" ref="K48">_xlfn.QUARTILE.INC(_xlfn._xlws.FILTER(Richardsonii!M$2:M1000, Richardsonii!M$2:M1000&lt;&gt;""), 2)</f>
        <v>3.25</v>
      </c>
      <c r="L48" s="2" cm="1">
        <f t="array" ref="L48">_xlfn.QUARTILE.INC(_xlfn._xlws.FILTER(Richardsonii!N$2:N1000, Richardsonii!N$2:N1000&lt;&gt;""), 2)</f>
        <v>1.8875</v>
      </c>
      <c r="M48" s="2" cm="1">
        <f t="array" ref="M48">_xlfn.QUARTILE.INC(_xlfn._xlws.FILTER(Richardsonii!O$2:O1000, Richardsonii!O$2:O1000&lt;&gt;""), 2)</f>
        <v>1.165</v>
      </c>
      <c r="N48" s="2" cm="1">
        <f t="array" ref="N48">_xlfn.QUARTILE.INC(_xlfn._xlws.FILTER(Richardsonii!P$2:P1000, Richardsonii!P$2:P1000&lt;&gt;""), 2)</f>
        <v>2.4529999999999998</v>
      </c>
      <c r="O48" s="2" cm="1">
        <f t="array" ref="O48">_xlfn.QUARTILE.INC(_xlfn._xlws.FILTER(Richardsonii!Q$2:Q1000, Richardsonii!Q$2:Q1000&lt;&gt;""), 2)</f>
        <v>7.734</v>
      </c>
      <c r="P48" s="2" cm="1">
        <f t="array" ref="P48">_xlfn.QUARTILE.INC(_xlfn._xlws.FILTER(Richardsonii!R$2:R1000, Richardsonii!R$2:R1000&lt;&gt;""), 2)</f>
        <v>408.45050000000003</v>
      </c>
    </row>
    <row r="49" spans="1:16" s="2" customFormat="1" x14ac:dyDescent="0.2">
      <c r="A49" s="2" t="s">
        <v>127</v>
      </c>
      <c r="B49" s="2" t="s">
        <v>219</v>
      </c>
      <c r="C49" s="2" cm="1">
        <f t="array" ref="C49">_xlfn.QUARTILE.INC(_xlfn._xlws.FILTER(Richardsonii!E$2:E1000, Richardsonii!E$2:E1000&lt;&gt;""), 3)</f>
        <v>1.2025000000000001</v>
      </c>
      <c r="D49" s="2" cm="1">
        <f t="array" ref="D49">_xlfn.QUARTILE.INC(_xlfn._xlws.FILTER(Richardsonii!F$2:F1000, Richardsonii!F$2:F1000&lt;&gt;""), 3)</f>
        <v>0.86349999999999993</v>
      </c>
      <c r="E49" s="2" cm="1">
        <f t="array" ref="E49">_xlfn.QUARTILE.INC(_xlfn._xlws.FILTER(Richardsonii!G$2:G1000, Richardsonii!G$2:G1000&lt;&gt;""), 3)</f>
        <v>0</v>
      </c>
      <c r="F49" s="2" cm="1">
        <f t="array" ref="F49">_xlfn.QUARTILE.INC(_xlfn._xlws.FILTER(Richardsonii!H$2:H1000, Richardsonii!H$2:H1000&lt;&gt;""), 3)</f>
        <v>4.7789999999999999</v>
      </c>
      <c r="G49" s="2" cm="1">
        <f t="array" ref="G49">_xlfn.QUARTILE.INC(_xlfn._xlws.FILTER(Richardsonii!I$2:I1000, Richardsonii!I$2:I1000&lt;&gt;""), 3)</f>
        <v>2.2919999999999998</v>
      </c>
      <c r="H49" s="2" cm="1">
        <f t="array" ref="H49">_xlfn.QUARTILE.INC(_xlfn._xlws.FILTER(Richardsonii!J$2:J1000, Richardsonii!J$2:J1000&lt;&gt;""), 3)</f>
        <v>9.3699999999999992</v>
      </c>
      <c r="I49" s="2" cm="1">
        <f t="array" ref="I49">_xlfn.QUARTILE.INC(_xlfn._xlws.FILTER(Richardsonii!K$2:K1000, Richardsonii!K$2:K1000&lt;&gt;""), 3)</f>
        <v>4.28</v>
      </c>
      <c r="J49" s="2" cm="1">
        <f t="array" ref="J49">_xlfn.QUARTILE.INC(_xlfn._xlws.FILTER(Richardsonii!L$2:L1000, Richardsonii!L$2:L1000&lt;&gt;""), 3)</f>
        <v>3.19</v>
      </c>
      <c r="K49" s="2" cm="1">
        <f t="array" ref="K49">_xlfn.QUARTILE.INC(_xlfn._xlws.FILTER(Richardsonii!M$2:M1000, Richardsonii!M$2:M1000&lt;&gt;""), 3)</f>
        <v>5.0570000000000004</v>
      </c>
      <c r="L49" s="2" cm="1">
        <f t="array" ref="L49">_xlfn.QUARTILE.INC(_xlfn._xlws.FILTER(Richardsonii!N$2:N1000, Richardsonii!N$2:N1000&lt;&gt;""), 3)</f>
        <v>2.1662499999999998</v>
      </c>
      <c r="M49" s="2" cm="1">
        <f t="array" ref="M49">_xlfn.QUARTILE.INC(_xlfn._xlws.FILTER(Richardsonii!O$2:O1000, Richardsonii!O$2:O1000&lt;&gt;""), 3)</f>
        <v>1.4357500000000001</v>
      </c>
      <c r="N49" s="2" cm="1">
        <f t="array" ref="N49">_xlfn.QUARTILE.INC(_xlfn._xlws.FILTER(Richardsonii!P$2:P1000, Richardsonii!P$2:P1000&lt;&gt;""), 3)</f>
        <v>2.6829999999999998</v>
      </c>
      <c r="O49" s="2" cm="1">
        <f t="array" ref="O49">_xlfn.QUARTILE.INC(_xlfn._xlws.FILTER(Richardsonii!Q$2:Q1000, Richardsonii!Q$2:Q1000&lt;&gt;""), 3)</f>
        <v>9.9947499999999998</v>
      </c>
      <c r="P49" s="2" cm="1">
        <f t="array" ref="P49">_xlfn.QUARTILE.INC(_xlfn._xlws.FILTER(Richardsonii!R$2:R1000, Richardsonii!R$2:R1000&lt;&gt;""), 3)</f>
        <v>484.10825</v>
      </c>
    </row>
    <row r="50" spans="1:16" s="2" customFormat="1" x14ac:dyDescent="0.2">
      <c r="A50" s="2" t="s">
        <v>127</v>
      </c>
      <c r="B50" s="2" t="s">
        <v>220</v>
      </c>
      <c r="C50" s="2" cm="1">
        <f t="array" ref="C50">_xlfn.QUARTILE.INC(_xlfn._xlws.FILTER(Richardsonii!E$2:E1000, Richardsonii!E$2:E1000&lt;&gt;""), 3) - _xlfn.QUARTILE.INC(_xlfn._xlws.FILTER(Richardsonii!E$2:E1000, Richardsonii!E$2:E1000&lt;&gt;""), 1)</f>
        <v>0.4095000000000002</v>
      </c>
      <c r="D50" s="2" cm="1">
        <f t="array" ref="D50">_xlfn.QUARTILE.INC(_xlfn._xlws.FILTER(Richardsonii!F$2:F1000, Richardsonii!F$2:F1000&lt;&gt;""), 3) - _xlfn.QUARTILE.INC(_xlfn._xlws.FILTER(Richardsonii!F$2:F1000, Richardsonii!F$2:F1000&lt;&gt;""), 1)</f>
        <v>0.42399999999999993</v>
      </c>
      <c r="E50" s="2" cm="1">
        <f t="array" ref="E50">_xlfn.QUARTILE.INC(_xlfn._xlws.FILTER(Richardsonii!G$2:G1000, Richardsonii!G$2:G1000&lt;&gt;""), 3) - _xlfn.QUARTILE.INC(_xlfn._xlws.FILTER(Richardsonii!G$2:G1000, Richardsonii!G$2:G1000&lt;&gt;""), 1)</f>
        <v>0</v>
      </c>
      <c r="F50" s="2" cm="1">
        <f t="array" ref="F50">_xlfn.QUARTILE.INC(_xlfn._xlws.FILTER(Richardsonii!H$2:H1000, Richardsonii!H$2:H1000&lt;&gt;""), 3) - _xlfn.QUARTILE.INC(_xlfn._xlws.FILTER(Richardsonii!H$2:H1000, Richardsonii!H$2:H1000&lt;&gt;""), 1)</f>
        <v>2.5299999999999998</v>
      </c>
      <c r="G50" s="2" cm="1">
        <f t="array" ref="G50">_xlfn.QUARTILE.INC(_xlfn._xlws.FILTER(Richardsonii!I$2:I1000, Richardsonii!I$2:I1000&lt;&gt;""), 3) - _xlfn.QUARTILE.INC(_xlfn._xlws.FILTER(Richardsonii!I$2:I1000, Richardsonii!I$2:I1000&lt;&gt;""), 1)</f>
        <v>1.6214999999999997</v>
      </c>
      <c r="H50" s="2" cm="1">
        <f t="array" ref="H50">_xlfn.QUARTILE.INC(_xlfn._xlws.FILTER(Richardsonii!J$2:J1000, Richardsonii!J$2:J1000&lt;&gt;""), 3) - _xlfn.QUARTILE.INC(_xlfn._xlws.FILTER(Richardsonii!J$2:J1000, Richardsonii!J$2:J1000&lt;&gt;""), 1)</f>
        <v>3.8909999999999991</v>
      </c>
      <c r="I50" s="2" cm="1">
        <f t="array" ref="I50">_xlfn.QUARTILE.INC(_xlfn._xlws.FILTER(Richardsonii!K$2:K1000, Richardsonii!K$2:K1000&lt;&gt;""), 3) - _xlfn.QUARTILE.INC(_xlfn._xlws.FILTER(Richardsonii!K$2:K1000, Richardsonii!K$2:K1000&lt;&gt;""), 1)</f>
        <v>1.0200000000000005</v>
      </c>
      <c r="J50" s="2" cm="1">
        <f t="array" ref="J50">_xlfn.QUARTILE.INC(_xlfn._xlws.FILTER(Richardsonii!L$2:L1000, Richardsonii!L$2:L1000&lt;&gt;""), 3) - _xlfn.QUARTILE.INC(_xlfn._xlws.FILTER(Richardsonii!L$2:L1000, Richardsonii!L$2:L1000&lt;&gt;""), 1)</f>
        <v>1.476</v>
      </c>
      <c r="K50" s="2" cm="1">
        <f t="array" ref="K50">_xlfn.QUARTILE.INC(_xlfn._xlws.FILTER(Richardsonii!M$2:M1000, Richardsonii!M$2:M1000&lt;&gt;""), 3) - _xlfn.QUARTILE.INC(_xlfn._xlws.FILTER(Richardsonii!M$2:M1000, Richardsonii!M$2:M1000&lt;&gt;""), 1)</f>
        <v>2.2200000000000002</v>
      </c>
      <c r="L50" s="2" cm="1">
        <f t="array" ref="L50">_xlfn.QUARTILE.INC(_xlfn._xlws.FILTER(Richardsonii!N$2:N1000, Richardsonii!N$2:N1000&lt;&gt;""), 3) - _xlfn.QUARTILE.INC(_xlfn._xlws.FILTER(Richardsonii!N$2:N1000, Richardsonii!N$2:N1000&lt;&gt;""), 1)</f>
        <v>0.80374999999999974</v>
      </c>
      <c r="M50" s="2" cm="1">
        <f t="array" ref="M50">_xlfn.QUARTILE.INC(_xlfn._xlws.FILTER(Richardsonii!O$2:O1000, Richardsonii!O$2:O1000&lt;&gt;""), 3) - _xlfn.QUARTILE.INC(_xlfn._xlws.FILTER(Richardsonii!O$2:O1000, Richardsonii!O$2:O1000&lt;&gt;""), 1)</f>
        <v>0.46875000000000011</v>
      </c>
      <c r="N50" s="2" cm="1">
        <f t="array" ref="N50">_xlfn.QUARTILE.INC(_xlfn._xlws.FILTER(Richardsonii!P$2:P1000, Richardsonii!P$2:P1000&lt;&gt;""), 3) - _xlfn.QUARTILE.INC(_xlfn._xlws.FILTER(Richardsonii!P$2:P1000, Richardsonii!P$2:P1000&lt;&gt;""), 1)</f>
        <v>0.89299999999999979</v>
      </c>
      <c r="O50" s="2" cm="1">
        <f t="array" ref="O50">_xlfn.QUARTILE.INC(_xlfn._xlws.FILTER(Richardsonii!Q$2:Q1000, Richardsonii!Q$2:Q1000&lt;&gt;""), 3) - _xlfn.QUARTILE.INC(_xlfn._xlws.FILTER(Richardsonii!Q$2:Q1000, Richardsonii!Q$2:Q1000&lt;&gt;""), 1)</f>
        <v>3.4414999999999996</v>
      </c>
      <c r="P50" s="2" cm="1">
        <f t="array" ref="P50">_xlfn.QUARTILE.INC(_xlfn._xlws.FILTER(Richardsonii!R$2:R1000, Richardsonii!R$2:R1000&lt;&gt;""), 3) - _xlfn.QUARTILE.INC(_xlfn._xlws.FILTER(Richardsonii!R$2:R1000, Richardsonii!R$2:R1000&lt;&gt;""), 1)</f>
        <v>109.66274999999996</v>
      </c>
    </row>
    <row r="51" spans="1:16" s="2" customFormat="1" x14ac:dyDescent="0.2">
      <c r="A51" s="2" t="s">
        <v>127</v>
      </c>
      <c r="B51" s="2" t="s">
        <v>221</v>
      </c>
      <c r="C51" s="2" cm="1">
        <f t="array" ref="C51">_xlfn.QUARTILE.INC(_xlfn._xlws.FILTER(Richardsonii!E$2:E1000, Richardsonii!E$2:E1000&lt;&gt;""), 1) - 1.5*(_xlfn.QUARTILE.INC(_xlfn._xlws.FILTER(Richardsonii!E$2:E1000, Richardsonii!E$2:E1000&lt;&gt;""), 3) - _xlfn.QUARTILE.INC(_xlfn._xlws.FILTER(Richardsonii!E$2:E1000, Richardsonii!E$2:E1000&lt;&gt;""), 1))</f>
        <v>0.17874999999999963</v>
      </c>
      <c r="D51" s="2" cm="1">
        <f t="array" ref="D51">_xlfn.QUARTILE.INC(_xlfn._xlws.FILTER(Richardsonii!F$2:F1000, Richardsonii!F$2:F1000&lt;&gt;""), 1) - 1.5*(_xlfn.QUARTILE.INC(_xlfn._xlws.FILTER(Richardsonii!F$2:F1000, Richardsonii!F$2:F1000&lt;&gt;""), 3) - _xlfn.QUARTILE.INC(_xlfn._xlws.FILTER(Richardsonii!F$2:F1000, Richardsonii!F$2:F1000&lt;&gt;""), 1))</f>
        <v>-0.1964999999999999</v>
      </c>
      <c r="E51" s="2" cm="1">
        <f t="array" ref="E51">_xlfn.QUARTILE.INC(_xlfn._xlws.FILTER(Richardsonii!G$2:G1000, Richardsonii!G$2:G1000&lt;&gt;""), 1) - 1.5*(_xlfn.QUARTILE.INC(_xlfn._xlws.FILTER(Richardsonii!G$2:G1000, Richardsonii!G$2:G1000&lt;&gt;""), 3) - _xlfn.QUARTILE.INC(_xlfn._xlws.FILTER(Richardsonii!G$2:G1000, Richardsonii!G$2:G1000&lt;&gt;""), 1))</f>
        <v>0</v>
      </c>
      <c r="F51" s="2" cm="1">
        <f t="array" ref="F51">_xlfn.QUARTILE.INC(_xlfn._xlws.FILTER(Richardsonii!H$2:H1000, Richardsonii!H$2:H1000&lt;&gt;""), 1) - 1.5*(_xlfn.QUARTILE.INC(_xlfn._xlws.FILTER(Richardsonii!H$2:H1000, Richardsonii!H$2:H1000&lt;&gt;""), 3) - _xlfn.QUARTILE.INC(_xlfn._xlws.FILTER(Richardsonii!H$2:H1000, Richardsonii!H$2:H1000&lt;&gt;""), 1))</f>
        <v>-1.5459999999999998</v>
      </c>
      <c r="G51" s="2" cm="1">
        <f t="array" ref="G51">_xlfn.QUARTILE.INC(_xlfn._xlws.FILTER(Richardsonii!I$2:I1000, Richardsonii!I$2:I1000&lt;&gt;""), 1) - 1.5*(_xlfn.QUARTILE.INC(_xlfn._xlws.FILTER(Richardsonii!I$2:I1000, Richardsonii!I$2:I1000&lt;&gt;""), 3) - _xlfn.QUARTILE.INC(_xlfn._xlws.FILTER(Richardsonii!I$2:I1000, Richardsonii!I$2:I1000&lt;&gt;""), 1))</f>
        <v>-1.7617499999999997</v>
      </c>
      <c r="H51" s="2" cm="1">
        <f t="array" ref="H51">_xlfn.QUARTILE.INC(_xlfn._xlws.FILTER(Richardsonii!J$2:J1000, Richardsonii!J$2:J1000&lt;&gt;""), 1) - 1.5*(_xlfn.QUARTILE.INC(_xlfn._xlws.FILTER(Richardsonii!J$2:J1000, Richardsonii!J$2:J1000&lt;&gt;""), 3) - _xlfn.QUARTILE.INC(_xlfn._xlws.FILTER(Richardsonii!J$2:J1000, Richardsonii!J$2:J1000&lt;&gt;""), 1))</f>
        <v>-0.35749999999999904</v>
      </c>
      <c r="I51" s="2" cm="1">
        <f t="array" ref="I51">_xlfn.QUARTILE.INC(_xlfn._xlws.FILTER(Richardsonii!K$2:K1000, Richardsonii!K$2:K1000&lt;&gt;""), 1) - 1.5*(_xlfn.QUARTILE.INC(_xlfn._xlws.FILTER(Richardsonii!K$2:K1000, Richardsonii!K$2:K1000&lt;&gt;""), 3) - _xlfn.QUARTILE.INC(_xlfn._xlws.FILTER(Richardsonii!K$2:K1000, Richardsonii!K$2:K1000&lt;&gt;""), 1))</f>
        <v>1.7299999999999991</v>
      </c>
      <c r="J51" s="2" cm="1">
        <f t="array" ref="J51">_xlfn.QUARTILE.INC(_xlfn._xlws.FILTER(Richardsonii!L$2:L1000, Richardsonii!L$2:L1000&lt;&gt;""), 1) - 1.5*(_xlfn.QUARTILE.INC(_xlfn._xlws.FILTER(Richardsonii!L$2:L1000, Richardsonii!L$2:L1000&lt;&gt;""), 3) - _xlfn.QUARTILE.INC(_xlfn._xlws.FILTER(Richardsonii!L$2:L1000, Richardsonii!L$2:L1000&lt;&gt;""), 1))</f>
        <v>-0.5</v>
      </c>
      <c r="K51" s="2" cm="1">
        <f t="array" ref="K51">_xlfn.QUARTILE.INC(_xlfn._xlws.FILTER(Richardsonii!M$2:M1000, Richardsonii!M$2:M1000&lt;&gt;""), 1) - 1.5*(_xlfn.QUARTILE.INC(_xlfn._xlws.FILTER(Richardsonii!M$2:M1000, Richardsonii!M$2:M1000&lt;&gt;""), 3) - _xlfn.QUARTILE.INC(_xlfn._xlws.FILTER(Richardsonii!M$2:M1000, Richardsonii!M$2:M1000&lt;&gt;""), 1))</f>
        <v>-0.49299999999999988</v>
      </c>
      <c r="L51" s="2" cm="1">
        <f t="array" ref="L51">_xlfn.QUARTILE.INC(_xlfn._xlws.FILTER(Richardsonii!N$2:N1000, Richardsonii!N$2:N1000&lt;&gt;""), 1) - 1.5*(_xlfn.QUARTILE.INC(_xlfn._xlws.FILTER(Richardsonii!N$2:N1000, Richardsonii!N$2:N1000&lt;&gt;""), 3) - _xlfn.QUARTILE.INC(_xlfn._xlws.FILTER(Richardsonii!N$2:N1000, Richardsonii!N$2:N1000&lt;&gt;""), 1))</f>
        <v>0.15687500000000054</v>
      </c>
      <c r="M51" s="2" cm="1">
        <f t="array" ref="M51">_xlfn.QUARTILE.INC(_xlfn._xlws.FILTER(Richardsonii!O$2:O1000, Richardsonii!O$2:O1000&lt;&gt;""), 1) - 1.5*(_xlfn.QUARTILE.INC(_xlfn._xlws.FILTER(Richardsonii!O$2:O1000, Richardsonii!O$2:O1000&lt;&gt;""), 3) - _xlfn.QUARTILE.INC(_xlfn._xlws.FILTER(Richardsonii!O$2:O1000, Richardsonii!O$2:O1000&lt;&gt;""), 1))</f>
        <v>0.26387499999999975</v>
      </c>
      <c r="N51" s="2" cm="1">
        <f t="array" ref="N51">_xlfn.QUARTILE.INC(_xlfn._xlws.FILTER(Richardsonii!P$2:P1000, Richardsonii!P$2:P1000&lt;&gt;""), 1) - 1.5*(_xlfn.QUARTILE.INC(_xlfn._xlws.FILTER(Richardsonii!P$2:P1000, Richardsonii!P$2:P1000&lt;&gt;""), 3) - _xlfn.QUARTILE.INC(_xlfn._xlws.FILTER(Richardsonii!P$2:P1000, Richardsonii!P$2:P1000&lt;&gt;""), 1))</f>
        <v>0.45050000000000034</v>
      </c>
      <c r="O51" s="2" cm="1">
        <f t="array" ref="O51">_xlfn.QUARTILE.INC(_xlfn._xlws.FILTER(Richardsonii!Q$2:Q1000, Richardsonii!Q$2:Q1000&lt;&gt;""), 1) - 1.5*(_xlfn.QUARTILE.INC(_xlfn._xlws.FILTER(Richardsonii!Q$2:Q1000, Richardsonii!Q$2:Q1000&lt;&gt;""), 3) - _xlfn.QUARTILE.INC(_xlfn._xlws.FILTER(Richardsonii!Q$2:Q1000, Richardsonii!Q$2:Q1000&lt;&gt;""), 1))</f>
        <v>1.3910000000000009</v>
      </c>
      <c r="P51" s="2" cm="1">
        <f t="array" ref="P51">_xlfn.QUARTILE.INC(_xlfn._xlws.FILTER(Richardsonii!R$2:R1000, Richardsonii!R$2:R1000&lt;&gt;""), 1) - 1.5*(_xlfn.QUARTILE.INC(_xlfn._xlws.FILTER(Richardsonii!R$2:R1000, Richardsonii!R$2:R1000&lt;&gt;""), 3) - _xlfn.QUARTILE.INC(_xlfn._xlws.FILTER(Richardsonii!R$2:R1000, Richardsonii!R$2:R1000&lt;&gt;""), 1))</f>
        <v>209.9513750000001</v>
      </c>
    </row>
    <row r="52" spans="1:16" s="2" customFormat="1" x14ac:dyDescent="0.2">
      <c r="A52" s="2" t="s">
        <v>127</v>
      </c>
      <c r="B52" s="2" t="s">
        <v>222</v>
      </c>
      <c r="C52" s="2" cm="1">
        <f t="array" ref="C52">_xlfn.QUARTILE.INC(_xlfn._xlws.FILTER(Richardsonii!E$2:E1000, Richardsonii!E$2:E1000&lt;&gt;""), 3) + 1.5*(_xlfn.QUARTILE.INC(_xlfn._xlws.FILTER(Richardsonii!E$2:E1000, Richardsonii!E$2:E1000&lt;&gt;""), 3) - _xlfn.QUARTILE.INC(_xlfn._xlws.FILTER(Richardsonii!E$2:E1000, Richardsonii!E$2:E1000&lt;&gt;""), 1))</f>
        <v>1.8167500000000003</v>
      </c>
      <c r="D52" s="2" cm="1">
        <f t="array" ref="D52">_xlfn.QUARTILE.INC(_xlfn._xlws.FILTER(Richardsonii!F$2:F1000, Richardsonii!F$2:F1000&lt;&gt;""), 3) + 1.5*(_xlfn.QUARTILE.INC(_xlfn._xlws.FILTER(Richardsonii!F$2:F1000, Richardsonii!F$2:F1000&lt;&gt;""), 3) - _xlfn.QUARTILE.INC(_xlfn._xlws.FILTER(Richardsonii!F$2:F1000, Richardsonii!F$2:F1000&lt;&gt;""), 1))</f>
        <v>1.4994999999999998</v>
      </c>
      <c r="E52" s="2" cm="1">
        <f t="array" ref="E52">_xlfn.QUARTILE.INC(_xlfn._xlws.FILTER(Richardsonii!G$2:G1000, Richardsonii!G$2:G1000&lt;&gt;""), 3) + 1.5*(_xlfn.QUARTILE.INC(_xlfn._xlws.FILTER(Richardsonii!G$2:G1000, Richardsonii!G$2:G1000&lt;&gt;""), 3) - _xlfn.QUARTILE.INC(_xlfn._xlws.FILTER(Richardsonii!G$2:G1000, Richardsonii!G$2:G1000&lt;&gt;""), 1))</f>
        <v>0</v>
      </c>
      <c r="F52" s="2" cm="1">
        <f t="array" ref="F52">_xlfn.QUARTILE.INC(_xlfn._xlws.FILTER(Richardsonii!H$2:H1000, Richardsonii!H$2:H1000&lt;&gt;""), 3) + 1.5*(_xlfn.QUARTILE.INC(_xlfn._xlws.FILTER(Richardsonii!H$2:H1000, Richardsonii!H$2:H1000&lt;&gt;""), 3) - _xlfn.QUARTILE.INC(_xlfn._xlws.FILTER(Richardsonii!H$2:H1000, Richardsonii!H$2:H1000&lt;&gt;""), 1))</f>
        <v>8.5739999999999998</v>
      </c>
      <c r="G52" s="2" cm="1">
        <f t="array" ref="G52">_xlfn.QUARTILE.INC(_xlfn._xlws.FILTER(Richardsonii!I$2:I1000, Richardsonii!I$2:I1000&lt;&gt;""), 3) + 1.5*(_xlfn.QUARTILE.INC(_xlfn._xlws.FILTER(Richardsonii!I$2:I1000, Richardsonii!I$2:I1000&lt;&gt;""), 3) - _xlfn.QUARTILE.INC(_xlfn._xlws.FILTER(Richardsonii!I$2:I1000, Richardsonii!I$2:I1000&lt;&gt;""), 1))</f>
        <v>4.7242499999999996</v>
      </c>
      <c r="H52" s="2" cm="1">
        <f t="array" ref="H52">_xlfn.QUARTILE.INC(_xlfn._xlws.FILTER(Richardsonii!J$2:J1000, Richardsonii!J$2:J1000&lt;&gt;""), 3) + 1.5*(_xlfn.QUARTILE.INC(_xlfn._xlws.FILTER(Richardsonii!J$2:J1000, Richardsonii!J$2:J1000&lt;&gt;""), 3) - _xlfn.QUARTILE.INC(_xlfn._xlws.FILTER(Richardsonii!J$2:J1000, Richardsonii!J$2:J1000&lt;&gt;""), 1))</f>
        <v>15.206499999999998</v>
      </c>
      <c r="I52" s="2" cm="1">
        <f t="array" ref="I52">_xlfn.QUARTILE.INC(_xlfn._xlws.FILTER(Richardsonii!K$2:K1000, Richardsonii!K$2:K1000&lt;&gt;""), 3) + 1.5*(_xlfn.QUARTILE.INC(_xlfn._xlws.FILTER(Richardsonii!K$2:K1000, Richardsonii!K$2:K1000&lt;&gt;""), 3) - _xlfn.QUARTILE.INC(_xlfn._xlws.FILTER(Richardsonii!K$2:K1000, Richardsonii!K$2:K1000&lt;&gt;""), 1))</f>
        <v>5.8100000000000005</v>
      </c>
      <c r="J52" s="2" cm="1">
        <f t="array" ref="J52">_xlfn.QUARTILE.INC(_xlfn._xlws.FILTER(Richardsonii!L$2:L1000, Richardsonii!L$2:L1000&lt;&gt;""), 3) + 1.5*(_xlfn.QUARTILE.INC(_xlfn._xlws.FILTER(Richardsonii!L$2:L1000, Richardsonii!L$2:L1000&lt;&gt;""), 3) - _xlfn.QUARTILE.INC(_xlfn._xlws.FILTER(Richardsonii!L$2:L1000, Richardsonii!L$2:L1000&lt;&gt;""), 1))</f>
        <v>5.4039999999999999</v>
      </c>
      <c r="K52" s="2" cm="1">
        <f t="array" ref="K52">_xlfn.QUARTILE.INC(_xlfn._xlws.FILTER(Richardsonii!M$2:M1000, Richardsonii!M$2:M1000&lt;&gt;""), 3) + 1.5*(_xlfn.QUARTILE.INC(_xlfn._xlws.FILTER(Richardsonii!M$2:M1000, Richardsonii!M$2:M1000&lt;&gt;""), 3) - _xlfn.QUARTILE.INC(_xlfn._xlws.FILTER(Richardsonii!M$2:M1000, Richardsonii!M$2:M1000&lt;&gt;""), 1))</f>
        <v>8.3870000000000005</v>
      </c>
      <c r="L52" s="2" cm="1">
        <f t="array" ref="L52">_xlfn.QUARTILE.INC(_xlfn._xlws.FILTER(Richardsonii!N$2:N1000, Richardsonii!N$2:N1000&lt;&gt;""), 3) + 1.5*(_xlfn.QUARTILE.INC(_xlfn._xlws.FILTER(Richardsonii!N$2:N1000, Richardsonii!N$2:N1000&lt;&gt;""), 3) - _xlfn.QUARTILE.INC(_xlfn._xlws.FILTER(Richardsonii!N$2:N1000, Richardsonii!N$2:N1000&lt;&gt;""), 1))</f>
        <v>3.3718749999999993</v>
      </c>
      <c r="M52" s="2" cm="1">
        <f t="array" ref="M52">_xlfn.QUARTILE.INC(_xlfn._xlws.FILTER(Richardsonii!O$2:O1000, Richardsonii!O$2:O1000&lt;&gt;""), 3) + 1.5*(_xlfn.QUARTILE.INC(_xlfn._xlws.FILTER(Richardsonii!O$2:O1000, Richardsonii!O$2:O1000&lt;&gt;""), 3) - _xlfn.QUARTILE.INC(_xlfn._xlws.FILTER(Richardsonii!O$2:O1000, Richardsonii!O$2:O1000&lt;&gt;""), 1))</f>
        <v>2.1388750000000005</v>
      </c>
      <c r="N52" s="2" cm="1">
        <f t="array" ref="N52">_xlfn.QUARTILE.INC(_xlfn._xlws.FILTER(Richardsonii!P$2:P1000, Richardsonii!P$2:P1000&lt;&gt;""), 3) + 1.5*(_xlfn.QUARTILE.INC(_xlfn._xlws.FILTER(Richardsonii!P$2:P1000, Richardsonii!P$2:P1000&lt;&gt;""), 3) - _xlfn.QUARTILE.INC(_xlfn._xlws.FILTER(Richardsonii!P$2:P1000, Richardsonii!P$2:P1000&lt;&gt;""), 1))</f>
        <v>4.0224999999999991</v>
      </c>
      <c r="O52" s="2" cm="1">
        <f t="array" ref="O52">_xlfn.QUARTILE.INC(_xlfn._xlws.FILTER(Richardsonii!Q$2:Q1000, Richardsonii!Q$2:Q1000&lt;&gt;""), 3) + 1.5*(_xlfn.QUARTILE.INC(_xlfn._xlws.FILTER(Richardsonii!Q$2:Q1000, Richardsonii!Q$2:Q1000&lt;&gt;""), 3) - _xlfn.QUARTILE.INC(_xlfn._xlws.FILTER(Richardsonii!Q$2:Q1000, Richardsonii!Q$2:Q1000&lt;&gt;""), 1))</f>
        <v>15.157</v>
      </c>
      <c r="P52" s="2" cm="1">
        <f t="array" ref="P52">_xlfn.QUARTILE.INC(_xlfn._xlws.FILTER(Richardsonii!R$2:R1000, Richardsonii!R$2:R1000&lt;&gt;""), 3) + 1.5*(_xlfn.QUARTILE.INC(_xlfn._xlws.FILTER(Richardsonii!R$2:R1000, Richardsonii!R$2:R1000&lt;&gt;""), 3) - _xlfn.QUARTILE.INC(_xlfn._xlws.FILTER(Richardsonii!R$2:R1000, Richardsonii!R$2:R1000&lt;&gt;""), 1))</f>
        <v>648.60237499999994</v>
      </c>
    </row>
    <row r="53" spans="1:16" s="2" customFormat="1" x14ac:dyDescent="0.2">
      <c r="A53" s="2" t="s">
        <v>127</v>
      </c>
      <c r="B53" s="2" t="s">
        <v>223</v>
      </c>
      <c r="C53" s="2" cm="1">
        <f t="array" ref="C53">MIN(_xlfn._xlws.FILTER(Richardsonii!E$2:E1000, Richardsonii!E$2:E1000&lt;&gt;""))</f>
        <v>0</v>
      </c>
      <c r="D53" s="2" cm="1">
        <f t="array" ref="D53">MIN(_xlfn._xlws.FILTER(Richardsonii!F$2:F1000, Richardsonii!F$2:F1000&lt;&gt;""))</f>
        <v>0</v>
      </c>
      <c r="E53" s="2" cm="1">
        <f t="array" ref="E53">MIN(_xlfn._xlws.FILTER(Richardsonii!G$2:G1000, Richardsonii!G$2:G1000&lt;&gt;""))</f>
        <v>0</v>
      </c>
      <c r="F53" s="2" cm="1">
        <f t="array" ref="F53">MIN(_xlfn._xlws.FILTER(Richardsonii!H$2:H1000, Richardsonii!H$2:H1000&lt;&gt;""))</f>
        <v>1.0900000000000001</v>
      </c>
      <c r="G53" s="2" cm="1">
        <f t="array" ref="G53">MIN(_xlfn._xlws.FILTER(Richardsonii!I$2:I1000, Richardsonii!I$2:I1000&lt;&gt;""))</f>
        <v>0.316</v>
      </c>
      <c r="H53" s="2" cm="1">
        <f t="array" ref="H53">MIN(_xlfn._xlws.FILTER(Richardsonii!J$2:J1000, Richardsonii!J$2:J1000&lt;&gt;""))</f>
        <v>2.7839999999999998</v>
      </c>
      <c r="I53" s="2" cm="1">
        <f t="array" ref="I53">MIN(_xlfn._xlws.FILTER(Richardsonii!K$2:K1000, Richardsonii!K$2:K1000&lt;&gt;""))</f>
        <v>1.655</v>
      </c>
      <c r="J53" s="2" cm="1">
        <f t="array" ref="J53">MIN(_xlfn._xlws.FILTER(Richardsonii!L$2:L1000, Richardsonii!L$2:L1000&lt;&gt;""))</f>
        <v>0.78</v>
      </c>
      <c r="K53" s="2" cm="1">
        <f t="array" ref="K53">MIN(_xlfn._xlws.FILTER(Richardsonii!M$2:M1000, Richardsonii!M$2:M1000&lt;&gt;""))</f>
        <v>1.653</v>
      </c>
      <c r="L53" s="2" cm="1">
        <f t="array" ref="L53">MIN(_xlfn._xlws.FILTER(Richardsonii!N$2:N1000, Richardsonii!N$2:N1000&lt;&gt;""))</f>
        <v>1.036</v>
      </c>
      <c r="M53" s="2" cm="1">
        <f t="array" ref="M53">MIN(_xlfn._xlws.FILTER(Richardsonii!O$2:O1000, Richardsonii!O$2:O1000&lt;&gt;""))</f>
        <v>0</v>
      </c>
      <c r="N53" s="2" cm="1">
        <f t="array" ref="N53">MIN(_xlfn._xlws.FILTER(Richardsonii!P$2:P1000, Richardsonii!P$2:P1000&lt;&gt;""))</f>
        <v>1.1659999999999999</v>
      </c>
      <c r="O53" s="2" cm="1">
        <f t="array" ref="O53">MIN(_xlfn._xlws.FILTER(Richardsonii!Q$2:Q1000, Richardsonii!Q$2:Q1000&lt;&gt;""))</f>
        <v>1.784</v>
      </c>
      <c r="P53" s="2" cm="1">
        <f t="array" ref="P53">MIN(_xlfn._xlws.FILTER(Richardsonii!R$2:R1000, Richardsonii!R$2:R1000&lt;&gt;""))</f>
        <v>272.04700000000003</v>
      </c>
    </row>
    <row r="54" spans="1:16" s="2" customFormat="1" x14ac:dyDescent="0.2">
      <c r="A54" s="2" t="s">
        <v>127</v>
      </c>
      <c r="B54" s="2" t="s">
        <v>224</v>
      </c>
      <c r="C54" s="2" cm="1">
        <f t="array" ref="C54">MAX(_xlfn._xlws.FILTER(Richardsonii!E$2:E1000, Richardsonii!E$2:E1000&lt;&gt;""))</f>
        <v>2.57</v>
      </c>
      <c r="D54" s="2" cm="1">
        <f t="array" ref="D54">MAX(_xlfn._xlws.FILTER(Richardsonii!F$2:F1000, Richardsonii!F$2:F1000&lt;&gt;""))</f>
        <v>1.22</v>
      </c>
      <c r="E54" s="2" cm="1">
        <f t="array" ref="E54">MAX(_xlfn._xlws.FILTER(Richardsonii!G$2:G1000, Richardsonii!G$2:G1000&lt;&gt;""))</f>
        <v>0.73</v>
      </c>
      <c r="F54" s="2" cm="1">
        <f t="array" ref="F54">MAX(_xlfn._xlws.FILTER(Richardsonii!H$2:H1000, Richardsonii!H$2:H1000&lt;&gt;""))</f>
        <v>9.3859999999999992</v>
      </c>
      <c r="G54" s="2" cm="1">
        <f t="array" ref="G54">MAX(_xlfn._xlws.FILTER(Richardsonii!I$2:I1000, Richardsonii!I$2:I1000&lt;&gt;""))</f>
        <v>4.97</v>
      </c>
      <c r="H54" s="2" cm="1">
        <f t="array" ref="H54">MAX(_xlfn._xlws.FILTER(Richardsonii!J$2:J1000, Richardsonii!J$2:J1000&lt;&gt;""))</f>
        <v>10.103999999999999</v>
      </c>
      <c r="I54" s="2" cm="1">
        <f t="array" ref="I54">MAX(_xlfn._xlws.FILTER(Richardsonii!K$2:K1000, Richardsonii!K$2:K1000&lt;&gt;""))</f>
        <v>5.2889999999999997</v>
      </c>
      <c r="J54" s="2" cm="1">
        <f t="array" ref="J54">MAX(_xlfn._xlws.FILTER(Richardsonii!L$2:L1000, Richardsonii!L$2:L1000&lt;&gt;""))</f>
        <v>3.9489999999999998</v>
      </c>
      <c r="K54" s="2" cm="1">
        <f t="array" ref="K54">MAX(_xlfn._xlws.FILTER(Richardsonii!M$2:M1000, Richardsonii!M$2:M1000&lt;&gt;""))</f>
        <v>5.5620000000000003</v>
      </c>
      <c r="L54" s="2" cm="1">
        <f t="array" ref="L54">MAX(_xlfn._xlws.FILTER(Richardsonii!N$2:N1000, Richardsonii!N$2:N1000&lt;&gt;""))</f>
        <v>3.8959999999999999</v>
      </c>
      <c r="M54" s="2" cm="1">
        <f t="array" ref="M54">MAX(_xlfn._xlws.FILTER(Richardsonii!O$2:O1000, Richardsonii!O$2:O1000&lt;&gt;""))</f>
        <v>2.6829999999999998</v>
      </c>
      <c r="N54" s="2" cm="1">
        <f t="array" ref="N54">MAX(_xlfn._xlws.FILTER(Richardsonii!P$2:P1000, Richardsonii!P$2:P1000&lt;&gt;""))</f>
        <v>4.5839999999999996</v>
      </c>
      <c r="O54" s="2" cm="1">
        <f t="array" ref="O54">MAX(_xlfn._xlws.FILTER(Richardsonii!Q$2:Q1000, Richardsonii!Q$2:Q1000&lt;&gt;""))</f>
        <v>14.27</v>
      </c>
      <c r="P54" s="2" cm="1">
        <f t="array" ref="P54">MAX(_xlfn._xlws.FILTER(Richardsonii!R$2:R1000, Richardsonii!R$2:R1000&lt;&gt;""))</f>
        <v>673.57399999999996</v>
      </c>
    </row>
    <row r="55" spans="1:16" s="2" customFormat="1" ht="17" x14ac:dyDescent="0.25">
      <c r="A55" s="2" t="s">
        <v>127</v>
      </c>
      <c r="B55" s="2" t="s">
        <v>225</v>
      </c>
      <c r="C55" s="2" t="str">
        <f>"(" &amp; IF(MIN(Richardsonii!E$2:E$1000)&lt;_xlfn.QUARTILE.INC(Richardsonii!E$2:E$1000,1)-1.5*(_xlfn.QUARTILE.INC(Richardsonii!E$2:E$1000,3)-_xlfn.QUARTILE.INC(Richardsonii!E$2:E$1000,1)),MIN(Richardsonii!E$2:E$1000),"") &amp; ") " &amp; _xlfn.MINIFS(Richardsonii!E$2:E$1000,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"–" &amp; _xlfn.MAXIFS(Richardsonii!E$2:E$1000,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 (" &amp; IF(MAX(Richardsonii!E$2:E$1000)&gt;_xlfn.QUARTILE.INC(Richardsonii!E$2:E$1000,3)+1.5*(_xlfn.QUARTILE.INC(Richardsonii!E$2:E$1000,3)-_xlfn.QUARTILE.INC(Richardsonii!E$2:E$1000,1)),MAX(Richardsonii!E$2:E$1000),"") &amp; ") mm"</f>
        <v>(0) 0.707–1.79 (2.57) mm</v>
      </c>
      <c r="D55" s="2" t="str">
        <f>"(" &amp; IF(MIN(Richardsonii!F$2:F$1000)&lt;_xlfn.QUARTILE.INC(Richardsonii!F$2:F$1000,1)-1.5*(_xlfn.QUARTILE.INC(Richardsonii!F$2:F$1000,3)-_xlfn.QUARTILE.INC(Richardsonii!F$2:F$1000,1)),MIN(Richardsonii!F$2:F$1000),"") &amp; ") " &amp; _xlfn.MINIFS(Richardsonii!F$2:F$1000, Richardsonii!F$2:F$1000, "&gt;=" &amp; _xlfn.QUARTILE.INC(Richardsonii!F$2:F$1000,1)-1.5*(_xlfn.QUARTILE.INC(Richardsonii!F$2:F$1000,3)-_xlfn.QUARTILE.INC(Richardsonii!F$2:F$1000,1)), Richardsonii!F$2:F$1000, "&lt;=" &amp; _xlfn.QUARTILE.INC(Richardsonii!F$2:F$1000,3)+1.5*(_xlfn.QUARTILE.INC(Richardsonii!F$2:F$1000,3)-_xlfn.QUARTILE.INC(Richardsonii!F$2:F$1000,1))) &amp; "–" &amp; _xlfn.MAXIFS(Richardsonii!F$2:F$1000, Richardsonii!F$2:F$1000, "&gt;=" &amp; _xlfn.QUARTILE.INC(Richardsonii!F$2:F$1000,1)-1.5*(_xlfn.QUARTILE.INC(Richardsonii!F$2:F$1000,3)-_xlfn.QUARTILE.INC(Richardsonii!F$2:F$1000,1)), Richardsonii!F$2:F$1000, "&lt;=" &amp; _xlfn.QUARTILE.INC(Richardsonii!F$2:F$1000,3)+1.5*(_xlfn.QUARTILE.INC(Richardsonii!F$2:F$1000,3)-_xlfn.QUARTILE.INC(Richardsonii!F$2:F$1000,1))) &amp; " (" &amp; IF(MAX(Richardsonii!F$2:F$1000)&gt;_xlfn.QUARTILE.INC(Richardsonii!F$2:F$1000,3)+1.5*(_xlfn.QUARTILE.INC(Richardsonii!F$2:F$1000,3)-_xlfn.QUARTILE.INC(Richardsonii!F$2:F$1000,1)),MAX(Richardsonii!F$2:F$1000),"") &amp; ") mm"</f>
        <v>() 0–1.22 () mm</v>
      </c>
      <c r="E55" s="2" t="str">
        <f>"(" &amp; IF(MIN(Richardsonii!G$2:G$1000)&lt;_xlfn.QUARTILE.INC(Richardsonii!G$2:G$1000,1)-1.5*(_xlfn.QUARTILE.INC(Richardsonii!G$2:G$1000,3)-_xlfn.QUARTILE.INC(Richardsonii!G$2:G$1000,1)),MIN(Richardsonii!G$2:G$1000),"") &amp; ") " &amp; _xlfn.MINIFS(Richardsonii!G$2:G$1000, Richardsonii!G$2:G$1000, "&gt;=" &amp; _xlfn.QUARTILE.INC(Richardsonii!G$2:G$1000,1)-1.5*(_xlfn.QUARTILE.INC(Richardsonii!G$2:G$1000,3)-_xlfn.QUARTILE.INC(Richardsonii!G$2:G$1000,1)), Richardsonii!G$2:G$1000, "&lt;=" &amp; _xlfn.QUARTILE.INC(Richardsonii!G$2:G$1000,3)+1.5*(_xlfn.QUARTILE.INC(Richardsonii!G$2:G$1000,3)-_xlfn.QUARTILE.INC(Richardsonii!G$2:G$1000,1))) &amp; "–" &amp; _xlfn.MAXIFS(Richardsonii!G$2:G$1000, Richardsonii!G$2:G$1000, "&gt;=" &amp; _xlfn.QUARTILE.INC(Richardsonii!G$2:G$1000,1)-1.5*(_xlfn.QUARTILE.INC(Richardsonii!G$2:G$1000,3)-_xlfn.QUARTILE.INC(Richardsonii!G$2:G$1000,1)), Richardsonii!G$2:G$1000, "&lt;=" &amp; _xlfn.QUARTILE.INC(Richardsonii!G$2:G$1000,3)+1.5*(_xlfn.QUARTILE.INC(Richardsonii!G$2:G$1000,3)-_xlfn.QUARTILE.INC(Richardsonii!G$2:G$1000,1))) &amp; " (" &amp; IF(MAX(Richardsonii!G$2:G$1000)&gt;_xlfn.QUARTILE.INC(Richardsonii!G$2:G$1000,3)+1.5*(_xlfn.QUARTILE.INC(Richardsonii!G$2:G$1000,3)-_xlfn.QUARTILE.INC(Richardsonii!G$2:G$1000,1)),MAX(Richardsonii!G$2:G$1000),"") &amp; ") mm"</f>
        <v>() 0–0 (0.73) mm</v>
      </c>
      <c r="F55" s="2" t="str">
        <f>"(" &amp; IF(MIN(Richardsonii!H$2:H$1000)&lt;_xlfn.QUARTILE.INC(Richardsonii!H$2:H$1000,1)-1.5*(_xlfn.QUARTILE.INC(Richardsonii!H$2:H$1000,3)-_xlfn.QUARTILE.INC(Richardsonii!H$2:H$1000,1)),MIN(Richardsonii!H$2:H$1000),"") &amp; ") " &amp; _xlfn.MINIFS(Richardsonii!H$2:H$1000, Richardsonii!H$2:H$1000, "&gt;=" &amp; _xlfn.QUARTILE.INC(Richardsonii!H$2:H$1000,1)-1.5*(_xlfn.QUARTILE.INC(Richardsonii!H$2:H$1000,3)-_xlfn.QUARTILE.INC(Richardsonii!H$2:H$1000,1)), Richardsonii!H$2:H$1000, "&lt;=" &amp; _xlfn.QUARTILE.INC(Richardsonii!H$2:H$1000,3)+1.5*(_xlfn.QUARTILE.INC(Richardsonii!H$2:H$1000,3)-_xlfn.QUARTILE.INC(Richardsonii!H$2:H$1000,1))) &amp; "–" &amp; _xlfn.MAXIFS(Richardsonii!H$2:H$1000, Richardsonii!H$2:H$1000, "&gt;=" &amp; _xlfn.QUARTILE.INC(Richardsonii!H$2:H$1000,1)-1.5*(_xlfn.QUARTILE.INC(Richardsonii!H$2:H$1000,3)-_xlfn.QUARTILE.INC(Richardsonii!H$2:H$1000,1)), Richardsonii!H$2:H$1000, "&lt;=" &amp; _xlfn.QUARTILE.INC(Richardsonii!H$2:H$1000,3)+1.5*(_xlfn.QUARTILE.INC(Richardsonii!H$2:H$1000,3)-_xlfn.QUARTILE.INC(Richardsonii!H$2:H$1000,1))) &amp; " (" &amp; IF(MAX(Richardsonii!H$2:H$1000)&gt;_xlfn.QUARTILE.INC(Richardsonii!H$2:H$1000,3)+1.5*(_xlfn.QUARTILE.INC(Richardsonii!H$2:H$1000,3)-_xlfn.QUARTILE.INC(Richardsonii!H$2:H$1000,1)),MAX(Richardsonii!H$2:H$1000),"") &amp; ") mm"</f>
        <v>() 1.09–6.228 (9.386) mm</v>
      </c>
      <c r="G55" s="2" t="str">
        <f>"(" &amp; IF(MIN(Richardsonii!I$2:I$1000)&lt;_xlfn.QUARTILE.INC(Richardsonii!I$2:I$1000,1)-1.5*(_xlfn.QUARTILE.INC(Richardsonii!I$2:I$1000,3)-_xlfn.QUARTILE.INC(Richardsonii!I$2:I$1000,1)),MIN(Richardsonii!I$2:I$1000),"") &amp; ") " &amp; _xlfn.MINIFS(Richardsonii!I$2:I$1000, Richardsonii!I$2:I$1000, "&gt;=" &amp; _xlfn.QUARTILE.INC(Richardsonii!I$2:I$1000,1)-1.5*(_xlfn.QUARTILE.INC(Richardsonii!I$2:I$1000,3)-_xlfn.QUARTILE.INC(Richardsonii!I$2:I$1000,1)), Richardsonii!I$2:I$1000, "&lt;=" &amp; _xlfn.QUARTILE.INC(Richardsonii!I$2:I$1000,3)+1.5*(_xlfn.QUARTILE.INC(Richardsonii!I$2:I$1000,3)-_xlfn.QUARTILE.INC(Richardsonii!I$2:I$1000,1))) &amp; "–" &amp; _xlfn.MAXIFS(Richardsonii!I$2:I$1000, Richardsonii!I$2:I$1000, "&gt;=" &amp; _xlfn.QUARTILE.INC(Richardsonii!I$2:I$1000,1)-1.5*(_xlfn.QUARTILE.INC(Richardsonii!I$2:I$1000,3)-_xlfn.QUARTILE.INC(Richardsonii!I$2:I$1000,1)), Richardsonii!I$2:I$1000, "&lt;=" &amp; _xlfn.QUARTILE.INC(Richardsonii!I$2:I$1000,3)+1.5*(_xlfn.QUARTILE.INC(Richardsonii!I$2:I$1000,3)-_xlfn.QUARTILE.INC(Richardsonii!I$2:I$1000,1))) &amp; " (" &amp; IF(MAX(Richardsonii!I$2:I$1000)&gt;_xlfn.QUARTILE.INC(Richardsonii!I$2:I$1000,3)+1.5*(_xlfn.QUARTILE.INC(Richardsonii!I$2:I$1000,3)-_xlfn.QUARTILE.INC(Richardsonii!I$2:I$1000,1)),MAX(Richardsonii!I$2:I$1000),"") &amp; ") mm"</f>
        <v>() 0.316–3.372 (4.97) mm</v>
      </c>
      <c r="H55" s="2" t="str">
        <f>"(" &amp; IF(MIN(Richardsonii!J$2:J$1000)&lt;_xlfn.QUARTILE.INC(Richardsonii!J$2:J$1000,1)-1.5*(_xlfn.QUARTILE.INC(Richardsonii!J$2:J$1000,3)-_xlfn.QUARTILE.INC(Richardsonii!J$2:J$1000,1)),MIN(Richardsonii!J$2:J$1000),"") &amp; ") " &amp; _xlfn.MINIFS(Richardsonii!J$2:J$1000, Richardsonii!J$2:J$1000, "&gt;=" &amp; _xlfn.QUARTILE.INC(Richardsonii!J$2:J$1000,1)-1.5*(_xlfn.QUARTILE.INC(Richardsonii!J$2:J$1000,3)-_xlfn.QUARTILE.INC(Richardsonii!J$2:J$1000,1)), Richardsonii!J$2:J$1000, "&lt;=" &amp; _xlfn.QUARTILE.INC(Richardsonii!J$2:J$1000,3)+1.5*(_xlfn.QUARTILE.INC(Richardsonii!J$2:J$1000,3)-_xlfn.QUARTILE.INC(Richardsonii!J$2:J$1000,1))) &amp; "–" &amp; _xlfn.MAXIFS(Richardsonii!J$2:J$1000, Richardsonii!J$2:J$1000, "&gt;=" &amp; _xlfn.QUARTILE.INC(Richardsonii!J$2:J$1000,1)-1.5*(_xlfn.QUARTILE.INC(Richardsonii!J$2:J$1000,3)-_xlfn.QUARTILE.INC(Richardsonii!J$2:J$1000,1)), Richardsonii!J$2:J$1000, "&lt;=" &amp; _xlfn.QUARTILE.INC(Richardsonii!J$2:J$1000,3)+1.5*(_xlfn.QUARTILE.INC(Richardsonii!J$2:J$1000,3)-_xlfn.QUARTILE.INC(Richardsonii!J$2:J$1000,1))) &amp; " (" &amp; IF(MAX(Richardsonii!J$2:J$1000)&gt;_xlfn.QUARTILE.INC(Richardsonii!J$2:J$1000,3)+1.5*(_xlfn.QUARTILE.INC(Richardsonii!J$2:J$1000,3)-_xlfn.QUARTILE.INC(Richardsonii!J$2:J$1000,1)),MAX(Richardsonii!J$2:J$1000),"") &amp; ") mm"</f>
        <v>() 2.784–10.104 () mm</v>
      </c>
      <c r="I55" s="2" t="str">
        <f>"(" &amp; IF(MIN(Richardsonii!K$2:K$1000)&lt;_xlfn.QUARTILE.INC(Richardsonii!K$2:K$1000,1)-1.5*(_xlfn.QUARTILE.INC(Richardsonii!K$2:K$1000,3)-_xlfn.QUARTILE.INC(Richardsonii!K$2:K$1000,1)),MIN(Richardsonii!K$2:K$1000),"") &amp; ") " &amp; _xlfn.MINIFS(Richardsonii!K$2:K$1000, Richardsonii!K$2:K$1000, "&gt;=" &amp; _xlfn.QUARTILE.INC(Richardsonii!K$2:K$1000,1)-1.5*(_xlfn.QUARTILE.INC(Richardsonii!K$2:K$1000,3)-_xlfn.QUARTILE.INC(Richardsonii!K$2:K$1000,1)), Richardsonii!K$2:K$1000, "&lt;=" &amp; _xlfn.QUARTILE.INC(Richardsonii!K$2:K$1000,3)+1.5*(_xlfn.QUARTILE.INC(Richardsonii!K$2:K$1000,3)-_xlfn.QUARTILE.INC(Richardsonii!K$2:K$1000,1))) &amp; "–" &amp; _xlfn.MAXIFS(Richardsonii!K$2:K$1000, Richardsonii!K$2:K$1000, "&gt;=" &amp; _xlfn.QUARTILE.INC(Richardsonii!K$2:K$1000,1)-1.5*(_xlfn.QUARTILE.INC(Richardsonii!K$2:K$1000,3)-_xlfn.QUARTILE.INC(Richardsonii!K$2:K$1000,1)), Richardsonii!K$2:K$1000, "&lt;=" &amp; _xlfn.QUARTILE.INC(Richardsonii!K$2:K$1000,3)+1.5*(_xlfn.QUARTILE.INC(Richardsonii!K$2:K$1000,3)-_xlfn.QUARTILE.INC(Richardsonii!K$2:K$1000,1))) &amp; " (" &amp; IF(MAX(Richardsonii!K$2:K$1000)&gt;_xlfn.QUARTILE.INC(Richardsonii!K$2:K$1000,3)+1.5*(_xlfn.QUARTILE.INC(Richardsonii!K$2:K$1000,3)-_xlfn.QUARTILE.INC(Richardsonii!K$2:K$1000,1)),MAX(Richardsonii!K$2:K$1000),"") &amp; ") mm"</f>
        <v>(1.655) 1.8–5.289 () mm</v>
      </c>
      <c r="J55" s="2" t="str">
        <f>"(" &amp; IF(MIN(Richardsonii!L$2:L$1000)&lt;_xlfn.QUARTILE.INC(Richardsonii!L$2:L$1000,1)-1.5*(_xlfn.QUARTILE.INC(Richardsonii!L$2:L$1000,3)-_xlfn.QUARTILE.INC(Richardsonii!L$2:L$1000,1)),MIN(Richardsonii!L$2:L$1000),"") &amp; ") " &amp; _xlfn.MINIFS(Richardsonii!L$2:L$1000, Richardsonii!L$2:L$1000, "&gt;=" &amp; _xlfn.QUARTILE.INC(Richardsonii!L$2:L$1000,1)-1.5*(_xlfn.QUARTILE.INC(Richardsonii!L$2:L$1000,3)-_xlfn.QUARTILE.INC(Richardsonii!L$2:L$1000,1)), Richardsonii!L$2:L$1000, "&lt;=" &amp; _xlfn.QUARTILE.INC(Richardsonii!L$2:L$1000,3)+1.5*(_xlfn.QUARTILE.INC(Richardsonii!L$2:L$1000,3)-_xlfn.QUARTILE.INC(Richardsonii!L$2:L$1000,1))) &amp; "–" &amp; _xlfn.MAXIFS(Richardsonii!L$2:L$1000, Richardsonii!L$2:L$1000, "&gt;=" &amp; _xlfn.QUARTILE.INC(Richardsonii!L$2:L$1000,1)-1.5*(_xlfn.QUARTILE.INC(Richardsonii!L$2:L$1000,3)-_xlfn.QUARTILE.INC(Richardsonii!L$2:L$1000,1)), Richardsonii!L$2:L$1000, "&lt;=" &amp; _xlfn.QUARTILE.INC(Richardsonii!L$2:L$1000,3)+1.5*(_xlfn.QUARTILE.INC(Richardsonii!L$2:L$1000,3)-_xlfn.QUARTILE.INC(Richardsonii!L$2:L$1000,1))) &amp; " (" &amp; IF(MAX(Richardsonii!L$2:L$1000)&gt;_xlfn.QUARTILE.INC(Richardsonii!L$2:L$1000,3)+1.5*(_xlfn.QUARTILE.INC(Richardsonii!L$2:L$1000,3)-_xlfn.QUARTILE.INC(Richardsonii!L$2:L$1000,1)),MAX(Richardsonii!L$2:L$1000),"") &amp; ") mm"</f>
        <v>() 0.78–3.949 () mm</v>
      </c>
      <c r="K55" s="2" t="str">
        <f>"(" &amp; IF(MIN(Richardsonii!M$2:M$1000)&lt;_xlfn.QUARTILE.INC(Richardsonii!M$2:M$1000,1)-1.5*(_xlfn.QUARTILE.INC(Richardsonii!M$2:M$1000,3)-_xlfn.QUARTILE.INC(Richardsonii!M$2:M$1000,1)),MIN(Richardsonii!M$2:M$1000),"") &amp; ") " &amp; _xlfn.MINIFS(Richardsonii!M$2:M$1000, Richardsonii!M$2:M$1000, "&gt;=" &amp; _xlfn.QUARTILE.INC(Richardsonii!M$2:M$1000,1)-1.5*(_xlfn.QUARTILE.INC(Richardsonii!M$2:M$1000,3)-_xlfn.QUARTILE.INC(Richardsonii!M$2:M$1000,1)), Richardsonii!M$2:M$1000, "&lt;=" &amp; _xlfn.QUARTILE.INC(Richardsonii!M$2:M$1000,3)+1.5*(_xlfn.QUARTILE.INC(Richardsonii!M$2:M$1000,3)-_xlfn.QUARTILE.INC(Richardsonii!M$2:M$1000,1))) &amp; "–" &amp; _xlfn.MAXIFS(Richardsonii!M$2:M$1000, Richardsonii!M$2:M$1000, "&gt;=" &amp; _xlfn.QUARTILE.INC(Richardsonii!M$2:M$1000,1)-1.5*(_xlfn.QUARTILE.INC(Richardsonii!M$2:M$1000,3)-_xlfn.QUARTILE.INC(Richardsonii!M$2:M$1000,1)), Richardsonii!M$2:M$1000, "&lt;=" &amp; _xlfn.QUARTILE.INC(Richardsonii!M$2:M$1000,3)+1.5*(_xlfn.QUARTILE.INC(Richardsonii!M$2:M$1000,3)-_xlfn.QUARTILE.INC(Richardsonii!M$2:M$1000,1))) &amp; " (" &amp; IF(MAX(Richardsonii!M$2:M$1000)&gt;_xlfn.QUARTILE.INC(Richardsonii!M$2:M$1000,3)+1.5*(_xlfn.QUARTILE.INC(Richardsonii!M$2:M$1000,3)-_xlfn.QUARTILE.INC(Richardsonii!M$2:M$1000,1)),MAX(Richardsonii!M$2:M$1000),"") &amp; ") mm"</f>
        <v>() 1.653–5.562 () mm</v>
      </c>
      <c r="L55" s="2" t="str">
        <f>"(" &amp; IF(MIN(Richardsonii!N$2:N$1000)&lt;_xlfn.QUARTILE.INC(Richardsonii!N$2:N$1000,1)-1.5*(_xlfn.QUARTILE.INC(Richardsonii!N$2:N$1000,3)-_xlfn.QUARTILE.INC(Richardsonii!N$2:N$1000,1)),MIN(Richardsonii!N$2:N$1000),"") &amp; ") " &amp; _xlfn.MINIFS(Richardsonii!N$2:N$1000, Richardsonii!N$2:N$1000, "&gt;=" &amp; _xlfn.QUARTILE.INC(Richardsonii!N$2:N$1000,1)-1.5*(_xlfn.QUARTILE.INC(Richardsonii!N$2:N$1000,3)-_xlfn.QUARTILE.INC(Richardsonii!N$2:N$1000,1)), Richardsonii!N$2:N$1000, "&lt;=" &amp; _xlfn.QUARTILE.INC(Richardsonii!N$2:N$1000,3)+1.5*(_xlfn.QUARTILE.INC(Richardsonii!N$2:N$1000,3)-_xlfn.QUARTILE.INC(Richardsonii!N$2:N$1000,1))) &amp; "–" &amp; _xlfn.MAXIFS(Richardsonii!N$2:N$1000, Richardsonii!N$2:N$1000, "&gt;=" &amp; _xlfn.QUARTILE.INC(Richardsonii!N$2:N$1000,1)-1.5*(_xlfn.QUARTILE.INC(Richardsonii!N$2:N$1000,3)-_xlfn.QUARTILE.INC(Richardsonii!N$2:N$1000,1)), Richardsonii!N$2:N$1000, "&lt;=" &amp; _xlfn.QUARTILE.INC(Richardsonii!N$2:N$1000,3)+1.5*(_xlfn.QUARTILE.INC(Richardsonii!N$2:N$1000,3)-_xlfn.QUARTILE.INC(Richardsonii!N$2:N$1000,1))) &amp; " (" &amp; IF(MAX(Richardsonii!N$2:N$1000)&gt;_xlfn.QUARTILE.INC(Richardsonii!N$2:N$1000,3)+1.5*(_xlfn.QUARTILE.INC(Richardsonii!N$2:N$1000,3)-_xlfn.QUARTILE.INC(Richardsonii!N$2:N$1000,1)),MAX(Richardsonii!N$2:N$1000),"") &amp; ") mm"</f>
        <v>() 1.036–3.001 (3.896) mm</v>
      </c>
      <c r="M55" s="2" t="str">
        <f>"(" &amp; IF(MIN(Richardsonii!O$2:O$1000)&lt;_xlfn.QUARTILE.INC(Richardsonii!O$2:O$1000,1)-1.5*(_xlfn.QUARTILE.INC(Richardsonii!O$2:O$1000,3)-_xlfn.QUARTILE.INC(Richardsonii!O$2:O$1000,1)),MIN(Richardsonii!O$2:O$1000),"") &amp; ") " &amp; _xlfn.MINIFS(Richardsonii!O$2:O$1000, Richardsonii!O$2:O$1000, "&gt;=" &amp; _xlfn.QUARTILE.INC(Richardsonii!O$2:O$1000,1)-1.5*(_xlfn.QUARTILE.INC(Richardsonii!O$2:O$1000,3)-_xlfn.QUARTILE.INC(Richardsonii!O$2:O$1000,1)), Richardsonii!O$2:O$1000, "&lt;=" &amp; _xlfn.QUARTILE.INC(Richardsonii!O$2:O$1000,3)+1.5*(_xlfn.QUARTILE.INC(Richardsonii!O$2:O$1000,3)-_xlfn.QUARTILE.INC(Richardsonii!O$2:O$1000,1))) &amp; "–" &amp; _xlfn.MAXIFS(Richardsonii!O$2:O$1000, Richardsonii!O$2:O$1000, "&gt;=" &amp; _xlfn.QUARTILE.INC(Richardsonii!O$2:O$1000,1)-1.5*(_xlfn.QUARTILE.INC(Richardsonii!O$2:O$1000,3)-_xlfn.QUARTILE.INC(Richardsonii!O$2:O$1000,1)), Richardsonii!O$2:O$1000, "&lt;=" &amp; _xlfn.QUARTILE.INC(Richardsonii!O$2:O$1000,3)+1.5*(_xlfn.QUARTILE.INC(Richardsonii!O$2:O$1000,3)-_xlfn.QUARTILE.INC(Richardsonii!O$2:O$1000,1))) &amp; " (" &amp; IF(MAX(Richardsonii!O$2:O$1000)&gt;_xlfn.QUARTILE.INC(Richardsonii!O$2:O$1000,3)+1.5*(_xlfn.QUARTILE.INC(Richardsonii!O$2:O$1000,3)-_xlfn.QUARTILE.INC(Richardsonii!O$2:O$1000,1)),MAX(Richardsonii!O$2:O$1000),"") &amp; ") mm"</f>
        <v>(0) 0.432–1.57 (2.683) mm</v>
      </c>
      <c r="N55" s="2" t="str">
        <f>"(" &amp; IF(MIN(Richardsonii!P$2:P$1000)&lt;_xlfn.QUARTILE.INC(Richardsonii!P$2:P$1000,1)-1.5*(_xlfn.QUARTILE.INC(Richardsonii!P$2:P$1000,3)-_xlfn.QUARTILE.INC(Richardsonii!P$2:P$1000,1)),MIN(Richardsonii!P$2:P$1000),"") &amp; ") " &amp; _xlfn.MINIFS(Richardsonii!P$2:P$1000, Richardsonii!P$2:P$1000, "&gt;=" &amp; _xlfn.QUARTILE.INC(Richardsonii!P$2:P$1000,1)-1.5*(_xlfn.QUARTILE.INC(Richardsonii!P$2:P$1000,3)-_xlfn.QUARTILE.INC(Richardsonii!P$2:P$1000,1)), Richardsonii!P$2:P$1000, "&lt;=" &amp; _xlfn.QUARTILE.INC(Richardsonii!P$2:P$1000,3)+1.5*(_xlfn.QUARTILE.INC(Richardsonii!P$2:P$1000,3)-_xlfn.QUARTILE.INC(Richardsonii!P$2:P$1000,1))) &amp; "–" &amp; _xlfn.MAXIFS(Richardsonii!P$2:P$1000, Richardsonii!P$2:P$1000, "&gt;=" &amp; _xlfn.QUARTILE.INC(Richardsonii!P$2:P$1000,1)-1.5*(_xlfn.QUARTILE.INC(Richardsonii!P$2:P$1000,3)-_xlfn.QUARTILE.INC(Richardsonii!P$2:P$1000,1)), Richardsonii!P$2:P$1000, "&lt;=" &amp; _xlfn.QUARTILE.INC(Richardsonii!P$2:P$1000,3)+1.5*(_xlfn.QUARTILE.INC(Richardsonii!P$2:P$1000,3)-_xlfn.QUARTILE.INC(Richardsonii!P$2:P$1000,1))) &amp; " (" &amp; IF(MAX(Richardsonii!P$2:P$1000)&gt;_xlfn.QUARTILE.INC(Richardsonii!P$2:P$1000,3)+1.5*(_xlfn.QUARTILE.INC(Richardsonii!P$2:P$1000,3)-_xlfn.QUARTILE.INC(Richardsonii!P$2:P$1000,1)),MAX(Richardsonii!P$2:P$1000),"") &amp; ") mm"</f>
        <v>() 1.166–3.84 (4.584) mm</v>
      </c>
      <c r="O55" s="2" t="str">
        <f>"(" &amp; IF(MIN(Richardsonii!Q$2:Q$1000)&lt;_xlfn.QUARTILE.INC(Richardsonii!Q$2:Q$1000,1)-1.5*(_xlfn.QUARTILE.INC(Richardsonii!Q$2:Q$1000,3)-_xlfn.QUARTILE.INC(Richardsonii!Q$2:Q$1000,1)),MIN(Richardsonii!Q$2:Q$1000),"") &amp; ") " &amp; _xlfn.MINIFS(Richardsonii!Q$2:Q$1000, Richardsonii!Q$2:Q$1000, "&gt;=" &amp; _xlfn.QUARTILE.INC(Richardsonii!Q$2:Q$1000,1)-1.5*(_xlfn.QUARTILE.INC(Richardsonii!Q$2:Q$1000,3)-_xlfn.QUARTILE.INC(Richardsonii!Q$2:Q$1000,1)), Richardsonii!Q$2:Q$1000, "&lt;=" &amp; _xlfn.QUARTILE.INC(Richardsonii!Q$2:Q$1000,3)+1.5*(_xlfn.QUARTILE.INC(Richardsonii!Q$2:Q$1000,3)-_xlfn.QUARTILE.INC(Richardsonii!Q$2:Q$1000,1))) &amp; "–" &amp; _xlfn.MAXIFS(Richardsonii!Q$2:Q$1000, Richardsonii!Q$2:Q$1000, "&gt;=" &amp; _xlfn.QUARTILE.INC(Richardsonii!Q$2:Q$1000,1)-1.5*(_xlfn.QUARTILE.INC(Richardsonii!Q$2:Q$1000,3)-_xlfn.QUARTILE.INC(Richardsonii!Q$2:Q$1000,1)), Richardsonii!Q$2:Q$1000, "&lt;=" &amp; _xlfn.QUARTILE.INC(Richardsonii!Q$2:Q$1000,3)+1.5*(_xlfn.QUARTILE.INC(Richardsonii!Q$2:Q$1000,3)-_xlfn.QUARTILE.INC(Richardsonii!Q$2:Q$1000,1))) &amp; " (" &amp; IF(MAX(Richardsonii!Q$2:Q$1000)&gt;_xlfn.QUARTILE.INC(Richardsonii!Q$2:Q$1000,3)+1.5*(_xlfn.QUARTILE.INC(Richardsonii!Q$2:Q$1000,3)-_xlfn.QUARTILE.INC(Richardsonii!Q$2:Q$1000,1)),MAX(Richardsonii!Q$2:Q$1000),"") &amp; ") mm"</f>
        <v>() 1.784–14.27 () mm</v>
      </c>
      <c r="P55" s="2" t="str">
        <f>"(" &amp; IF(MIN(Richardsonii!R$2:R$1000)&lt;_xlfn.QUARTILE.INC(Richardsonii!R$2:R$1000,1)-1.5*(_xlfn.QUARTILE.INC(Richardsonii!R$2:R$1000,3)-_xlfn.QUARTILE.INC(Richardsonii!R$2:R$1000,1)),MIN(Richardsonii!R$2:R$1000),"") &amp; ") " &amp; _xlfn.MINIFS(Richardsonii!R$2:R$1000, Richardsonii!R$2:R$1000, "&gt;=" &amp; _xlfn.QUARTILE.INC(Richardsonii!R$2:R$1000,1)-1.5*(_xlfn.QUARTILE.INC(Richardsonii!R$2:R$1000,3)-_xlfn.QUARTILE.INC(Richardsonii!R$2:R$1000,1)), Richardsonii!R$2:R$1000, "&lt;=" &amp; _xlfn.QUARTILE.INC(Richardsonii!R$2:R$1000,3)+1.5*(_xlfn.QUARTILE.INC(Richardsonii!R$2:R$1000,3)-_xlfn.QUARTILE.INC(Richardsonii!R$2:R$1000,1))) &amp; "–" &amp; _xlfn.MAXIFS(Richardsonii!R$2:R$1000, Richardsonii!R$2:R$1000, "&gt;=" &amp; _xlfn.QUARTILE.INC(Richardsonii!R$2:R$1000,1)-1.5*(_xlfn.QUARTILE.INC(Richardsonii!R$2:R$1000,3)-_xlfn.QUARTILE.INC(Richardsonii!R$2:R$1000,1)), Richardsonii!R$2:R$1000, "&lt;=" &amp; _xlfn.QUARTILE.INC(Richardsonii!R$2:R$1000,3)+1.5*(_xlfn.QUARTILE.INC(Richardsonii!R$2:R$1000,3)-_xlfn.QUARTILE.INC(Richardsonii!R$2:R$1000,1))) &amp; " (" &amp; IF(MAX(Richardsonii!R$2:R$1000)&gt;_xlfn.QUARTILE.INC(Richardsonii!R$2:R$1000,3)+1.5*(_xlfn.QUARTILE.INC(Richardsonii!R$2:R$1000,3)-_xlfn.QUARTILE.INC(Richardsonii!R$2:R$1000,1)),MAX(Richardsonii!R$2:R$1000),"") &amp; ") mm"</f>
        <v>() 272.047–609.68 (673.574) mm</v>
      </c>
    </row>
    <row r="56" spans="1:16" s="4" customFormat="1" x14ac:dyDescent="0.2">
      <c r="A56" s="4" t="s">
        <v>130</v>
      </c>
      <c r="B56" s="4" t="s">
        <v>217</v>
      </c>
      <c r="C56" s="4" cm="1">
        <f t="array" ref="C56">_xlfn.QUARTILE.INC(_xlfn._xlws.FILTER(Hirsuticaulis!E$2:E1000, Hirsuticaulis!E$2:E1000&lt;&gt;""), 1)</f>
        <v>1.2142499999999998</v>
      </c>
      <c r="D56" s="4" cm="1">
        <f t="array" ref="D56">_xlfn.QUARTILE.INC(_xlfn._xlws.FILTER(Hirsuticaulis!F$2:F1000, Hirsuticaulis!F$2:F1000&lt;&gt;""), 1)</f>
        <v>0.66625000000000001</v>
      </c>
      <c r="E56" s="4" cm="1">
        <f t="array" ref="E56">_xlfn.QUARTILE.INC(_xlfn._xlws.FILTER(Hirsuticaulis!G$2:G1000, Hirsuticaulis!G$2:G1000&lt;&gt;""), 1)</f>
        <v>0</v>
      </c>
      <c r="F56" s="4" cm="1">
        <f t="array" ref="F56">_xlfn.QUARTILE.INC(_xlfn._xlws.FILTER(Hirsuticaulis!H$2:H1000, Hirsuticaulis!H$2:H1000&lt;&gt;""), 1)</f>
        <v>3.0644999999999998</v>
      </c>
      <c r="G56" s="4" cm="1">
        <f t="array" ref="G56">_xlfn.QUARTILE.INC(_xlfn._xlws.FILTER(Hirsuticaulis!I$2:I1000, Hirsuticaulis!I$2:I1000&lt;&gt;""), 1)</f>
        <v>0.92400000000000004</v>
      </c>
      <c r="H56" s="4" cm="1">
        <f t="array" ref="H56">_xlfn.QUARTILE.INC(_xlfn._xlws.FILTER(Hirsuticaulis!J$2:J1000, Hirsuticaulis!J$2:J1000&lt;&gt;""), 1)</f>
        <v>3.4330000000000003</v>
      </c>
      <c r="I56" s="4" cm="1">
        <f t="array" ref="I56">_xlfn.QUARTILE.INC(_xlfn._xlws.FILTER(Hirsuticaulis!K$2:K1000, Hirsuticaulis!K$2:K1000&lt;&gt;""), 1)</f>
        <v>1.14375</v>
      </c>
      <c r="J56" s="4" cm="1">
        <f t="array" ref="J56">_xlfn.QUARTILE.INC(_xlfn._xlws.FILTER(Hirsuticaulis!L$2:L1000, Hirsuticaulis!L$2:L1000&lt;&gt;""), 1)</f>
        <v>0.86675000000000002</v>
      </c>
      <c r="K56" s="4" cm="1">
        <f t="array" ref="K56">_xlfn.QUARTILE.INC(_xlfn._xlws.FILTER(Hirsuticaulis!M$2:M1000, Hirsuticaulis!M$2:M1000&lt;&gt;""), 1)</f>
        <v>1.8494999999999999</v>
      </c>
      <c r="L56" s="4" cm="1">
        <f t="array" ref="L56">_xlfn.QUARTILE.INC(_xlfn._xlws.FILTER(Hirsuticaulis!N$2:N1000, Hirsuticaulis!N$2:N1000&lt;&gt;""), 1)</f>
        <v>3.1419999999999999</v>
      </c>
      <c r="M56" s="4" cm="1">
        <f t="array" ref="M56">_xlfn.QUARTILE.INC(_xlfn._xlws.FILTER(Hirsuticaulis!O$2:O1000, Hirsuticaulis!O$2:O1000&lt;&gt;""), 1)</f>
        <v>2.8979999999999997</v>
      </c>
      <c r="N56" s="4" cm="1">
        <f t="array" ref="N56">_xlfn.QUARTILE.INC(_xlfn._xlws.FILTER(Hirsuticaulis!P$2:P1000, Hirsuticaulis!P$2:P1000&lt;&gt;""), 1)</f>
        <v>1.99</v>
      </c>
      <c r="O56" s="4" cm="1">
        <f t="array" ref="O56">_xlfn.QUARTILE.INC(_xlfn._xlws.FILTER(Hirsuticaulis!Q$2:Q1000, Hirsuticaulis!Q$2:Q1000&lt;&gt;""), 1)</f>
        <v>12.827</v>
      </c>
      <c r="P56" s="4" cm="1">
        <f t="array" ref="P56">_xlfn.QUARTILE.INC(_xlfn._xlws.FILTER(Hirsuticaulis!R$2:R1000, Hirsuticaulis!R$2:R1000&lt;&gt;""), 1)</f>
        <v>457.93674999999996</v>
      </c>
    </row>
    <row r="57" spans="1:16" s="4" customFormat="1" x14ac:dyDescent="0.2">
      <c r="A57" s="4" t="s">
        <v>130</v>
      </c>
      <c r="B57" s="4" t="s">
        <v>218</v>
      </c>
      <c r="C57" s="4" cm="1">
        <f t="array" ref="C57">_xlfn.QUARTILE.INC(_xlfn._xlws.FILTER(Hirsuticaulis!E$2:E1000, Hirsuticaulis!E$2:E1000&lt;&gt;""), 2)</f>
        <v>1.5625</v>
      </c>
      <c r="D57" s="4" cm="1">
        <f t="array" ref="D57">_xlfn.QUARTILE.INC(_xlfn._xlws.FILTER(Hirsuticaulis!F$2:F1000, Hirsuticaulis!F$2:F1000&lt;&gt;""), 2)</f>
        <v>0.83149999999999991</v>
      </c>
      <c r="E57" s="4" cm="1">
        <f t="array" ref="E57">_xlfn.QUARTILE.INC(_xlfn._xlws.FILTER(Hirsuticaulis!G$2:G1000, Hirsuticaulis!G$2:G1000&lt;&gt;""), 2)</f>
        <v>0</v>
      </c>
      <c r="F57" s="4" cm="1">
        <f t="array" ref="F57">_xlfn.QUARTILE.INC(_xlfn._xlws.FILTER(Hirsuticaulis!H$2:H1000, Hirsuticaulis!H$2:H1000&lt;&gt;""), 2)</f>
        <v>4.3419999999999996</v>
      </c>
      <c r="G57" s="4" cm="1">
        <f t="array" ref="G57">_xlfn.QUARTILE.INC(_xlfn._xlws.FILTER(Hirsuticaulis!I$2:I1000, Hirsuticaulis!I$2:I1000&lt;&gt;""), 2)</f>
        <v>1.4059999999999999</v>
      </c>
      <c r="H57" s="4" cm="1">
        <f t="array" ref="H57">_xlfn.QUARTILE.INC(_xlfn._xlws.FILTER(Hirsuticaulis!J$2:J1000, Hirsuticaulis!J$2:J1000&lt;&gt;""), 2)</f>
        <v>3.855</v>
      </c>
      <c r="I57" s="4" cm="1">
        <f t="array" ref="I57">_xlfn.QUARTILE.INC(_xlfn._xlws.FILTER(Hirsuticaulis!K$2:K1000, Hirsuticaulis!K$2:K1000&lt;&gt;""), 2)</f>
        <v>1.3784999999999998</v>
      </c>
      <c r="J57" s="4" cm="1">
        <f t="array" ref="J57">_xlfn.QUARTILE.INC(_xlfn._xlws.FILTER(Hirsuticaulis!L$2:L1000, Hirsuticaulis!L$2:L1000&lt;&gt;""), 2)</f>
        <v>1.0975000000000001</v>
      </c>
      <c r="K57" s="4" cm="1">
        <f t="array" ref="K57">_xlfn.QUARTILE.INC(_xlfn._xlws.FILTER(Hirsuticaulis!M$2:M1000, Hirsuticaulis!M$2:M1000&lt;&gt;""), 2)</f>
        <v>2.1989999999999998</v>
      </c>
      <c r="L57" s="4" cm="1">
        <f t="array" ref="L57">_xlfn.QUARTILE.INC(_xlfn._xlws.FILTER(Hirsuticaulis!N$2:N1000, Hirsuticaulis!N$2:N1000&lt;&gt;""), 2)</f>
        <v>3.5059999999999998</v>
      </c>
      <c r="M57" s="4" cm="1">
        <f t="array" ref="M57">_xlfn.QUARTILE.INC(_xlfn._xlws.FILTER(Hirsuticaulis!O$2:O1000, Hirsuticaulis!O$2:O1000&lt;&gt;""), 2)</f>
        <v>3.55</v>
      </c>
      <c r="N57" s="4" cm="1">
        <f t="array" ref="N57">_xlfn.QUARTILE.INC(_xlfn._xlws.FILTER(Hirsuticaulis!P$2:P1000, Hirsuticaulis!P$2:P1000&lt;&gt;""), 2)</f>
        <v>2.8220000000000001</v>
      </c>
      <c r="O57" s="4" cm="1">
        <f t="array" ref="O57">_xlfn.QUARTILE.INC(_xlfn._xlws.FILTER(Hirsuticaulis!Q$2:Q1000, Hirsuticaulis!Q$2:Q1000&lt;&gt;""), 2)</f>
        <v>16.7925</v>
      </c>
      <c r="P57" s="4" cm="1">
        <f t="array" ref="P57">_xlfn.QUARTILE.INC(_xlfn._xlws.FILTER(Hirsuticaulis!R$2:R1000, Hirsuticaulis!R$2:R1000&lt;&gt;""), 2)</f>
        <v>651.48399999999992</v>
      </c>
    </row>
    <row r="58" spans="1:16" s="4" customFormat="1" x14ac:dyDescent="0.2">
      <c r="A58" s="4" t="s">
        <v>130</v>
      </c>
      <c r="B58" s="4" t="s">
        <v>219</v>
      </c>
      <c r="C58" s="4" cm="1">
        <f t="array" ref="C58">_xlfn.QUARTILE.INC(_xlfn._xlws.FILTER(Hirsuticaulis!E$2:E1000, Hirsuticaulis!E$2:E1000&lt;&gt;""), 3)</f>
        <v>1.9252500000000001</v>
      </c>
      <c r="D58" s="4" cm="1">
        <f t="array" ref="D58">_xlfn.QUARTILE.INC(_xlfn._xlws.FILTER(Hirsuticaulis!F$2:F1000, Hirsuticaulis!F$2:F1000&lt;&gt;""), 3)</f>
        <v>1.0507500000000001</v>
      </c>
      <c r="E58" s="4" cm="1">
        <f t="array" ref="E58">_xlfn.QUARTILE.INC(_xlfn._xlws.FILTER(Hirsuticaulis!G$2:G1000, Hirsuticaulis!G$2:G1000&lt;&gt;""), 3)</f>
        <v>0.89800000000000002</v>
      </c>
      <c r="F58" s="4" cm="1">
        <f t="array" ref="F58">_xlfn.QUARTILE.INC(_xlfn._xlws.FILTER(Hirsuticaulis!H$2:H1000, Hirsuticaulis!H$2:H1000&lt;&gt;""), 3)</f>
        <v>5.4450000000000003</v>
      </c>
      <c r="G58" s="4" cm="1">
        <f t="array" ref="G58">_xlfn.QUARTILE.INC(_xlfn._xlws.FILTER(Hirsuticaulis!I$2:I1000, Hirsuticaulis!I$2:I1000&lt;&gt;""), 3)</f>
        <v>2.085</v>
      </c>
      <c r="H58" s="4" cm="1">
        <f t="array" ref="H58">_xlfn.QUARTILE.INC(_xlfn._xlws.FILTER(Hirsuticaulis!J$2:J1000, Hirsuticaulis!J$2:J1000&lt;&gt;""), 3)</f>
        <v>4.3122499999999997</v>
      </c>
      <c r="I58" s="4" cm="1">
        <f t="array" ref="I58">_xlfn.QUARTILE.INC(_xlfn._xlws.FILTER(Hirsuticaulis!K$2:K1000, Hirsuticaulis!K$2:K1000&lt;&gt;""), 3)</f>
        <v>1.58725</v>
      </c>
      <c r="J58" s="4" cm="1">
        <f t="array" ref="J58">_xlfn.QUARTILE.INC(_xlfn._xlws.FILTER(Hirsuticaulis!L$2:L1000, Hirsuticaulis!L$2:L1000&lt;&gt;""), 3)</f>
        <v>1.419</v>
      </c>
      <c r="K58" s="4" cm="1">
        <f t="array" ref="K58">_xlfn.QUARTILE.INC(_xlfn._xlws.FILTER(Hirsuticaulis!M$2:M1000, Hirsuticaulis!M$2:M1000&lt;&gt;""), 3)</f>
        <v>2.677</v>
      </c>
      <c r="L58" s="4" cm="1">
        <f t="array" ref="L58">_xlfn.QUARTILE.INC(_xlfn._xlws.FILTER(Hirsuticaulis!N$2:N1000, Hirsuticaulis!N$2:N1000&lt;&gt;""), 3)</f>
        <v>3.9329999999999998</v>
      </c>
      <c r="M58" s="4" cm="1">
        <f t="array" ref="M58">_xlfn.QUARTILE.INC(_xlfn._xlws.FILTER(Hirsuticaulis!O$2:O1000, Hirsuticaulis!O$2:O1000&lt;&gt;""), 3)</f>
        <v>4.234</v>
      </c>
      <c r="N58" s="4" cm="1">
        <f t="array" ref="N58">_xlfn.QUARTILE.INC(_xlfn._xlws.FILTER(Hirsuticaulis!P$2:P1000, Hirsuticaulis!P$2:P1000&lt;&gt;""), 3)</f>
        <v>3.907</v>
      </c>
      <c r="O58" s="4" cm="1">
        <f t="array" ref="O58">_xlfn.QUARTILE.INC(_xlfn._xlws.FILTER(Hirsuticaulis!Q$2:Q1000, Hirsuticaulis!Q$2:Q1000&lt;&gt;""), 3)</f>
        <v>24.514250000000001</v>
      </c>
      <c r="P58" s="4" cm="1">
        <f t="array" ref="P58">_xlfn.QUARTILE.INC(_xlfn._xlws.FILTER(Hirsuticaulis!R$2:R1000, Hirsuticaulis!R$2:R1000&lt;&gt;""), 3)</f>
        <v>733.16449999999998</v>
      </c>
    </row>
    <row r="59" spans="1:16" s="4" customFormat="1" x14ac:dyDescent="0.2">
      <c r="A59" s="4" t="s">
        <v>130</v>
      </c>
      <c r="B59" s="4" t="s">
        <v>220</v>
      </c>
      <c r="C59" s="4" cm="1">
        <f t="array" ref="C59">_xlfn.QUARTILE.INC(_xlfn._xlws.FILTER(Hirsuticaulis!E$2:E1000, Hirsuticaulis!E$2:E1000&lt;&gt;""), 3) - _xlfn.QUARTILE.INC(_xlfn._xlws.FILTER(Hirsuticaulis!E$2:E1000, Hirsuticaulis!E$2:E1000&lt;&gt;""), 1)</f>
        <v>0.7110000000000003</v>
      </c>
      <c r="D59" s="4" cm="1">
        <f t="array" ref="D59">_xlfn.QUARTILE.INC(_xlfn._xlws.FILTER(Hirsuticaulis!F$2:F1000, Hirsuticaulis!F$2:F1000&lt;&gt;""), 3) - _xlfn.QUARTILE.INC(_xlfn._xlws.FILTER(Hirsuticaulis!F$2:F1000, Hirsuticaulis!F$2:F1000&lt;&gt;""), 1)</f>
        <v>0.38450000000000006</v>
      </c>
      <c r="E59" s="4" cm="1">
        <f t="array" ref="E59">_xlfn.QUARTILE.INC(_xlfn._xlws.FILTER(Hirsuticaulis!G$2:G1000, Hirsuticaulis!G$2:G1000&lt;&gt;""), 3) - _xlfn.QUARTILE.INC(_xlfn._xlws.FILTER(Hirsuticaulis!G$2:G1000, Hirsuticaulis!G$2:G1000&lt;&gt;""), 1)</f>
        <v>0.89800000000000002</v>
      </c>
      <c r="F59" s="4" cm="1">
        <f t="array" ref="F59">_xlfn.QUARTILE.INC(_xlfn._xlws.FILTER(Hirsuticaulis!H$2:H1000, Hirsuticaulis!H$2:H1000&lt;&gt;""), 3) - _xlfn.QUARTILE.INC(_xlfn._xlws.FILTER(Hirsuticaulis!H$2:H1000, Hirsuticaulis!H$2:H1000&lt;&gt;""), 1)</f>
        <v>2.3805000000000005</v>
      </c>
      <c r="G59" s="4" cm="1">
        <f t="array" ref="G59">_xlfn.QUARTILE.INC(_xlfn._xlws.FILTER(Hirsuticaulis!I$2:I1000, Hirsuticaulis!I$2:I1000&lt;&gt;""), 3) - _xlfn.QUARTILE.INC(_xlfn._xlws.FILTER(Hirsuticaulis!I$2:I1000, Hirsuticaulis!I$2:I1000&lt;&gt;""), 1)</f>
        <v>1.161</v>
      </c>
      <c r="H59" s="4" cm="1">
        <f t="array" ref="H59">_xlfn.QUARTILE.INC(_xlfn._xlws.FILTER(Hirsuticaulis!J$2:J1000, Hirsuticaulis!J$2:J1000&lt;&gt;""), 3) - _xlfn.QUARTILE.INC(_xlfn._xlws.FILTER(Hirsuticaulis!J$2:J1000, Hirsuticaulis!J$2:J1000&lt;&gt;""), 1)</f>
        <v>0.87924999999999942</v>
      </c>
      <c r="I59" s="4" cm="1">
        <f t="array" ref="I59">_xlfn.QUARTILE.INC(_xlfn._xlws.FILTER(Hirsuticaulis!K$2:K1000, Hirsuticaulis!K$2:K1000&lt;&gt;""), 3) - _xlfn.QUARTILE.INC(_xlfn._xlws.FILTER(Hirsuticaulis!K$2:K1000, Hirsuticaulis!K$2:K1000&lt;&gt;""), 1)</f>
        <v>0.44350000000000001</v>
      </c>
      <c r="J59" s="4" cm="1">
        <f t="array" ref="J59">_xlfn.QUARTILE.INC(_xlfn._xlws.FILTER(Hirsuticaulis!L$2:L1000, Hirsuticaulis!L$2:L1000&lt;&gt;""), 3) - _xlfn.QUARTILE.INC(_xlfn._xlws.FILTER(Hirsuticaulis!L$2:L1000, Hirsuticaulis!L$2:L1000&lt;&gt;""), 1)</f>
        <v>0.55225000000000002</v>
      </c>
      <c r="K59" s="4" cm="1">
        <f t="array" ref="K59">_xlfn.QUARTILE.INC(_xlfn._xlws.FILTER(Hirsuticaulis!M$2:M1000, Hirsuticaulis!M$2:M1000&lt;&gt;""), 3) - _xlfn.QUARTILE.INC(_xlfn._xlws.FILTER(Hirsuticaulis!M$2:M1000, Hirsuticaulis!M$2:M1000&lt;&gt;""), 1)</f>
        <v>0.82750000000000012</v>
      </c>
      <c r="L59" s="4" cm="1">
        <f t="array" ref="L59">_xlfn.QUARTILE.INC(_xlfn._xlws.FILTER(Hirsuticaulis!N$2:N1000, Hirsuticaulis!N$2:N1000&lt;&gt;""), 3) - _xlfn.QUARTILE.INC(_xlfn._xlws.FILTER(Hirsuticaulis!N$2:N1000, Hirsuticaulis!N$2:N1000&lt;&gt;""), 1)</f>
        <v>0.79099999999999993</v>
      </c>
      <c r="M59" s="4" cm="1">
        <f t="array" ref="M59">_xlfn.QUARTILE.INC(_xlfn._xlws.FILTER(Hirsuticaulis!O$2:O1000, Hirsuticaulis!O$2:O1000&lt;&gt;""), 3) - _xlfn.QUARTILE.INC(_xlfn._xlws.FILTER(Hirsuticaulis!O$2:O1000, Hirsuticaulis!O$2:O1000&lt;&gt;""), 1)</f>
        <v>1.3360000000000003</v>
      </c>
      <c r="N59" s="4" cm="1">
        <f t="array" ref="N59">_xlfn.QUARTILE.INC(_xlfn._xlws.FILTER(Hirsuticaulis!P$2:P1000, Hirsuticaulis!P$2:P1000&lt;&gt;""), 3) - _xlfn.QUARTILE.INC(_xlfn._xlws.FILTER(Hirsuticaulis!P$2:P1000, Hirsuticaulis!P$2:P1000&lt;&gt;""), 1)</f>
        <v>1.917</v>
      </c>
      <c r="O59" s="4" cm="1">
        <f t="array" ref="O59">_xlfn.QUARTILE.INC(_xlfn._xlws.FILTER(Hirsuticaulis!Q$2:Q1000, Hirsuticaulis!Q$2:Q1000&lt;&gt;""), 3) - _xlfn.QUARTILE.INC(_xlfn._xlws.FILTER(Hirsuticaulis!Q$2:Q1000, Hirsuticaulis!Q$2:Q1000&lt;&gt;""), 1)</f>
        <v>11.687250000000001</v>
      </c>
      <c r="P59" s="4" cm="1">
        <f t="array" ref="P59">_xlfn.QUARTILE.INC(_xlfn._xlws.FILTER(Hirsuticaulis!R$2:R1000, Hirsuticaulis!R$2:R1000&lt;&gt;""), 3) - _xlfn.QUARTILE.INC(_xlfn._xlws.FILTER(Hirsuticaulis!R$2:R1000, Hirsuticaulis!R$2:R1000&lt;&gt;""), 1)</f>
        <v>275.22775000000001</v>
      </c>
    </row>
    <row r="60" spans="1:16" s="4" customFormat="1" x14ac:dyDescent="0.2">
      <c r="A60" s="4" t="s">
        <v>130</v>
      </c>
      <c r="B60" s="4" t="s">
        <v>221</v>
      </c>
      <c r="C60" s="4" cm="1">
        <f t="array" ref="C60">_xlfn.QUARTILE.INC(_xlfn._xlws.FILTER(Hirsuticaulis!E$2:E1000, Hirsuticaulis!E$2:E1000&lt;&gt;""), 1) - 1.5*(_xlfn.QUARTILE.INC(_xlfn._xlws.FILTER(Hirsuticaulis!E$2:E1000, Hirsuticaulis!E$2:E1000&lt;&gt;""), 3) - _xlfn.QUARTILE.INC(_xlfn._xlws.FILTER(Hirsuticaulis!E$2:E1000, Hirsuticaulis!E$2:E1000&lt;&gt;""), 1))</f>
        <v>0.14774999999999938</v>
      </c>
      <c r="D60" s="4" cm="1">
        <f t="array" ref="D60">_xlfn.QUARTILE.INC(_xlfn._xlws.FILTER(Hirsuticaulis!F$2:F1000, Hirsuticaulis!F$2:F1000&lt;&gt;""), 1) - 1.5*(_xlfn.QUARTILE.INC(_xlfn._xlws.FILTER(Hirsuticaulis!F$2:F1000, Hirsuticaulis!F$2:F1000&lt;&gt;""), 3) - _xlfn.QUARTILE.INC(_xlfn._xlws.FILTER(Hirsuticaulis!F$2:F1000, Hirsuticaulis!F$2:F1000&lt;&gt;""), 1))</f>
        <v>8.9499999999999913E-2</v>
      </c>
      <c r="E60" s="4" cm="1">
        <f t="array" ref="E60">_xlfn.QUARTILE.INC(_xlfn._xlws.FILTER(Hirsuticaulis!G$2:G1000, Hirsuticaulis!G$2:G1000&lt;&gt;""), 1) - 1.5*(_xlfn.QUARTILE.INC(_xlfn._xlws.FILTER(Hirsuticaulis!G$2:G1000, Hirsuticaulis!G$2:G1000&lt;&gt;""), 3) - _xlfn.QUARTILE.INC(_xlfn._xlws.FILTER(Hirsuticaulis!G$2:G1000, Hirsuticaulis!G$2:G1000&lt;&gt;""), 1))</f>
        <v>-1.347</v>
      </c>
      <c r="F60" s="4" cm="1">
        <f t="array" ref="F60">_xlfn.QUARTILE.INC(_xlfn._xlws.FILTER(Hirsuticaulis!H$2:H1000, Hirsuticaulis!H$2:H1000&lt;&gt;""), 1) - 1.5*(_xlfn.QUARTILE.INC(_xlfn._xlws.FILTER(Hirsuticaulis!H$2:H1000, Hirsuticaulis!H$2:H1000&lt;&gt;""), 3) - _xlfn.QUARTILE.INC(_xlfn._xlws.FILTER(Hirsuticaulis!H$2:H1000, Hirsuticaulis!H$2:H1000&lt;&gt;""), 1))</f>
        <v>-0.50625000000000098</v>
      </c>
      <c r="G60" s="4" cm="1">
        <f t="array" ref="G60">_xlfn.QUARTILE.INC(_xlfn._xlws.FILTER(Hirsuticaulis!I$2:I1000, Hirsuticaulis!I$2:I1000&lt;&gt;""), 1) - 1.5*(_xlfn.QUARTILE.INC(_xlfn._xlws.FILTER(Hirsuticaulis!I$2:I1000, Hirsuticaulis!I$2:I1000&lt;&gt;""), 3) - _xlfn.QUARTILE.INC(_xlfn._xlws.FILTER(Hirsuticaulis!I$2:I1000, Hirsuticaulis!I$2:I1000&lt;&gt;""), 1))</f>
        <v>-0.8175</v>
      </c>
      <c r="H60" s="4" cm="1">
        <f t="array" ref="H60">_xlfn.QUARTILE.INC(_xlfn._xlws.FILTER(Hirsuticaulis!J$2:J1000, Hirsuticaulis!J$2:J1000&lt;&gt;""), 1) - 1.5*(_xlfn.QUARTILE.INC(_xlfn._xlws.FILTER(Hirsuticaulis!J$2:J1000, Hirsuticaulis!J$2:J1000&lt;&gt;""), 3) - _xlfn.QUARTILE.INC(_xlfn._xlws.FILTER(Hirsuticaulis!J$2:J1000, Hirsuticaulis!J$2:J1000&lt;&gt;""), 1))</f>
        <v>2.1141250000000014</v>
      </c>
      <c r="I60" s="4" cm="1">
        <f t="array" ref="I60">_xlfn.QUARTILE.INC(_xlfn._xlws.FILTER(Hirsuticaulis!K$2:K1000, Hirsuticaulis!K$2:K1000&lt;&gt;""), 1) - 1.5*(_xlfn.QUARTILE.INC(_xlfn._xlws.FILTER(Hirsuticaulis!K$2:K1000, Hirsuticaulis!K$2:K1000&lt;&gt;""), 3) - _xlfn.QUARTILE.INC(_xlfn._xlws.FILTER(Hirsuticaulis!K$2:K1000, Hirsuticaulis!K$2:K1000&lt;&gt;""), 1))</f>
        <v>0.47850000000000004</v>
      </c>
      <c r="J60" s="4" cm="1">
        <f t="array" ref="J60">_xlfn.QUARTILE.INC(_xlfn._xlws.FILTER(Hirsuticaulis!L$2:L1000, Hirsuticaulis!L$2:L1000&lt;&gt;""), 1) - 1.5*(_xlfn.QUARTILE.INC(_xlfn._xlws.FILTER(Hirsuticaulis!L$2:L1000, Hirsuticaulis!L$2:L1000&lt;&gt;""), 3) - _xlfn.QUARTILE.INC(_xlfn._xlws.FILTER(Hirsuticaulis!L$2:L1000, Hirsuticaulis!L$2:L1000&lt;&gt;""), 1))</f>
        <v>3.8374999999999937E-2</v>
      </c>
      <c r="K60" s="4" cm="1">
        <f t="array" ref="K60">_xlfn.QUARTILE.INC(_xlfn._xlws.FILTER(Hirsuticaulis!M$2:M1000, Hirsuticaulis!M$2:M1000&lt;&gt;""), 1) - 1.5*(_xlfn.QUARTILE.INC(_xlfn._xlws.FILTER(Hirsuticaulis!M$2:M1000, Hirsuticaulis!M$2:M1000&lt;&gt;""), 3) - _xlfn.QUARTILE.INC(_xlfn._xlws.FILTER(Hirsuticaulis!M$2:M1000, Hirsuticaulis!M$2:M1000&lt;&gt;""), 1))</f>
        <v>0.60824999999999974</v>
      </c>
      <c r="L60" s="4" cm="1">
        <f t="array" ref="L60">_xlfn.QUARTILE.INC(_xlfn._xlws.FILTER(Hirsuticaulis!N$2:N1000, Hirsuticaulis!N$2:N1000&lt;&gt;""), 1) - 1.5*(_xlfn.QUARTILE.INC(_xlfn._xlws.FILTER(Hirsuticaulis!N$2:N1000, Hirsuticaulis!N$2:N1000&lt;&gt;""), 3) - _xlfn.QUARTILE.INC(_xlfn._xlws.FILTER(Hirsuticaulis!N$2:N1000, Hirsuticaulis!N$2:N1000&lt;&gt;""), 1))</f>
        <v>1.9555</v>
      </c>
      <c r="M60" s="4" cm="1">
        <f t="array" ref="M60">_xlfn.QUARTILE.INC(_xlfn._xlws.FILTER(Hirsuticaulis!O$2:O1000, Hirsuticaulis!O$2:O1000&lt;&gt;""), 1) - 1.5*(_xlfn.QUARTILE.INC(_xlfn._xlws.FILTER(Hirsuticaulis!O$2:O1000, Hirsuticaulis!O$2:O1000&lt;&gt;""), 3) - _xlfn.QUARTILE.INC(_xlfn._xlws.FILTER(Hirsuticaulis!O$2:O1000, Hirsuticaulis!O$2:O1000&lt;&gt;""), 1))</f>
        <v>0.89399999999999924</v>
      </c>
      <c r="N60" s="4" cm="1">
        <f t="array" ref="N60">_xlfn.QUARTILE.INC(_xlfn._xlws.FILTER(Hirsuticaulis!P$2:P1000, Hirsuticaulis!P$2:P1000&lt;&gt;""), 1) - 1.5*(_xlfn.QUARTILE.INC(_xlfn._xlws.FILTER(Hirsuticaulis!P$2:P1000, Hirsuticaulis!P$2:P1000&lt;&gt;""), 3) - _xlfn.QUARTILE.INC(_xlfn._xlws.FILTER(Hirsuticaulis!P$2:P1000, Hirsuticaulis!P$2:P1000&lt;&gt;""), 1))</f>
        <v>-0.88550000000000018</v>
      </c>
      <c r="O60" s="4" cm="1">
        <f t="array" ref="O60">_xlfn.QUARTILE.INC(_xlfn._xlws.FILTER(Hirsuticaulis!Q$2:Q1000, Hirsuticaulis!Q$2:Q1000&lt;&gt;""), 1) - 1.5*(_xlfn.QUARTILE.INC(_xlfn._xlws.FILTER(Hirsuticaulis!Q$2:Q1000, Hirsuticaulis!Q$2:Q1000&lt;&gt;""), 3) - _xlfn.QUARTILE.INC(_xlfn._xlws.FILTER(Hirsuticaulis!Q$2:Q1000, Hirsuticaulis!Q$2:Q1000&lt;&gt;""), 1))</f>
        <v>-4.7038750000000018</v>
      </c>
      <c r="P60" s="4" cm="1">
        <f t="array" ref="P60">_xlfn.QUARTILE.INC(_xlfn._xlws.FILTER(Hirsuticaulis!R$2:R1000, Hirsuticaulis!R$2:R1000&lt;&gt;""), 1) - 1.5*(_xlfn.QUARTILE.INC(_xlfn._xlws.FILTER(Hirsuticaulis!R$2:R1000, Hirsuticaulis!R$2:R1000&lt;&gt;""), 3) - _xlfn.QUARTILE.INC(_xlfn._xlws.FILTER(Hirsuticaulis!R$2:R1000, Hirsuticaulis!R$2:R1000&lt;&gt;""), 1))</f>
        <v>45.095124999999939</v>
      </c>
    </row>
    <row r="61" spans="1:16" s="4" customFormat="1" x14ac:dyDescent="0.2">
      <c r="A61" s="4" t="s">
        <v>130</v>
      </c>
      <c r="B61" s="4" t="s">
        <v>222</v>
      </c>
      <c r="C61" s="4" cm="1">
        <f t="array" ref="C61">_xlfn.QUARTILE.INC(_xlfn._xlws.FILTER(Hirsuticaulis!E$2:E1000, Hirsuticaulis!E$2:E1000&lt;&gt;""), 3) + 1.5*(_xlfn.QUARTILE.INC(_xlfn._xlws.FILTER(Hirsuticaulis!E$2:E1000, Hirsuticaulis!E$2:E1000&lt;&gt;""), 3) - _xlfn.QUARTILE.INC(_xlfn._xlws.FILTER(Hirsuticaulis!E$2:E1000, Hirsuticaulis!E$2:E1000&lt;&gt;""), 1))</f>
        <v>2.9917500000000006</v>
      </c>
      <c r="D61" s="4" cm="1">
        <f t="array" ref="D61">_xlfn.QUARTILE.INC(_xlfn._xlws.FILTER(Hirsuticaulis!F$2:F1000, Hirsuticaulis!F$2:F1000&lt;&gt;""), 3) + 1.5*(_xlfn.QUARTILE.INC(_xlfn._xlws.FILTER(Hirsuticaulis!F$2:F1000, Hirsuticaulis!F$2:F1000&lt;&gt;""), 3) - _xlfn.QUARTILE.INC(_xlfn._xlws.FILTER(Hirsuticaulis!F$2:F1000, Hirsuticaulis!F$2:F1000&lt;&gt;""), 1))</f>
        <v>1.6275000000000002</v>
      </c>
      <c r="E61" s="4" cm="1">
        <f t="array" ref="E61">_xlfn.QUARTILE.INC(_xlfn._xlws.FILTER(Hirsuticaulis!G$2:G1000, Hirsuticaulis!G$2:G1000&lt;&gt;""), 3) + 1.5*(_xlfn.QUARTILE.INC(_xlfn._xlws.FILTER(Hirsuticaulis!G$2:G1000, Hirsuticaulis!G$2:G1000&lt;&gt;""), 3) - _xlfn.QUARTILE.INC(_xlfn._xlws.FILTER(Hirsuticaulis!G$2:G1000, Hirsuticaulis!G$2:G1000&lt;&gt;""), 1))</f>
        <v>2.2450000000000001</v>
      </c>
      <c r="F61" s="4" cm="1">
        <f t="array" ref="F61">_xlfn.QUARTILE.INC(_xlfn._xlws.FILTER(Hirsuticaulis!H$2:H1000, Hirsuticaulis!H$2:H1000&lt;&gt;""), 3) + 1.5*(_xlfn.QUARTILE.INC(_xlfn._xlws.FILTER(Hirsuticaulis!H$2:H1000, Hirsuticaulis!H$2:H1000&lt;&gt;""), 3) - _xlfn.QUARTILE.INC(_xlfn._xlws.FILTER(Hirsuticaulis!H$2:H1000, Hirsuticaulis!H$2:H1000&lt;&gt;""), 1))</f>
        <v>9.0157500000000006</v>
      </c>
      <c r="G61" s="4" cm="1">
        <f t="array" ref="G61">_xlfn.QUARTILE.INC(_xlfn._xlws.FILTER(Hirsuticaulis!I$2:I1000, Hirsuticaulis!I$2:I1000&lt;&gt;""), 3) + 1.5*(_xlfn.QUARTILE.INC(_xlfn._xlws.FILTER(Hirsuticaulis!I$2:I1000, Hirsuticaulis!I$2:I1000&lt;&gt;""), 3) - _xlfn.QUARTILE.INC(_xlfn._xlws.FILTER(Hirsuticaulis!I$2:I1000, Hirsuticaulis!I$2:I1000&lt;&gt;""), 1))</f>
        <v>3.8265000000000002</v>
      </c>
      <c r="H61" s="4" cm="1">
        <f t="array" ref="H61">_xlfn.QUARTILE.INC(_xlfn._xlws.FILTER(Hirsuticaulis!J$2:J1000, Hirsuticaulis!J$2:J1000&lt;&gt;""), 3) + 1.5*(_xlfn.QUARTILE.INC(_xlfn._xlws.FILTER(Hirsuticaulis!J$2:J1000, Hirsuticaulis!J$2:J1000&lt;&gt;""), 3) - _xlfn.QUARTILE.INC(_xlfn._xlws.FILTER(Hirsuticaulis!J$2:J1000, Hirsuticaulis!J$2:J1000&lt;&gt;""), 1))</f>
        <v>5.631124999999999</v>
      </c>
      <c r="I61" s="4" cm="1">
        <f t="array" ref="I61">_xlfn.QUARTILE.INC(_xlfn._xlws.FILTER(Hirsuticaulis!K$2:K1000, Hirsuticaulis!K$2:K1000&lt;&gt;""), 3) + 1.5*(_xlfn.QUARTILE.INC(_xlfn._xlws.FILTER(Hirsuticaulis!K$2:K1000, Hirsuticaulis!K$2:K1000&lt;&gt;""), 3) - _xlfn.QUARTILE.INC(_xlfn._xlws.FILTER(Hirsuticaulis!K$2:K1000, Hirsuticaulis!K$2:K1000&lt;&gt;""), 1))</f>
        <v>2.2524999999999999</v>
      </c>
      <c r="J61" s="4" cm="1">
        <f t="array" ref="J61">_xlfn.QUARTILE.INC(_xlfn._xlws.FILTER(Hirsuticaulis!L$2:L1000, Hirsuticaulis!L$2:L1000&lt;&gt;""), 3) + 1.5*(_xlfn.QUARTILE.INC(_xlfn._xlws.FILTER(Hirsuticaulis!L$2:L1000, Hirsuticaulis!L$2:L1000&lt;&gt;""), 3) - _xlfn.QUARTILE.INC(_xlfn._xlws.FILTER(Hirsuticaulis!L$2:L1000, Hirsuticaulis!L$2:L1000&lt;&gt;""), 1))</f>
        <v>2.2473749999999999</v>
      </c>
      <c r="K61" s="4" cm="1">
        <f t="array" ref="K61">_xlfn.QUARTILE.INC(_xlfn._xlws.FILTER(Hirsuticaulis!M$2:M1000, Hirsuticaulis!M$2:M1000&lt;&gt;""), 3) + 1.5*(_xlfn.QUARTILE.INC(_xlfn._xlws.FILTER(Hirsuticaulis!M$2:M1000, Hirsuticaulis!M$2:M1000&lt;&gt;""), 3) - _xlfn.QUARTILE.INC(_xlfn._xlws.FILTER(Hirsuticaulis!M$2:M1000, Hirsuticaulis!M$2:M1000&lt;&gt;""), 1))</f>
        <v>3.9182500000000005</v>
      </c>
      <c r="L61" s="4" cm="1">
        <f t="array" ref="L61">_xlfn.QUARTILE.INC(_xlfn._xlws.FILTER(Hirsuticaulis!N$2:N1000, Hirsuticaulis!N$2:N1000&lt;&gt;""), 3) + 1.5*(_xlfn.QUARTILE.INC(_xlfn._xlws.FILTER(Hirsuticaulis!N$2:N1000, Hirsuticaulis!N$2:N1000&lt;&gt;""), 3) - _xlfn.QUARTILE.INC(_xlfn._xlws.FILTER(Hirsuticaulis!N$2:N1000, Hirsuticaulis!N$2:N1000&lt;&gt;""), 1))</f>
        <v>5.1194999999999995</v>
      </c>
      <c r="M61" s="4" cm="1">
        <f t="array" ref="M61">_xlfn.QUARTILE.INC(_xlfn._xlws.FILTER(Hirsuticaulis!O$2:O1000, Hirsuticaulis!O$2:O1000&lt;&gt;""), 3) + 1.5*(_xlfn.QUARTILE.INC(_xlfn._xlws.FILTER(Hirsuticaulis!O$2:O1000, Hirsuticaulis!O$2:O1000&lt;&gt;""), 3) - _xlfn.QUARTILE.INC(_xlfn._xlws.FILTER(Hirsuticaulis!O$2:O1000, Hirsuticaulis!O$2:O1000&lt;&gt;""), 1))</f>
        <v>6.2380000000000004</v>
      </c>
      <c r="N61" s="4" cm="1">
        <f t="array" ref="N61">_xlfn.QUARTILE.INC(_xlfn._xlws.FILTER(Hirsuticaulis!P$2:P1000, Hirsuticaulis!P$2:P1000&lt;&gt;""), 3) + 1.5*(_xlfn.QUARTILE.INC(_xlfn._xlws.FILTER(Hirsuticaulis!P$2:P1000, Hirsuticaulis!P$2:P1000&lt;&gt;""), 3) - _xlfn.QUARTILE.INC(_xlfn._xlws.FILTER(Hirsuticaulis!P$2:P1000, Hirsuticaulis!P$2:P1000&lt;&gt;""), 1))</f>
        <v>6.7825000000000006</v>
      </c>
      <c r="O61" s="4" cm="1">
        <f t="array" ref="O61">_xlfn.QUARTILE.INC(_xlfn._xlws.FILTER(Hirsuticaulis!Q$2:Q1000, Hirsuticaulis!Q$2:Q1000&lt;&gt;""), 3) + 1.5*(_xlfn.QUARTILE.INC(_xlfn._xlws.FILTER(Hirsuticaulis!Q$2:Q1000, Hirsuticaulis!Q$2:Q1000&lt;&gt;""), 3) - _xlfn.QUARTILE.INC(_xlfn._xlws.FILTER(Hirsuticaulis!Q$2:Q1000, Hirsuticaulis!Q$2:Q1000&lt;&gt;""), 1))</f>
        <v>42.045124999999999</v>
      </c>
      <c r="P61" s="4" cm="1">
        <f t="array" ref="P61">_xlfn.QUARTILE.INC(_xlfn._xlws.FILTER(Hirsuticaulis!R$2:R1000, Hirsuticaulis!R$2:R1000&lt;&gt;""), 3) + 1.5*(_xlfn.QUARTILE.INC(_xlfn._xlws.FILTER(Hirsuticaulis!R$2:R1000, Hirsuticaulis!R$2:R1000&lt;&gt;""), 3) - _xlfn.QUARTILE.INC(_xlfn._xlws.FILTER(Hirsuticaulis!R$2:R1000, Hirsuticaulis!R$2:R1000&lt;&gt;""), 1))</f>
        <v>1146.0061249999999</v>
      </c>
    </row>
    <row r="62" spans="1:16" s="4" customFormat="1" x14ac:dyDescent="0.2">
      <c r="A62" s="4" t="s">
        <v>130</v>
      </c>
      <c r="B62" s="4" t="s">
        <v>223</v>
      </c>
      <c r="C62" s="4" cm="1">
        <f t="array" ref="C62">MIN(_xlfn._xlws.FILTER(Hirsuticaulis!E$2:E1000, Hirsuticaulis!E$2:E1000&lt;&gt;""))</f>
        <v>0.60899999999999999</v>
      </c>
      <c r="D62" s="4" cm="1">
        <f t="array" ref="D62">MIN(_xlfn._xlws.FILTER(Hirsuticaulis!F$2:F1000, Hirsuticaulis!F$2:F1000&lt;&gt;""))</f>
        <v>0.32300000000000001</v>
      </c>
      <c r="E62" s="4" cm="1">
        <f t="array" ref="E62">MIN(_xlfn._xlws.FILTER(Hirsuticaulis!G$2:G1000, Hirsuticaulis!G$2:G1000&lt;&gt;""))</f>
        <v>0</v>
      </c>
      <c r="F62" s="4" cm="1">
        <f t="array" ref="F62">MIN(_xlfn._xlws.FILTER(Hirsuticaulis!H$2:H1000, Hirsuticaulis!H$2:H1000&lt;&gt;""))</f>
        <v>0.95799999999999996</v>
      </c>
      <c r="G62" s="4" cm="1">
        <f t="array" ref="G62">MIN(_xlfn._xlws.FILTER(Hirsuticaulis!I$2:I1000, Hirsuticaulis!I$2:I1000&lt;&gt;""))</f>
        <v>0.114</v>
      </c>
      <c r="H62" s="4" cm="1">
        <f t="array" ref="H62">MIN(_xlfn._xlws.FILTER(Hirsuticaulis!J$2:J1000, Hirsuticaulis!J$2:J1000&lt;&gt;""))</f>
        <v>2.34</v>
      </c>
      <c r="I62" s="4" cm="1">
        <f t="array" ref="I62">MIN(_xlfn._xlws.FILTER(Hirsuticaulis!K$2:K1000, Hirsuticaulis!K$2:K1000&lt;&gt;""))</f>
        <v>0.69499999999999995</v>
      </c>
      <c r="J62" s="4" cm="1">
        <f t="array" ref="J62">MIN(_xlfn._xlws.FILTER(Hirsuticaulis!L$2:L1000, Hirsuticaulis!L$2:L1000&lt;&gt;""))</f>
        <v>0.44400000000000001</v>
      </c>
      <c r="K62" s="4" cm="1">
        <f t="array" ref="K62">MIN(_xlfn._xlws.FILTER(Hirsuticaulis!M$2:M1000, Hirsuticaulis!M$2:M1000&lt;&gt;""))</f>
        <v>1.159</v>
      </c>
      <c r="L62" s="4" cm="1">
        <f t="array" ref="L62">MIN(_xlfn._xlws.FILTER(Hirsuticaulis!N$2:N1000, Hirsuticaulis!N$2:N1000&lt;&gt;""))</f>
        <v>1.9379999999999999</v>
      </c>
      <c r="M62" s="4" cm="1">
        <f t="array" ref="M62">MIN(_xlfn._xlws.FILTER(Hirsuticaulis!O$2:O1000, Hirsuticaulis!O$2:O1000&lt;&gt;""))</f>
        <v>1.333</v>
      </c>
      <c r="N62" s="4" cm="1">
        <f t="array" ref="N62">MIN(_xlfn._xlws.FILTER(Hirsuticaulis!P$2:P1000, Hirsuticaulis!P$2:P1000&lt;&gt;""))</f>
        <v>0.88900000000000001</v>
      </c>
      <c r="O62" s="4" cm="1">
        <f t="array" ref="O62">MIN(_xlfn._xlws.FILTER(Hirsuticaulis!Q$2:Q1000, Hirsuticaulis!Q$2:Q1000&lt;&gt;""))</f>
        <v>1.155</v>
      </c>
      <c r="P62" s="4" cm="1">
        <f t="array" ref="P62">MIN(_xlfn._xlws.FILTER(Hirsuticaulis!R$2:R1000, Hirsuticaulis!R$2:R1000&lt;&gt;""))</f>
        <v>173.565</v>
      </c>
    </row>
    <row r="63" spans="1:16" s="4" customFormat="1" x14ac:dyDescent="0.2">
      <c r="A63" s="4" t="s">
        <v>130</v>
      </c>
      <c r="B63" s="4" t="s">
        <v>224</v>
      </c>
      <c r="C63" s="4" cm="1">
        <f t="array" ref="C63">MAX(_xlfn._xlws.FILTER(Hirsuticaulis!E$2:E1000, Hirsuticaulis!E$2:E1000&lt;&gt;""))</f>
        <v>3.5419999999999998</v>
      </c>
      <c r="D63" s="4" cm="1">
        <f t="array" ref="D63">MAX(_xlfn._xlws.FILTER(Hirsuticaulis!F$2:F1000, Hirsuticaulis!F$2:F1000&lt;&gt;""))</f>
        <v>1.972</v>
      </c>
      <c r="E63" s="4" cm="1">
        <f t="array" ref="E63">MAX(_xlfn._xlws.FILTER(Hirsuticaulis!G$2:G1000, Hirsuticaulis!G$2:G1000&lt;&gt;""))</f>
        <v>1.575</v>
      </c>
      <c r="F63" s="4" cm="1">
        <f t="array" ref="F63">MAX(_xlfn._xlws.FILTER(Hirsuticaulis!H$2:H1000, Hirsuticaulis!H$2:H1000&lt;&gt;""))</f>
        <v>9.6329999999999991</v>
      </c>
      <c r="G63" s="4" cm="1">
        <f t="array" ref="G63">MAX(_xlfn._xlws.FILTER(Hirsuticaulis!I$2:I1000, Hirsuticaulis!I$2:I1000&lt;&gt;""))</f>
        <v>4.0439999999999996</v>
      </c>
      <c r="H63" s="4" cm="1">
        <f t="array" ref="H63">MAX(_xlfn._xlws.FILTER(Hirsuticaulis!J$2:J1000, Hirsuticaulis!J$2:J1000&lt;&gt;""))</f>
        <v>6.6120000000000001</v>
      </c>
      <c r="I63" s="4" cm="1">
        <f t="array" ref="I63">MAX(_xlfn._xlws.FILTER(Hirsuticaulis!K$2:K1000, Hirsuticaulis!K$2:K1000&lt;&gt;""))</f>
        <v>3.3559999999999999</v>
      </c>
      <c r="J63" s="4" cm="1">
        <f t="array" ref="J63">MAX(_xlfn._xlws.FILTER(Hirsuticaulis!L$2:L1000, Hirsuticaulis!L$2:L1000&lt;&gt;""))</f>
        <v>2.87</v>
      </c>
      <c r="K63" s="4" cm="1">
        <f t="array" ref="K63">MAX(_xlfn._xlws.FILTER(Hirsuticaulis!M$2:M1000, Hirsuticaulis!M$2:M1000&lt;&gt;""))</f>
        <v>4.2869999999999999</v>
      </c>
      <c r="L63" s="4" cm="1">
        <f t="array" ref="L63">MAX(_xlfn._xlws.FILTER(Hirsuticaulis!N$2:N1000, Hirsuticaulis!N$2:N1000&lt;&gt;""))</f>
        <v>5.2190000000000003</v>
      </c>
      <c r="M63" s="4" cm="1">
        <f t="array" ref="M63">MAX(_xlfn._xlws.FILTER(Hirsuticaulis!O$2:O1000, Hirsuticaulis!O$2:O1000&lt;&gt;""))</f>
        <v>5.6790000000000003</v>
      </c>
      <c r="N63" s="4" cm="1">
        <f t="array" ref="N63">MAX(_xlfn._xlws.FILTER(Hirsuticaulis!P$2:P1000, Hirsuticaulis!P$2:P1000&lt;&gt;""))</f>
        <v>12.105</v>
      </c>
      <c r="O63" s="4" cm="1">
        <f t="array" ref="O63">MAX(_xlfn._xlws.FILTER(Hirsuticaulis!Q$2:Q1000, Hirsuticaulis!Q$2:Q1000&lt;&gt;""))</f>
        <v>49.823999999999998</v>
      </c>
      <c r="P63" s="4" cm="1">
        <f t="array" ref="P63">MAX(_xlfn._xlws.FILTER(Hirsuticaulis!R$2:R1000, Hirsuticaulis!R$2:R1000&lt;&gt;""))</f>
        <v>1052.3879999999999</v>
      </c>
    </row>
    <row r="64" spans="1:16" s="4" customFormat="1" ht="17" x14ac:dyDescent="0.25">
      <c r="A64" s="4" t="s">
        <v>130</v>
      </c>
      <c r="B64" s="4" t="s">
        <v>225</v>
      </c>
      <c r="C64" s="4" t="str">
        <f>"(" &amp; IF(MIN(Hirsuticaulis!E$2:E$1000)&lt;_xlfn.QUARTILE.INC(Hirsuticaulis!E$2:E$1000,1)-1.5*(_xlfn.QUARTILE.INC(Hirsuticaulis!E$2:E$1000,3)-_xlfn.QUARTILE.INC(Hirsuticaulis!E$2:E$1000,1)),MIN(Hirsuticaulis!E$2:E$1000),"") &amp; ") " &amp; _xlfn.MINIFS(Hirsuticaulis!E$2:E$1000,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"–" &amp; _xlfn.MAXIFS(Hirsuticaulis!E$2:E$1000,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 (" &amp; IF(MAX(Hirsuticaulis!E$2:E$1000)&gt;_xlfn.QUARTILE.INC(Hirsuticaulis!E$2:E$1000,3)+1.5*(_xlfn.QUARTILE.INC(Hirsuticaulis!E$2:E$1000,3)-_xlfn.QUARTILE.INC(Hirsuticaulis!E$2:E$1000,1)),MAX(Hirsuticaulis!E$2:E$1000),"") &amp; ") mm"</f>
        <v>() 0.609–2.76 (3.542) mm</v>
      </c>
      <c r="D64" s="4" t="str">
        <f>"(" &amp; IF(MIN(Hirsuticaulis!F$2:F$1000)&lt;_xlfn.QUARTILE.INC(Hirsuticaulis!F$2:F$1000,1)-1.5*(_xlfn.QUARTILE.INC(Hirsuticaulis!F$2:F$1000,3)-_xlfn.QUARTILE.INC(Hirsuticaulis!F$2:F$1000,1)),MIN(Hirsuticaulis!F$2:F$1000),"") &amp; ") " &amp; _xlfn.MINIFS(Hirsuticaulis!F$2:F$1000, Hirsuticaulis!F$2:F$1000, "&gt;=" &amp; _xlfn.QUARTILE.INC(Hirsuticaulis!F$2:F$1000,1)-1.5*(_xlfn.QUARTILE.INC(Hirsuticaulis!F$2:F$1000,3)-_xlfn.QUARTILE.INC(Hirsuticaulis!F$2:F$1000,1)), Hirsuticaulis!F$2:F$1000, "&lt;=" &amp; _xlfn.QUARTILE.INC(Hirsuticaulis!F$2:F$1000,3)+1.5*(_xlfn.QUARTILE.INC(Hirsuticaulis!F$2:F$1000,3)-_xlfn.QUARTILE.INC(Hirsuticaulis!F$2:F$1000,1))) &amp; "–" &amp; _xlfn.MAXIFS(Hirsuticaulis!F$2:F$1000, Hirsuticaulis!F$2:F$1000, "&gt;=" &amp; _xlfn.QUARTILE.INC(Hirsuticaulis!F$2:F$1000,1)-1.5*(_xlfn.QUARTILE.INC(Hirsuticaulis!F$2:F$1000,3)-_xlfn.QUARTILE.INC(Hirsuticaulis!F$2:F$1000,1)), Hirsuticaulis!F$2:F$1000, "&lt;=" &amp; _xlfn.QUARTILE.INC(Hirsuticaulis!F$2:F$1000,3)+1.5*(_xlfn.QUARTILE.INC(Hirsuticaulis!F$2:F$1000,3)-_xlfn.QUARTILE.INC(Hirsuticaulis!F$2:F$1000,1))) &amp; " (" &amp; IF(MAX(Hirsuticaulis!F$2:F$1000)&gt;_xlfn.QUARTILE.INC(Hirsuticaulis!F$2:F$1000,3)+1.5*(_xlfn.QUARTILE.INC(Hirsuticaulis!F$2:F$1000,3)-_xlfn.QUARTILE.INC(Hirsuticaulis!F$2:F$1000,1)),MAX(Hirsuticaulis!F$2:F$1000),"") &amp; ") mm"</f>
        <v>() 0.323–1.603 (1.972) mm</v>
      </c>
      <c r="E64" s="4" t="str">
        <f>"(" &amp; IF(MIN(Hirsuticaulis!G$2:G$1000)&lt;_xlfn.QUARTILE.INC(Hirsuticaulis!G$2:G$1000,1)-1.5*(_xlfn.QUARTILE.INC(Hirsuticaulis!G$2:G$1000,3)-_xlfn.QUARTILE.INC(Hirsuticaulis!G$2:G$1000,1)),MIN(Hirsuticaulis!G$2:G$1000),"") &amp; ") " &amp; _xlfn.MINIFS(Hirsuticaulis!G$2:G$1000, Hirsuticaulis!G$2:G$1000, "&gt;=" &amp; _xlfn.QUARTILE.INC(Hirsuticaulis!G$2:G$1000,1)-1.5*(_xlfn.QUARTILE.INC(Hirsuticaulis!G$2:G$1000,3)-_xlfn.QUARTILE.INC(Hirsuticaulis!G$2:G$1000,1)), Hirsuticaulis!G$2:G$1000, "&lt;=" &amp; _xlfn.QUARTILE.INC(Hirsuticaulis!G$2:G$1000,3)+1.5*(_xlfn.QUARTILE.INC(Hirsuticaulis!G$2:G$1000,3)-_xlfn.QUARTILE.INC(Hirsuticaulis!G$2:G$1000,1))) &amp; "–" &amp; _xlfn.MAXIFS(Hirsuticaulis!G$2:G$1000, Hirsuticaulis!G$2:G$1000, "&gt;=" &amp; _xlfn.QUARTILE.INC(Hirsuticaulis!G$2:G$1000,1)-1.5*(_xlfn.QUARTILE.INC(Hirsuticaulis!G$2:G$1000,3)-_xlfn.QUARTILE.INC(Hirsuticaulis!G$2:G$1000,1)), Hirsuticaulis!G$2:G$1000, "&lt;=" &amp; _xlfn.QUARTILE.INC(Hirsuticaulis!G$2:G$1000,3)+1.5*(_xlfn.QUARTILE.INC(Hirsuticaulis!G$2:G$1000,3)-_xlfn.QUARTILE.INC(Hirsuticaulis!G$2:G$1000,1))) &amp; " (" &amp; IF(MAX(Hirsuticaulis!G$2:G$1000)&gt;_xlfn.QUARTILE.INC(Hirsuticaulis!G$2:G$1000,3)+1.5*(_xlfn.QUARTILE.INC(Hirsuticaulis!G$2:G$1000,3)-_xlfn.QUARTILE.INC(Hirsuticaulis!G$2:G$1000,1)),MAX(Hirsuticaulis!G$2:G$1000),"") &amp; ") mm"</f>
        <v>() 0–1.575 () mm</v>
      </c>
      <c r="F64" s="4" t="str">
        <f>"(" &amp; IF(MIN(Hirsuticaulis!H$2:H$1000)&lt;_xlfn.QUARTILE.INC(Hirsuticaulis!H$2:H$1000,1)-1.5*(_xlfn.QUARTILE.INC(Hirsuticaulis!H$2:H$1000,3)-_xlfn.QUARTILE.INC(Hirsuticaulis!H$2:H$1000,1)),MIN(Hirsuticaulis!H$2:H$1000),"") &amp; ") " &amp; _xlfn.MINIFS(Hirsuticaulis!H$2:H$1000, Hirsuticaulis!H$2:H$1000, "&gt;=" &amp; _xlfn.QUARTILE.INC(Hirsuticaulis!H$2:H$1000,1)-1.5*(_xlfn.QUARTILE.INC(Hirsuticaulis!H$2:H$1000,3)-_xlfn.QUARTILE.INC(Hirsuticaulis!H$2:H$1000,1)), Hirsuticaulis!H$2:H$1000, "&lt;=" &amp; _xlfn.QUARTILE.INC(Hirsuticaulis!H$2:H$1000,3)+1.5*(_xlfn.QUARTILE.INC(Hirsuticaulis!H$2:H$1000,3)-_xlfn.QUARTILE.INC(Hirsuticaulis!H$2:H$1000,1))) &amp; "–" &amp; _xlfn.MAXIFS(Hirsuticaulis!H$2:H$1000, Hirsuticaulis!H$2:H$1000, "&gt;=" &amp; _xlfn.QUARTILE.INC(Hirsuticaulis!H$2:H$1000,1)-1.5*(_xlfn.QUARTILE.INC(Hirsuticaulis!H$2:H$1000,3)-_xlfn.QUARTILE.INC(Hirsuticaulis!H$2:H$1000,1)), Hirsuticaulis!H$2:H$1000, "&lt;=" &amp; _xlfn.QUARTILE.INC(Hirsuticaulis!H$2:H$1000,3)+1.5*(_xlfn.QUARTILE.INC(Hirsuticaulis!H$2:H$1000,3)-_xlfn.QUARTILE.INC(Hirsuticaulis!H$2:H$1000,1))) &amp; " (" &amp; IF(MAX(Hirsuticaulis!H$2:H$1000)&gt;_xlfn.QUARTILE.INC(Hirsuticaulis!H$2:H$1000,3)+1.5*(_xlfn.QUARTILE.INC(Hirsuticaulis!H$2:H$1000,3)-_xlfn.QUARTILE.INC(Hirsuticaulis!H$2:H$1000,1)),MAX(Hirsuticaulis!H$2:H$1000),"") &amp; ") mm"</f>
        <v>() 0.958–8.605 (9.633) mm</v>
      </c>
      <c r="G64" s="4" t="str">
        <f>"(" &amp; IF(MIN(Hirsuticaulis!I$2:I$1000)&lt;_xlfn.QUARTILE.INC(Hirsuticaulis!I$2:I$1000,1)-1.5*(_xlfn.QUARTILE.INC(Hirsuticaulis!I$2:I$1000,3)-_xlfn.QUARTILE.INC(Hirsuticaulis!I$2:I$1000,1)),MIN(Hirsuticaulis!I$2:I$1000),"") &amp; ") " &amp; _xlfn.MINIFS(Hirsuticaulis!I$2:I$1000, Hirsuticaulis!I$2:I$1000, "&gt;=" &amp; _xlfn.QUARTILE.INC(Hirsuticaulis!I$2:I$1000,1)-1.5*(_xlfn.QUARTILE.INC(Hirsuticaulis!I$2:I$1000,3)-_xlfn.QUARTILE.INC(Hirsuticaulis!I$2:I$1000,1)), Hirsuticaulis!I$2:I$1000, "&lt;=" &amp; _xlfn.QUARTILE.INC(Hirsuticaulis!I$2:I$1000,3)+1.5*(_xlfn.QUARTILE.INC(Hirsuticaulis!I$2:I$1000,3)-_xlfn.QUARTILE.INC(Hirsuticaulis!I$2:I$1000,1))) &amp; "–" &amp; _xlfn.MAXIFS(Hirsuticaulis!I$2:I$1000, Hirsuticaulis!I$2:I$1000, "&gt;=" &amp; _xlfn.QUARTILE.INC(Hirsuticaulis!I$2:I$1000,1)-1.5*(_xlfn.QUARTILE.INC(Hirsuticaulis!I$2:I$1000,3)-_xlfn.QUARTILE.INC(Hirsuticaulis!I$2:I$1000,1)), Hirsuticaulis!I$2:I$1000, "&lt;=" &amp; _xlfn.QUARTILE.INC(Hirsuticaulis!I$2:I$1000,3)+1.5*(_xlfn.QUARTILE.INC(Hirsuticaulis!I$2:I$1000,3)-_xlfn.QUARTILE.INC(Hirsuticaulis!I$2:I$1000,1))) &amp; " (" &amp; IF(MAX(Hirsuticaulis!I$2:I$1000)&gt;_xlfn.QUARTILE.INC(Hirsuticaulis!I$2:I$1000,3)+1.5*(_xlfn.QUARTILE.INC(Hirsuticaulis!I$2:I$1000,3)-_xlfn.QUARTILE.INC(Hirsuticaulis!I$2:I$1000,1)),MAX(Hirsuticaulis!I$2:I$1000),"") &amp; ") mm"</f>
        <v>() 0.114–3.458 (4.044) mm</v>
      </c>
      <c r="H64" s="4" t="str">
        <f>"(" &amp; IF(MIN(Hirsuticaulis!J$2:J$1000)&lt;_xlfn.QUARTILE.INC(Hirsuticaulis!J$2:J$1000,1)-1.5*(_xlfn.QUARTILE.INC(Hirsuticaulis!J$2:J$1000,3)-_xlfn.QUARTILE.INC(Hirsuticaulis!J$2:J$1000,1)),MIN(Hirsuticaulis!J$2:J$1000),"") &amp; ") " &amp; _xlfn.MINIFS(Hirsuticaulis!J$2:J$1000, Hirsuticaulis!J$2:J$1000, "&gt;=" &amp; _xlfn.QUARTILE.INC(Hirsuticaulis!J$2:J$1000,1)-1.5*(_xlfn.QUARTILE.INC(Hirsuticaulis!J$2:J$1000,3)-_xlfn.QUARTILE.INC(Hirsuticaulis!J$2:J$1000,1)), Hirsuticaulis!J$2:J$1000, "&lt;=" &amp; _xlfn.QUARTILE.INC(Hirsuticaulis!J$2:J$1000,3)+1.5*(_xlfn.QUARTILE.INC(Hirsuticaulis!J$2:J$1000,3)-_xlfn.QUARTILE.INC(Hirsuticaulis!J$2:J$1000,1))) &amp; "–" &amp; _xlfn.MAXIFS(Hirsuticaulis!J$2:J$1000, Hirsuticaulis!J$2:J$1000, "&gt;=" &amp; _xlfn.QUARTILE.INC(Hirsuticaulis!J$2:J$1000,1)-1.5*(_xlfn.QUARTILE.INC(Hirsuticaulis!J$2:J$1000,3)-_xlfn.QUARTILE.INC(Hirsuticaulis!J$2:J$1000,1)), Hirsuticaulis!J$2:J$1000, "&lt;=" &amp; _xlfn.QUARTILE.INC(Hirsuticaulis!J$2:J$1000,3)+1.5*(_xlfn.QUARTILE.INC(Hirsuticaulis!J$2:J$1000,3)-_xlfn.QUARTILE.INC(Hirsuticaulis!J$2:J$1000,1))) &amp; " (" &amp; IF(MAX(Hirsuticaulis!J$2:J$1000)&gt;_xlfn.QUARTILE.INC(Hirsuticaulis!J$2:J$1000,3)+1.5*(_xlfn.QUARTILE.INC(Hirsuticaulis!J$2:J$1000,3)-_xlfn.QUARTILE.INC(Hirsuticaulis!J$2:J$1000,1)),MAX(Hirsuticaulis!J$2:J$1000),"") &amp; ") mm"</f>
        <v>() 2.34–5.299 (6.612) mm</v>
      </c>
      <c r="I64" s="4" t="str">
        <f>"(" &amp; IF(MIN(Hirsuticaulis!K$2:K$1000)&lt;_xlfn.QUARTILE.INC(Hirsuticaulis!K$2:K$1000,1)-1.5*(_xlfn.QUARTILE.INC(Hirsuticaulis!K$2:K$1000,3)-_xlfn.QUARTILE.INC(Hirsuticaulis!K$2:K$1000,1)),MIN(Hirsuticaulis!K$2:K$1000),"") &amp; ") " &amp; _xlfn.MINIFS(Hirsuticaulis!K$2:K$1000, Hirsuticaulis!K$2:K$1000, "&gt;=" &amp; _xlfn.QUARTILE.INC(Hirsuticaulis!K$2:K$1000,1)-1.5*(_xlfn.QUARTILE.INC(Hirsuticaulis!K$2:K$1000,3)-_xlfn.QUARTILE.INC(Hirsuticaulis!K$2:K$1000,1)), Hirsuticaulis!K$2:K$1000, "&lt;=" &amp; _xlfn.QUARTILE.INC(Hirsuticaulis!K$2:K$1000,3)+1.5*(_xlfn.QUARTILE.INC(Hirsuticaulis!K$2:K$1000,3)-_xlfn.QUARTILE.INC(Hirsuticaulis!K$2:K$1000,1))) &amp; "–" &amp; _xlfn.MAXIFS(Hirsuticaulis!K$2:K$1000, Hirsuticaulis!K$2:K$1000, "&gt;=" &amp; _xlfn.QUARTILE.INC(Hirsuticaulis!K$2:K$1000,1)-1.5*(_xlfn.QUARTILE.INC(Hirsuticaulis!K$2:K$1000,3)-_xlfn.QUARTILE.INC(Hirsuticaulis!K$2:K$1000,1)), Hirsuticaulis!K$2:K$1000, "&lt;=" &amp; _xlfn.QUARTILE.INC(Hirsuticaulis!K$2:K$1000,3)+1.5*(_xlfn.QUARTILE.INC(Hirsuticaulis!K$2:K$1000,3)-_xlfn.QUARTILE.INC(Hirsuticaulis!K$2:K$1000,1))) &amp; " (" &amp; IF(MAX(Hirsuticaulis!K$2:K$1000)&gt;_xlfn.QUARTILE.INC(Hirsuticaulis!K$2:K$1000,3)+1.5*(_xlfn.QUARTILE.INC(Hirsuticaulis!K$2:K$1000,3)-_xlfn.QUARTILE.INC(Hirsuticaulis!K$2:K$1000,1)),MAX(Hirsuticaulis!K$2:K$1000),"") &amp; ") mm"</f>
        <v>() 0.695–2.194 (3.356) mm</v>
      </c>
      <c r="J64" s="4" t="str">
        <f>"(" &amp; IF(MIN(Hirsuticaulis!L$2:L$1000)&lt;_xlfn.QUARTILE.INC(Hirsuticaulis!L$2:L$1000,1)-1.5*(_xlfn.QUARTILE.INC(Hirsuticaulis!L$2:L$1000,3)-_xlfn.QUARTILE.INC(Hirsuticaulis!L$2:L$1000,1)),MIN(Hirsuticaulis!L$2:L$1000),"") &amp; ") " &amp; _xlfn.MINIFS(Hirsuticaulis!L$2:L$1000, Hirsuticaulis!L$2:L$1000, "&gt;=" &amp; _xlfn.QUARTILE.INC(Hirsuticaulis!L$2:L$1000,1)-1.5*(_xlfn.QUARTILE.INC(Hirsuticaulis!L$2:L$1000,3)-_xlfn.QUARTILE.INC(Hirsuticaulis!L$2:L$1000,1)), Hirsuticaulis!L$2:L$1000, "&lt;=" &amp; _xlfn.QUARTILE.INC(Hirsuticaulis!L$2:L$1000,3)+1.5*(_xlfn.QUARTILE.INC(Hirsuticaulis!L$2:L$1000,3)-_xlfn.QUARTILE.INC(Hirsuticaulis!L$2:L$1000,1))) &amp; "–" &amp; _xlfn.MAXIFS(Hirsuticaulis!L$2:L$1000, Hirsuticaulis!L$2:L$1000, "&gt;=" &amp; _xlfn.QUARTILE.INC(Hirsuticaulis!L$2:L$1000,1)-1.5*(_xlfn.QUARTILE.INC(Hirsuticaulis!L$2:L$1000,3)-_xlfn.QUARTILE.INC(Hirsuticaulis!L$2:L$1000,1)), Hirsuticaulis!L$2:L$1000, "&lt;=" &amp; _xlfn.QUARTILE.INC(Hirsuticaulis!L$2:L$1000,3)+1.5*(_xlfn.QUARTILE.INC(Hirsuticaulis!L$2:L$1000,3)-_xlfn.QUARTILE.INC(Hirsuticaulis!L$2:L$1000,1))) &amp; " (" &amp; IF(MAX(Hirsuticaulis!L$2:L$1000)&gt;_xlfn.QUARTILE.INC(Hirsuticaulis!L$2:L$1000,3)+1.5*(_xlfn.QUARTILE.INC(Hirsuticaulis!L$2:L$1000,3)-_xlfn.QUARTILE.INC(Hirsuticaulis!L$2:L$1000,1)),MAX(Hirsuticaulis!L$2:L$1000),"") &amp; ") mm"</f>
        <v>() 0.444–2.158 (2.87) mm</v>
      </c>
      <c r="K64" s="4" t="str">
        <f>"(" &amp; IF(MIN(Hirsuticaulis!M$2:M$1000)&lt;_xlfn.QUARTILE.INC(Hirsuticaulis!M$2:M$1000,1)-1.5*(_xlfn.QUARTILE.INC(Hirsuticaulis!M$2:M$1000,3)-_xlfn.QUARTILE.INC(Hirsuticaulis!M$2:M$1000,1)),MIN(Hirsuticaulis!M$2:M$1000),"") &amp; ") " &amp; _xlfn.MINIFS(Hirsuticaulis!M$2:M$1000, Hirsuticaulis!M$2:M$1000, "&gt;=" &amp; _xlfn.QUARTILE.INC(Hirsuticaulis!M$2:M$1000,1)-1.5*(_xlfn.QUARTILE.INC(Hirsuticaulis!M$2:M$1000,3)-_xlfn.QUARTILE.INC(Hirsuticaulis!M$2:M$1000,1)), Hirsuticaulis!M$2:M$1000, "&lt;=" &amp; _xlfn.QUARTILE.INC(Hirsuticaulis!M$2:M$1000,3)+1.5*(_xlfn.QUARTILE.INC(Hirsuticaulis!M$2:M$1000,3)-_xlfn.QUARTILE.INC(Hirsuticaulis!M$2:M$1000,1))) &amp; "–" &amp; _xlfn.MAXIFS(Hirsuticaulis!M$2:M$1000, Hirsuticaulis!M$2:M$1000, "&gt;=" &amp; _xlfn.QUARTILE.INC(Hirsuticaulis!M$2:M$1000,1)-1.5*(_xlfn.QUARTILE.INC(Hirsuticaulis!M$2:M$1000,3)-_xlfn.QUARTILE.INC(Hirsuticaulis!M$2:M$1000,1)), Hirsuticaulis!M$2:M$1000, "&lt;=" &amp; _xlfn.QUARTILE.INC(Hirsuticaulis!M$2:M$1000,3)+1.5*(_xlfn.QUARTILE.INC(Hirsuticaulis!M$2:M$1000,3)-_xlfn.QUARTILE.INC(Hirsuticaulis!M$2:M$1000,1))) &amp; " (" &amp; IF(MAX(Hirsuticaulis!M$2:M$1000)&gt;_xlfn.QUARTILE.INC(Hirsuticaulis!M$2:M$1000,3)+1.5*(_xlfn.QUARTILE.INC(Hirsuticaulis!M$2:M$1000,3)-_xlfn.QUARTILE.INC(Hirsuticaulis!M$2:M$1000,1)),MAX(Hirsuticaulis!M$2:M$1000),"") &amp; ") mm"</f>
        <v>() 1.159–3.46 (4.287) mm</v>
      </c>
      <c r="L64" s="4" t="str">
        <f>"(" &amp; IF(MIN(Hirsuticaulis!N$2:N$1000)&lt;_xlfn.QUARTILE.INC(Hirsuticaulis!N$2:N$1000,1)-1.5*(_xlfn.QUARTILE.INC(Hirsuticaulis!N$2:N$1000,3)-_xlfn.QUARTILE.INC(Hirsuticaulis!N$2:N$1000,1)),MIN(Hirsuticaulis!N$2:N$1000),"") &amp; ") " &amp; _xlfn.MINIFS(Hirsuticaulis!N$2:N$1000, Hirsuticaulis!N$2:N$1000, "&gt;=" &amp; _xlfn.QUARTILE.INC(Hirsuticaulis!N$2:N$1000,1)-1.5*(_xlfn.QUARTILE.INC(Hirsuticaulis!N$2:N$1000,3)-_xlfn.QUARTILE.INC(Hirsuticaulis!N$2:N$1000,1)), Hirsuticaulis!N$2:N$1000, "&lt;=" &amp; _xlfn.QUARTILE.INC(Hirsuticaulis!N$2:N$1000,3)+1.5*(_xlfn.QUARTILE.INC(Hirsuticaulis!N$2:N$1000,3)-_xlfn.QUARTILE.INC(Hirsuticaulis!N$2:N$1000,1))) &amp; "–" &amp; _xlfn.MAXIFS(Hirsuticaulis!N$2:N$1000, Hirsuticaulis!N$2:N$1000, "&gt;=" &amp; _xlfn.QUARTILE.INC(Hirsuticaulis!N$2:N$1000,1)-1.5*(_xlfn.QUARTILE.INC(Hirsuticaulis!N$2:N$1000,3)-_xlfn.QUARTILE.INC(Hirsuticaulis!N$2:N$1000,1)), Hirsuticaulis!N$2:N$1000, "&lt;=" &amp; _xlfn.QUARTILE.INC(Hirsuticaulis!N$2:N$1000,3)+1.5*(_xlfn.QUARTILE.INC(Hirsuticaulis!N$2:N$1000,3)-_xlfn.QUARTILE.INC(Hirsuticaulis!N$2:N$1000,1))) &amp; " (" &amp; IF(MAX(Hirsuticaulis!N$2:N$1000)&gt;_xlfn.QUARTILE.INC(Hirsuticaulis!N$2:N$1000,3)+1.5*(_xlfn.QUARTILE.INC(Hirsuticaulis!N$2:N$1000,3)-_xlfn.QUARTILE.INC(Hirsuticaulis!N$2:N$1000,1)),MAX(Hirsuticaulis!N$2:N$1000),"") &amp; ") mm"</f>
        <v>(1.938) 2.207–5.112 (5.219) mm</v>
      </c>
      <c r="M64" s="4" t="str">
        <f>"(" &amp; IF(MIN(Hirsuticaulis!O$2:O$1000)&lt;_xlfn.QUARTILE.INC(Hirsuticaulis!O$2:O$1000,1)-1.5*(_xlfn.QUARTILE.INC(Hirsuticaulis!O$2:O$1000,3)-_xlfn.QUARTILE.INC(Hirsuticaulis!O$2:O$1000,1)),MIN(Hirsuticaulis!O$2:O$1000),"") &amp; ") " &amp; _xlfn.MINIFS(Hirsuticaulis!O$2:O$1000, Hirsuticaulis!O$2:O$1000, "&gt;=" &amp; _xlfn.QUARTILE.INC(Hirsuticaulis!O$2:O$1000,1)-1.5*(_xlfn.QUARTILE.INC(Hirsuticaulis!O$2:O$1000,3)-_xlfn.QUARTILE.INC(Hirsuticaulis!O$2:O$1000,1)), Hirsuticaulis!O$2:O$1000, "&lt;=" &amp; _xlfn.QUARTILE.INC(Hirsuticaulis!O$2:O$1000,3)+1.5*(_xlfn.QUARTILE.INC(Hirsuticaulis!O$2:O$1000,3)-_xlfn.QUARTILE.INC(Hirsuticaulis!O$2:O$1000,1))) &amp; "–" &amp; _xlfn.MAXIFS(Hirsuticaulis!O$2:O$1000, Hirsuticaulis!O$2:O$1000, "&gt;=" &amp; _xlfn.QUARTILE.INC(Hirsuticaulis!O$2:O$1000,1)-1.5*(_xlfn.QUARTILE.INC(Hirsuticaulis!O$2:O$1000,3)-_xlfn.QUARTILE.INC(Hirsuticaulis!O$2:O$1000,1)), Hirsuticaulis!O$2:O$1000, "&lt;=" &amp; _xlfn.QUARTILE.INC(Hirsuticaulis!O$2:O$1000,3)+1.5*(_xlfn.QUARTILE.INC(Hirsuticaulis!O$2:O$1000,3)-_xlfn.QUARTILE.INC(Hirsuticaulis!O$2:O$1000,1))) &amp; " (" &amp; IF(MAX(Hirsuticaulis!O$2:O$1000)&gt;_xlfn.QUARTILE.INC(Hirsuticaulis!O$2:O$1000,3)+1.5*(_xlfn.QUARTILE.INC(Hirsuticaulis!O$2:O$1000,3)-_xlfn.QUARTILE.INC(Hirsuticaulis!O$2:O$1000,1)),MAX(Hirsuticaulis!O$2:O$1000),"") &amp; ") mm"</f>
        <v>() 1.333–5.679 () mm</v>
      </c>
      <c r="N64" s="4" t="str">
        <f>"(" &amp; IF(MIN(Hirsuticaulis!P$2:P$1000)&lt;_xlfn.QUARTILE.INC(Hirsuticaulis!P$2:P$1000,1)-1.5*(_xlfn.QUARTILE.INC(Hirsuticaulis!P$2:P$1000,3)-_xlfn.QUARTILE.INC(Hirsuticaulis!P$2:P$1000,1)),MIN(Hirsuticaulis!P$2:P$1000),"") &amp; ") " &amp; _xlfn.MINIFS(Hirsuticaulis!P$2:P$1000, Hirsuticaulis!P$2:P$1000, "&gt;=" &amp; _xlfn.QUARTILE.INC(Hirsuticaulis!P$2:P$1000,1)-1.5*(_xlfn.QUARTILE.INC(Hirsuticaulis!P$2:P$1000,3)-_xlfn.QUARTILE.INC(Hirsuticaulis!P$2:P$1000,1)), Hirsuticaulis!P$2:P$1000, "&lt;=" &amp; _xlfn.QUARTILE.INC(Hirsuticaulis!P$2:P$1000,3)+1.5*(_xlfn.QUARTILE.INC(Hirsuticaulis!P$2:P$1000,3)-_xlfn.QUARTILE.INC(Hirsuticaulis!P$2:P$1000,1))) &amp; "–" &amp; _xlfn.MAXIFS(Hirsuticaulis!P$2:P$1000, Hirsuticaulis!P$2:P$1000, "&gt;=" &amp; _xlfn.QUARTILE.INC(Hirsuticaulis!P$2:P$1000,1)-1.5*(_xlfn.QUARTILE.INC(Hirsuticaulis!P$2:P$1000,3)-_xlfn.QUARTILE.INC(Hirsuticaulis!P$2:P$1000,1)), Hirsuticaulis!P$2:P$1000, "&lt;=" &amp; _xlfn.QUARTILE.INC(Hirsuticaulis!P$2:P$1000,3)+1.5*(_xlfn.QUARTILE.INC(Hirsuticaulis!P$2:P$1000,3)-_xlfn.QUARTILE.INC(Hirsuticaulis!P$2:P$1000,1))) &amp; " (" &amp; IF(MAX(Hirsuticaulis!P$2:P$1000)&gt;_xlfn.QUARTILE.INC(Hirsuticaulis!P$2:P$1000,3)+1.5*(_xlfn.QUARTILE.INC(Hirsuticaulis!P$2:P$1000,3)-_xlfn.QUARTILE.INC(Hirsuticaulis!P$2:P$1000,1)),MAX(Hirsuticaulis!P$2:P$1000),"") &amp; ") mm"</f>
        <v>() 0.889–6.674 (12.105) mm</v>
      </c>
      <c r="O64" s="4" t="str">
        <f>"(" &amp; IF(MIN(Hirsuticaulis!Q$2:Q$1000)&lt;_xlfn.QUARTILE.INC(Hirsuticaulis!Q$2:Q$1000,1)-1.5*(_xlfn.QUARTILE.INC(Hirsuticaulis!Q$2:Q$1000,3)-_xlfn.QUARTILE.INC(Hirsuticaulis!Q$2:Q$1000,1)),MIN(Hirsuticaulis!Q$2:Q$1000),"") &amp; ") " &amp; _xlfn.MINIFS(Hirsuticaulis!Q$2:Q$1000, Hirsuticaulis!Q$2:Q$1000, "&gt;=" &amp; _xlfn.QUARTILE.INC(Hirsuticaulis!Q$2:Q$1000,1)-1.5*(_xlfn.QUARTILE.INC(Hirsuticaulis!Q$2:Q$1000,3)-_xlfn.QUARTILE.INC(Hirsuticaulis!Q$2:Q$1000,1)), Hirsuticaulis!Q$2:Q$1000, "&lt;=" &amp; _xlfn.QUARTILE.INC(Hirsuticaulis!Q$2:Q$1000,3)+1.5*(_xlfn.QUARTILE.INC(Hirsuticaulis!Q$2:Q$1000,3)-_xlfn.QUARTILE.INC(Hirsuticaulis!Q$2:Q$1000,1))) &amp; "–" &amp; _xlfn.MAXIFS(Hirsuticaulis!Q$2:Q$1000, Hirsuticaulis!Q$2:Q$1000, "&gt;=" &amp; _xlfn.QUARTILE.INC(Hirsuticaulis!Q$2:Q$1000,1)-1.5*(_xlfn.QUARTILE.INC(Hirsuticaulis!Q$2:Q$1000,3)-_xlfn.QUARTILE.INC(Hirsuticaulis!Q$2:Q$1000,1)), Hirsuticaulis!Q$2:Q$1000, "&lt;=" &amp; _xlfn.QUARTILE.INC(Hirsuticaulis!Q$2:Q$1000,3)+1.5*(_xlfn.QUARTILE.INC(Hirsuticaulis!Q$2:Q$1000,3)-_xlfn.QUARTILE.INC(Hirsuticaulis!Q$2:Q$1000,1))) &amp; " (" &amp; IF(MAX(Hirsuticaulis!Q$2:Q$1000)&gt;_xlfn.QUARTILE.INC(Hirsuticaulis!Q$2:Q$1000,3)+1.5*(_xlfn.QUARTILE.INC(Hirsuticaulis!Q$2:Q$1000,3)-_xlfn.QUARTILE.INC(Hirsuticaulis!Q$2:Q$1000,1)),MAX(Hirsuticaulis!Q$2:Q$1000),"") &amp; ") mm"</f>
        <v>() 1.155–41.173 (49.824) mm</v>
      </c>
      <c r="P64" s="4" t="str">
        <f>"(" &amp; IF(MIN(Hirsuticaulis!R$2:R$1000)&lt;_xlfn.QUARTILE.INC(Hirsuticaulis!R$2:R$1000,1)-1.5*(_xlfn.QUARTILE.INC(Hirsuticaulis!R$2:R$1000,3)-_xlfn.QUARTILE.INC(Hirsuticaulis!R$2:R$1000,1)),MIN(Hirsuticaulis!R$2:R$1000),"") &amp; ") " &amp; _xlfn.MINIFS(Hirsuticaulis!R$2:R$1000, Hirsuticaulis!R$2:R$1000, "&gt;=" &amp; _xlfn.QUARTILE.INC(Hirsuticaulis!R$2:R$1000,1)-1.5*(_xlfn.QUARTILE.INC(Hirsuticaulis!R$2:R$1000,3)-_xlfn.QUARTILE.INC(Hirsuticaulis!R$2:R$1000,1)), Hirsuticaulis!R$2:R$1000, "&lt;=" &amp; _xlfn.QUARTILE.INC(Hirsuticaulis!R$2:R$1000,3)+1.5*(_xlfn.QUARTILE.INC(Hirsuticaulis!R$2:R$1000,3)-_xlfn.QUARTILE.INC(Hirsuticaulis!R$2:R$1000,1))) &amp; "–" &amp; _xlfn.MAXIFS(Hirsuticaulis!R$2:R$1000, Hirsuticaulis!R$2:R$1000, "&gt;=" &amp; _xlfn.QUARTILE.INC(Hirsuticaulis!R$2:R$1000,1)-1.5*(_xlfn.QUARTILE.INC(Hirsuticaulis!R$2:R$1000,3)-_xlfn.QUARTILE.INC(Hirsuticaulis!R$2:R$1000,1)), Hirsuticaulis!R$2:R$1000, "&lt;=" &amp; _xlfn.QUARTILE.INC(Hirsuticaulis!R$2:R$1000,3)+1.5*(_xlfn.QUARTILE.INC(Hirsuticaulis!R$2:R$1000,3)-_xlfn.QUARTILE.INC(Hirsuticaulis!R$2:R$1000,1))) &amp; " (" &amp; IF(MAX(Hirsuticaulis!R$2:R$1000)&gt;_xlfn.QUARTILE.INC(Hirsuticaulis!R$2:R$1000,3)+1.5*(_xlfn.QUARTILE.INC(Hirsuticaulis!R$2:R$1000,3)-_xlfn.QUARTILE.INC(Hirsuticaulis!R$2:R$1000,1)),MAX(Hirsuticaulis!R$2:R$1000),"") &amp; ") mm"</f>
        <v>() 173.565–1052.388 () mm</v>
      </c>
    </row>
    <row r="65" spans="1:16" s="9" customFormat="1" x14ac:dyDescent="0.2">
      <c r="A65" s="9" t="s">
        <v>169</v>
      </c>
      <c r="B65" s="9" t="s">
        <v>217</v>
      </c>
      <c r="C65" s="9" cm="1">
        <f t="array" ref="C65">_xlfn.QUARTILE.INC(_xlfn._xlws.FILTER(Hispida!E$2:E1000, Hispida!E$2:E1000&lt;&gt;""), 1)</f>
        <v>0</v>
      </c>
      <c r="D65" s="9" cm="1">
        <f t="array" ref="D65">_xlfn.QUARTILE.INC(_xlfn._xlws.FILTER(Hispida!F$2:F1000, Hispida!F$2:F1000&lt;&gt;""), 1)</f>
        <v>0</v>
      </c>
      <c r="E65" s="9" cm="1">
        <f t="array" ref="E65">_xlfn.QUARTILE.INC(_xlfn._xlws.FILTER(Hispida!G$2:G1000, Hispida!G$2:G1000&lt;&gt;""), 1)</f>
        <v>0</v>
      </c>
      <c r="F65" s="9" cm="1">
        <f t="array" ref="F65">_xlfn.QUARTILE.INC(_xlfn._xlws.FILTER(Hispida!H$2:H1000, Hispida!H$2:H1000&lt;&gt;""), 1)</f>
        <v>3.548</v>
      </c>
      <c r="G65" s="9" cm="1">
        <f t="array" ref="G65">_xlfn.QUARTILE.INC(_xlfn._xlws.FILTER(Hispida!I$2:I1000, Hispida!I$2:I1000&lt;&gt;""), 1)</f>
        <v>1.4065000000000001</v>
      </c>
      <c r="H65" s="9" cm="1">
        <f t="array" ref="H65">_xlfn.QUARTILE.INC(_xlfn._xlws.FILTER(Hispida!J$2:J1000, Hispida!J$2:J1000&lt;&gt;""), 1)</f>
        <v>4.7619999999999996</v>
      </c>
      <c r="I65" s="9" cm="1">
        <f t="array" ref="I65">_xlfn.QUARTILE.INC(_xlfn._xlws.FILTER(Hispida!K$2:K1000, Hispida!K$2:K1000&lt;&gt;""), 1)</f>
        <v>1.264</v>
      </c>
      <c r="J65" s="9" cm="1">
        <f t="array" ref="J65">_xlfn.QUARTILE.INC(_xlfn._xlws.FILTER(Hispida!L$2:L1000, Hispida!L$2:L1000&lt;&gt;""), 1)</f>
        <v>1.0029999999999999</v>
      </c>
      <c r="K65" s="9" cm="1">
        <f t="array" ref="K65">_xlfn.QUARTILE.INC(_xlfn._xlws.FILTER(Hispida!M$2:M1000, Hispida!M$2:M1000&lt;&gt;""), 1)</f>
        <v>2.552</v>
      </c>
      <c r="L65" s="9" cm="1">
        <f t="array" ref="L65">_xlfn.QUARTILE.INC(_xlfn._xlws.FILTER(Hispida!N$2:N1000, Hispida!N$2:N1000&lt;&gt;""), 1)</f>
        <v>2.5009999999999999</v>
      </c>
      <c r="M65" s="9" cm="1">
        <f t="array" ref="M65">_xlfn.QUARTILE.INC(_xlfn._xlws.FILTER(Hispida!O$2:O1000, Hispida!O$2:O1000&lt;&gt;""), 1)</f>
        <v>2.008</v>
      </c>
      <c r="N65" s="9" cm="1">
        <f t="array" ref="N65">_xlfn.QUARTILE.INC(_xlfn._xlws.FILTER(Hispida!P$2:P1000, Hispida!P$2:P1000&lt;&gt;""), 1)</f>
        <v>2.2120000000000002</v>
      </c>
      <c r="O65" s="9" cm="1">
        <f t="array" ref="O65">_xlfn.QUARTILE.INC(_xlfn._xlws.FILTER(Hispida!Q$2:Q1000, Hispida!Q$2:Q1000&lt;&gt;""), 1)</f>
        <v>12.914999999999999</v>
      </c>
      <c r="P65" s="9" cm="1">
        <f t="array" ref="P65">_xlfn.QUARTILE.INC(_xlfn._xlws.FILTER(Hispida!R$2:R1000, Hispida!R$2:R1000&lt;&gt;""), 1)</f>
        <v>625.5575</v>
      </c>
    </row>
    <row r="66" spans="1:16" s="9" customFormat="1" x14ac:dyDescent="0.2">
      <c r="A66" s="9" t="s">
        <v>169</v>
      </c>
      <c r="B66" s="9" t="s">
        <v>218</v>
      </c>
      <c r="C66" s="9" cm="1">
        <f t="array" ref="C66">_xlfn.QUARTILE.INC(_xlfn._xlws.FILTER(Hispida!E$2:E1000, Hispida!E$2:E1000&lt;&gt;""), 2)</f>
        <v>0</v>
      </c>
      <c r="D66" s="9" cm="1">
        <f t="array" ref="D66">_xlfn.QUARTILE.INC(_xlfn._xlws.FILTER(Hispida!F$2:F1000, Hispida!F$2:F1000&lt;&gt;""), 2)</f>
        <v>0</v>
      </c>
      <c r="E66" s="9" cm="1">
        <f t="array" ref="E66">_xlfn.QUARTILE.INC(_xlfn._xlws.FILTER(Hispida!G$2:G1000, Hispida!G$2:G1000&lt;&gt;""), 2)</f>
        <v>0</v>
      </c>
      <c r="F66" s="9" cm="1">
        <f t="array" ref="F66">_xlfn.QUARTILE.INC(_xlfn._xlws.FILTER(Hispida!H$2:H1000, Hispida!H$2:H1000&lt;&gt;""), 2)</f>
        <v>5.0644999999999998</v>
      </c>
      <c r="G66" s="9" cm="1">
        <f t="array" ref="G66">_xlfn.QUARTILE.INC(_xlfn._xlws.FILTER(Hispida!I$2:I1000, Hispida!I$2:I1000&lt;&gt;""), 2)</f>
        <v>1.8319999999999999</v>
      </c>
      <c r="H66" s="9" cm="1">
        <f t="array" ref="H66">_xlfn.QUARTILE.INC(_xlfn._xlws.FILTER(Hispida!J$2:J1000, Hispida!J$2:J1000&lt;&gt;""), 2)</f>
        <v>4.9749999999999996</v>
      </c>
      <c r="I66" s="9" cm="1">
        <f t="array" ref="I66">_xlfn.QUARTILE.INC(_xlfn._xlws.FILTER(Hispida!K$2:K1000, Hispida!K$2:K1000&lt;&gt;""), 2)</f>
        <v>1.36</v>
      </c>
      <c r="J66" s="9" cm="1">
        <f t="array" ref="J66">_xlfn.QUARTILE.INC(_xlfn._xlws.FILTER(Hispida!L$2:L1000, Hispida!L$2:L1000&lt;&gt;""), 2)</f>
        <v>1.1399999999999999</v>
      </c>
      <c r="K66" s="9" cm="1">
        <f t="array" ref="K66">_xlfn.QUARTILE.INC(_xlfn._xlws.FILTER(Hispida!M$2:M1000, Hispida!M$2:M1000&lt;&gt;""), 2)</f>
        <v>2.677</v>
      </c>
      <c r="L66" s="9" cm="1">
        <f t="array" ref="L66">_xlfn.QUARTILE.INC(_xlfn._xlws.FILTER(Hispida!N$2:N1000, Hispida!N$2:N1000&lt;&gt;""), 2)</f>
        <v>2.9140000000000001</v>
      </c>
      <c r="M66" s="9" cm="1">
        <f t="array" ref="M66">_xlfn.QUARTILE.INC(_xlfn._xlws.FILTER(Hispida!O$2:O1000, Hispida!O$2:O1000&lt;&gt;""), 2)</f>
        <v>3.177</v>
      </c>
      <c r="N66" s="9" cm="1">
        <f t="array" ref="N66">_xlfn.QUARTILE.INC(_xlfn._xlws.FILTER(Hispida!P$2:P1000, Hispida!P$2:P1000&lt;&gt;""), 2)</f>
        <v>3.7639999999999998</v>
      </c>
      <c r="O66" s="9" cm="1">
        <f t="array" ref="O66">_xlfn.QUARTILE.INC(_xlfn._xlws.FILTER(Hispida!Q$2:Q1000, Hispida!Q$2:Q1000&lt;&gt;""), 2)</f>
        <v>15.48</v>
      </c>
      <c r="P66" s="9" cm="1">
        <f t="array" ref="P66">_xlfn.QUARTILE.INC(_xlfn._xlws.FILTER(Hispida!R$2:R1000, Hispida!R$2:R1000&lt;&gt;""), 2)</f>
        <v>649.89100000000008</v>
      </c>
    </row>
    <row r="67" spans="1:16" s="9" customFormat="1" x14ac:dyDescent="0.2">
      <c r="A67" s="9" t="s">
        <v>169</v>
      </c>
      <c r="B67" s="9" t="s">
        <v>219</v>
      </c>
      <c r="C67" s="9" cm="1">
        <f t="array" ref="C67">_xlfn.QUARTILE.INC(_xlfn._xlws.FILTER(Hispida!E$2:E1000, Hispida!E$2:E1000&lt;&gt;""), 3)</f>
        <v>0</v>
      </c>
      <c r="D67" s="9" cm="1">
        <f t="array" ref="D67">_xlfn.QUARTILE.INC(_xlfn._xlws.FILTER(Hispida!F$2:F1000, Hispida!F$2:F1000&lt;&gt;""), 3)</f>
        <v>0</v>
      </c>
      <c r="E67" s="9" cm="1">
        <f t="array" ref="E67">_xlfn.QUARTILE.INC(_xlfn._xlws.FILTER(Hispida!G$2:G1000, Hispida!G$2:G1000&lt;&gt;""), 3)</f>
        <v>0</v>
      </c>
      <c r="F67" s="9" cm="1">
        <f t="array" ref="F67">_xlfn.QUARTILE.INC(_xlfn._xlws.FILTER(Hispida!H$2:H1000, Hispida!H$2:H1000&lt;&gt;""), 3)</f>
        <v>6.5545</v>
      </c>
      <c r="G67" s="9" cm="1">
        <f t="array" ref="G67">_xlfn.QUARTILE.INC(_xlfn._xlws.FILTER(Hispida!I$2:I1000, Hispida!I$2:I1000&lt;&gt;""), 3)</f>
        <v>2.3392499999999998</v>
      </c>
      <c r="H67" s="9" cm="1">
        <f t="array" ref="H67">_xlfn.QUARTILE.INC(_xlfn._xlws.FILTER(Hispida!J$2:J1000, Hispida!J$2:J1000&lt;&gt;""), 3)</f>
        <v>5.3890000000000002</v>
      </c>
      <c r="I67" s="9" cm="1">
        <f t="array" ref="I67">_xlfn.QUARTILE.INC(_xlfn._xlws.FILTER(Hispida!K$2:K1000, Hispida!K$2:K1000&lt;&gt;""), 3)</f>
        <v>1.8120000000000001</v>
      </c>
      <c r="J67" s="9" cm="1">
        <f t="array" ref="J67">_xlfn.QUARTILE.INC(_xlfn._xlws.FILTER(Hispida!L$2:L1000, Hispida!L$2:L1000&lt;&gt;""), 3)</f>
        <v>1.3360000000000001</v>
      </c>
      <c r="K67" s="9" cm="1">
        <f t="array" ref="K67">_xlfn.QUARTILE.INC(_xlfn._xlws.FILTER(Hispida!M$2:M1000, Hispida!M$2:M1000&lt;&gt;""), 3)</f>
        <v>3.1259999999999999</v>
      </c>
      <c r="L67" s="9" cm="1">
        <f t="array" ref="L67">_xlfn.QUARTILE.INC(_xlfn._xlws.FILTER(Hispida!N$2:N1000, Hispida!N$2:N1000&lt;&gt;""), 3)</f>
        <v>4.0350000000000001</v>
      </c>
      <c r="M67" s="9" cm="1">
        <f t="array" ref="M67">_xlfn.QUARTILE.INC(_xlfn._xlws.FILTER(Hispida!O$2:O1000, Hispida!O$2:O1000&lt;&gt;""), 3)</f>
        <v>3.53</v>
      </c>
      <c r="N67" s="9" cm="1">
        <f t="array" ref="N67">_xlfn.QUARTILE.INC(_xlfn._xlws.FILTER(Hispida!P$2:P1000, Hispida!P$2:P1000&lt;&gt;""), 3)</f>
        <v>4.1440000000000001</v>
      </c>
      <c r="O67" s="9" cm="1">
        <f t="array" ref="O67">_xlfn.QUARTILE.INC(_xlfn._xlws.FILTER(Hispida!Q$2:Q1000, Hispida!Q$2:Q1000&lt;&gt;""), 3)</f>
        <v>22.807500000000001</v>
      </c>
      <c r="P67" s="9" cm="1">
        <f t="array" ref="P67">_xlfn.QUARTILE.INC(_xlfn._xlws.FILTER(Hispida!R$2:R1000, Hispida!R$2:R1000&lt;&gt;""), 3)</f>
        <v>769.12474999999995</v>
      </c>
    </row>
    <row r="68" spans="1:16" s="9" customFormat="1" x14ac:dyDescent="0.2">
      <c r="A68" s="9" t="s">
        <v>169</v>
      </c>
      <c r="B68" s="9" t="s">
        <v>220</v>
      </c>
      <c r="C68" s="9" cm="1">
        <f t="array" ref="C68">_xlfn.QUARTILE.INC(_xlfn._xlws.FILTER(Hispida!E$2:E1000, Hispida!E$2:E1000&lt;&gt;""), 3) - _xlfn.QUARTILE.INC(_xlfn._xlws.FILTER(Hispida!E$2:E1000, Hispida!E$2:E1000&lt;&gt;""), 1)</f>
        <v>0</v>
      </c>
      <c r="D68" s="9" cm="1">
        <f t="array" ref="D68">_xlfn.QUARTILE.INC(_xlfn._xlws.FILTER(Hispida!F$2:F1000, Hispida!F$2:F1000&lt;&gt;""), 3) - _xlfn.QUARTILE.INC(_xlfn._xlws.FILTER(Hispida!F$2:F1000, Hispida!F$2:F1000&lt;&gt;""), 1)</f>
        <v>0</v>
      </c>
      <c r="E68" s="9" cm="1">
        <f t="array" ref="E68">_xlfn.QUARTILE.INC(_xlfn._xlws.FILTER(Hispida!G$2:G1000, Hispida!G$2:G1000&lt;&gt;""), 3) - _xlfn.QUARTILE.INC(_xlfn._xlws.FILTER(Hispida!G$2:G1000, Hispida!G$2:G1000&lt;&gt;""), 1)</f>
        <v>0</v>
      </c>
      <c r="F68" s="9" cm="1">
        <f t="array" ref="F68">_xlfn.QUARTILE.INC(_xlfn._xlws.FILTER(Hispida!H$2:H1000, Hispida!H$2:H1000&lt;&gt;""), 3) - _xlfn.QUARTILE.INC(_xlfn._xlws.FILTER(Hispida!H$2:H1000, Hispida!H$2:H1000&lt;&gt;""), 1)</f>
        <v>3.0065</v>
      </c>
      <c r="G68" s="9" cm="1">
        <f t="array" ref="G68">_xlfn.QUARTILE.INC(_xlfn._xlws.FILTER(Hispida!I$2:I1000, Hispida!I$2:I1000&lt;&gt;""), 3) - _xlfn.QUARTILE.INC(_xlfn._xlws.FILTER(Hispida!I$2:I1000, Hispida!I$2:I1000&lt;&gt;""), 1)</f>
        <v>0.93274999999999975</v>
      </c>
      <c r="H68" s="9" cm="1">
        <f t="array" ref="H68">_xlfn.QUARTILE.INC(_xlfn._xlws.FILTER(Hispida!J$2:J1000, Hispida!J$2:J1000&lt;&gt;""), 3) - _xlfn.QUARTILE.INC(_xlfn._xlws.FILTER(Hispida!J$2:J1000, Hispida!J$2:J1000&lt;&gt;""), 1)</f>
        <v>0.62700000000000067</v>
      </c>
      <c r="I68" s="9" cm="1">
        <f t="array" ref="I68">_xlfn.QUARTILE.INC(_xlfn._xlws.FILTER(Hispida!K$2:K1000, Hispida!K$2:K1000&lt;&gt;""), 3) - _xlfn.QUARTILE.INC(_xlfn._xlws.FILTER(Hispida!K$2:K1000, Hispida!K$2:K1000&lt;&gt;""), 1)</f>
        <v>0.54800000000000004</v>
      </c>
      <c r="J68" s="9" cm="1">
        <f t="array" ref="J68">_xlfn.QUARTILE.INC(_xlfn._xlws.FILTER(Hispida!L$2:L1000, Hispida!L$2:L1000&lt;&gt;""), 3) - _xlfn.QUARTILE.INC(_xlfn._xlws.FILTER(Hispida!L$2:L1000, Hispida!L$2:L1000&lt;&gt;""), 1)</f>
        <v>0.33300000000000018</v>
      </c>
      <c r="K68" s="9" cm="1">
        <f t="array" ref="K68">_xlfn.QUARTILE.INC(_xlfn._xlws.FILTER(Hispida!M$2:M1000, Hispida!M$2:M1000&lt;&gt;""), 3) - _xlfn.QUARTILE.INC(_xlfn._xlws.FILTER(Hispida!M$2:M1000, Hispida!M$2:M1000&lt;&gt;""), 1)</f>
        <v>0.57399999999999984</v>
      </c>
      <c r="L68" s="9" cm="1">
        <f t="array" ref="L68">_xlfn.QUARTILE.INC(_xlfn._xlws.FILTER(Hispida!N$2:N1000, Hispida!N$2:N1000&lt;&gt;""), 3) - _xlfn.QUARTILE.INC(_xlfn._xlws.FILTER(Hispida!N$2:N1000, Hispida!N$2:N1000&lt;&gt;""), 1)</f>
        <v>1.5340000000000003</v>
      </c>
      <c r="M68" s="9" cm="1">
        <f t="array" ref="M68">_xlfn.QUARTILE.INC(_xlfn._xlws.FILTER(Hispida!O$2:O1000, Hispida!O$2:O1000&lt;&gt;""), 3) - _xlfn.QUARTILE.INC(_xlfn._xlws.FILTER(Hispida!O$2:O1000, Hispida!O$2:O1000&lt;&gt;""), 1)</f>
        <v>1.5219999999999998</v>
      </c>
      <c r="N68" s="9" cm="1">
        <f t="array" ref="N68">_xlfn.QUARTILE.INC(_xlfn._xlws.FILTER(Hispida!P$2:P1000, Hispida!P$2:P1000&lt;&gt;""), 3) - _xlfn.QUARTILE.INC(_xlfn._xlws.FILTER(Hispida!P$2:P1000, Hispida!P$2:P1000&lt;&gt;""), 1)</f>
        <v>1.9319999999999999</v>
      </c>
      <c r="O68" s="9" cm="1">
        <f t="array" ref="O68">_xlfn.QUARTILE.INC(_xlfn._xlws.FILTER(Hispida!Q$2:Q1000, Hispida!Q$2:Q1000&lt;&gt;""), 3) - _xlfn.QUARTILE.INC(_xlfn._xlws.FILTER(Hispida!Q$2:Q1000, Hispida!Q$2:Q1000&lt;&gt;""), 1)</f>
        <v>9.8925000000000018</v>
      </c>
      <c r="P68" s="9" cm="1">
        <f t="array" ref="P68">_xlfn.QUARTILE.INC(_xlfn._xlws.FILTER(Hispida!R$2:R1000, Hispida!R$2:R1000&lt;&gt;""), 3) - _xlfn.QUARTILE.INC(_xlfn._xlws.FILTER(Hispida!R$2:R1000, Hispida!R$2:R1000&lt;&gt;""), 1)</f>
        <v>143.56724999999994</v>
      </c>
    </row>
    <row r="69" spans="1:16" s="9" customFormat="1" x14ac:dyDescent="0.2">
      <c r="A69" s="9" t="s">
        <v>169</v>
      </c>
      <c r="B69" s="9" t="s">
        <v>221</v>
      </c>
      <c r="C69" s="9" cm="1">
        <f t="array" ref="C69">_xlfn.QUARTILE.INC(_xlfn._xlws.FILTER(Hispida!E$2:E1000, Hispida!E$2:E1000&lt;&gt;""), 1) - 1.5*(_xlfn.QUARTILE.INC(_xlfn._xlws.FILTER(Hispida!E$2:E1000, Hispida!E$2:E1000&lt;&gt;""), 3) - _xlfn.QUARTILE.INC(_xlfn._xlws.FILTER(Hispida!E$2:E1000, Hispida!E$2:E1000&lt;&gt;""), 1))</f>
        <v>0</v>
      </c>
      <c r="D69" s="9" cm="1">
        <f t="array" ref="D69">_xlfn.QUARTILE.INC(_xlfn._xlws.FILTER(Hispida!F$2:F1000, Hispida!F$2:F1000&lt;&gt;""), 1) - 1.5*(_xlfn.QUARTILE.INC(_xlfn._xlws.FILTER(Hispida!F$2:F1000, Hispida!F$2:F1000&lt;&gt;""), 3) - _xlfn.QUARTILE.INC(_xlfn._xlws.FILTER(Hispida!F$2:F1000, Hispida!F$2:F1000&lt;&gt;""), 1))</f>
        <v>0</v>
      </c>
      <c r="E69" s="9" cm="1">
        <f t="array" ref="E69">_xlfn.QUARTILE.INC(_xlfn._xlws.FILTER(Hispida!G$2:G1000, Hispida!G$2:G1000&lt;&gt;""), 1) - 1.5*(_xlfn.QUARTILE.INC(_xlfn._xlws.FILTER(Hispida!G$2:G1000, Hispida!G$2:G1000&lt;&gt;""), 3) - _xlfn.QUARTILE.INC(_xlfn._xlws.FILTER(Hispida!G$2:G1000, Hispida!G$2:G1000&lt;&gt;""), 1))</f>
        <v>0</v>
      </c>
      <c r="F69" s="9" cm="1">
        <f t="array" ref="F69">_xlfn.QUARTILE.INC(_xlfn._xlws.FILTER(Hispida!H$2:H1000, Hispida!H$2:H1000&lt;&gt;""), 1) - 1.5*(_xlfn.QUARTILE.INC(_xlfn._xlws.FILTER(Hispida!H$2:H1000, Hispida!H$2:H1000&lt;&gt;""), 3) - _xlfn.QUARTILE.INC(_xlfn._xlws.FILTER(Hispida!H$2:H1000, Hispida!H$2:H1000&lt;&gt;""), 1))</f>
        <v>-0.96175000000000033</v>
      </c>
      <c r="G69" s="9" cm="1">
        <f t="array" ref="G69">_xlfn.QUARTILE.INC(_xlfn._xlws.FILTER(Hispida!I$2:I1000, Hispida!I$2:I1000&lt;&gt;""), 1) - 1.5*(_xlfn.QUARTILE.INC(_xlfn._xlws.FILTER(Hispida!I$2:I1000, Hispida!I$2:I1000&lt;&gt;""), 3) - _xlfn.QUARTILE.INC(_xlfn._xlws.FILTER(Hispida!I$2:I1000, Hispida!I$2:I1000&lt;&gt;""), 1))</f>
        <v>7.3750000000003535E-3</v>
      </c>
      <c r="H69" s="9" cm="1">
        <f t="array" ref="H69">_xlfn.QUARTILE.INC(_xlfn._xlws.FILTER(Hispida!J$2:J1000, Hispida!J$2:J1000&lt;&gt;""), 1) - 1.5*(_xlfn.QUARTILE.INC(_xlfn._xlws.FILTER(Hispida!J$2:J1000, Hispida!J$2:J1000&lt;&gt;""), 3) - _xlfn.QUARTILE.INC(_xlfn._xlws.FILTER(Hispida!J$2:J1000, Hispida!J$2:J1000&lt;&gt;""), 1))</f>
        <v>3.8214999999999986</v>
      </c>
      <c r="I69" s="9" cm="1">
        <f t="array" ref="I69">_xlfn.QUARTILE.INC(_xlfn._xlws.FILTER(Hispida!K$2:K1000, Hispida!K$2:K1000&lt;&gt;""), 1) - 1.5*(_xlfn.QUARTILE.INC(_xlfn._xlws.FILTER(Hispida!K$2:K1000, Hispida!K$2:K1000&lt;&gt;""), 3) - _xlfn.QUARTILE.INC(_xlfn._xlws.FILTER(Hispida!K$2:K1000, Hispida!K$2:K1000&lt;&gt;""), 1))</f>
        <v>0.44199999999999995</v>
      </c>
      <c r="J69" s="9" cm="1">
        <f t="array" ref="J69">_xlfn.QUARTILE.INC(_xlfn._xlws.FILTER(Hispida!L$2:L1000, Hispida!L$2:L1000&lt;&gt;""), 1) - 1.5*(_xlfn.QUARTILE.INC(_xlfn._xlws.FILTER(Hispida!L$2:L1000, Hispida!L$2:L1000&lt;&gt;""), 3) - _xlfn.QUARTILE.INC(_xlfn._xlws.FILTER(Hispida!L$2:L1000, Hispida!L$2:L1000&lt;&gt;""), 1))</f>
        <v>0.50349999999999961</v>
      </c>
      <c r="K69" s="9" cm="1">
        <f t="array" ref="K69">_xlfn.QUARTILE.INC(_xlfn._xlws.FILTER(Hispida!M$2:M1000, Hispida!M$2:M1000&lt;&gt;""), 1) - 1.5*(_xlfn.QUARTILE.INC(_xlfn._xlws.FILTER(Hispida!M$2:M1000, Hispida!M$2:M1000&lt;&gt;""), 3) - _xlfn.QUARTILE.INC(_xlfn._xlws.FILTER(Hispida!M$2:M1000, Hispida!M$2:M1000&lt;&gt;""), 1))</f>
        <v>1.6910000000000003</v>
      </c>
      <c r="L69" s="9" cm="1">
        <f t="array" ref="L69">_xlfn.QUARTILE.INC(_xlfn._xlws.FILTER(Hispida!N$2:N1000, Hispida!N$2:N1000&lt;&gt;""), 1) - 1.5*(_xlfn.QUARTILE.INC(_xlfn._xlws.FILTER(Hispida!N$2:N1000, Hispida!N$2:N1000&lt;&gt;""), 3) - _xlfn.QUARTILE.INC(_xlfn._xlws.FILTER(Hispida!N$2:N1000, Hispida!N$2:N1000&lt;&gt;""), 1))</f>
        <v>0.19999999999999973</v>
      </c>
      <c r="M69" s="9" cm="1">
        <f t="array" ref="M69">_xlfn.QUARTILE.INC(_xlfn._xlws.FILTER(Hispida!O$2:O1000, Hispida!O$2:O1000&lt;&gt;""), 1) - 1.5*(_xlfn.QUARTILE.INC(_xlfn._xlws.FILTER(Hispida!O$2:O1000, Hispida!O$2:O1000&lt;&gt;""), 3) - _xlfn.QUARTILE.INC(_xlfn._xlws.FILTER(Hispida!O$2:O1000, Hispida!O$2:O1000&lt;&gt;""), 1))</f>
        <v>-0.27499999999999947</v>
      </c>
      <c r="N69" s="9" cm="1">
        <f t="array" ref="N69">_xlfn.QUARTILE.INC(_xlfn._xlws.FILTER(Hispida!P$2:P1000, Hispida!P$2:P1000&lt;&gt;""), 1) - 1.5*(_xlfn.QUARTILE.INC(_xlfn._xlws.FILTER(Hispida!P$2:P1000, Hispida!P$2:P1000&lt;&gt;""), 3) - _xlfn.QUARTILE.INC(_xlfn._xlws.FILTER(Hispida!P$2:P1000, Hispida!P$2:P1000&lt;&gt;""), 1))</f>
        <v>-0.6859999999999995</v>
      </c>
      <c r="O69" s="9" cm="1">
        <f t="array" ref="O69">_xlfn.QUARTILE.INC(_xlfn._xlws.FILTER(Hispida!Q$2:Q1000, Hispida!Q$2:Q1000&lt;&gt;""), 1) - 1.5*(_xlfn.QUARTILE.INC(_xlfn._xlws.FILTER(Hispida!Q$2:Q1000, Hispida!Q$2:Q1000&lt;&gt;""), 3) - _xlfn.QUARTILE.INC(_xlfn._xlws.FILTER(Hispida!Q$2:Q1000, Hispida!Q$2:Q1000&lt;&gt;""), 1))</f>
        <v>-1.9237500000000036</v>
      </c>
      <c r="P69" s="9" cm="1">
        <f t="array" ref="P69">_xlfn.QUARTILE.INC(_xlfn._xlws.FILTER(Hispida!R$2:R1000, Hispida!R$2:R1000&lt;&gt;""), 1) - 1.5*(_xlfn.QUARTILE.INC(_xlfn._xlws.FILTER(Hispida!R$2:R1000, Hispida!R$2:R1000&lt;&gt;""), 3) - _xlfn.QUARTILE.INC(_xlfn._xlws.FILTER(Hispida!R$2:R1000, Hispida!R$2:R1000&lt;&gt;""), 1))</f>
        <v>410.20662500000009</v>
      </c>
    </row>
    <row r="70" spans="1:16" s="9" customFormat="1" x14ac:dyDescent="0.2">
      <c r="A70" s="9" t="s">
        <v>169</v>
      </c>
      <c r="B70" s="9" t="s">
        <v>222</v>
      </c>
      <c r="C70" s="9" cm="1">
        <f t="array" ref="C70">_xlfn.QUARTILE.INC(_xlfn._xlws.FILTER(Hispida!E$2:E1000, Hispida!E$2:E1000&lt;&gt;""), 3) + 1.5*(_xlfn.QUARTILE.INC(_xlfn._xlws.FILTER(Hispida!E$2:E1000, Hispida!E$2:E1000&lt;&gt;""), 3) - _xlfn.QUARTILE.INC(_xlfn._xlws.FILTER(Hispida!E$2:E1000, Hispida!E$2:E1000&lt;&gt;""), 1))</f>
        <v>0</v>
      </c>
      <c r="D70" s="9" cm="1">
        <f t="array" ref="D70">_xlfn.QUARTILE.INC(_xlfn._xlws.FILTER(Hispida!F$2:F1000, Hispida!F$2:F1000&lt;&gt;""), 3) + 1.5*(_xlfn.QUARTILE.INC(_xlfn._xlws.FILTER(Hispida!F$2:F1000, Hispida!F$2:F1000&lt;&gt;""), 3) - _xlfn.QUARTILE.INC(_xlfn._xlws.FILTER(Hispida!F$2:F1000, Hispida!F$2:F1000&lt;&gt;""), 1))</f>
        <v>0</v>
      </c>
      <c r="E70" s="9" cm="1">
        <f t="array" ref="E70">_xlfn.QUARTILE.INC(_xlfn._xlws.FILTER(Hispida!G$2:G1000, Hispida!G$2:G1000&lt;&gt;""), 3) + 1.5*(_xlfn.QUARTILE.INC(_xlfn._xlws.FILTER(Hispida!G$2:G1000, Hispida!G$2:G1000&lt;&gt;""), 3) - _xlfn.QUARTILE.INC(_xlfn._xlws.FILTER(Hispida!G$2:G1000, Hispida!G$2:G1000&lt;&gt;""), 1))</f>
        <v>0</v>
      </c>
      <c r="F70" s="9" cm="1">
        <f t="array" ref="F70">_xlfn.QUARTILE.INC(_xlfn._xlws.FILTER(Hispida!H$2:H1000, Hispida!H$2:H1000&lt;&gt;""), 3) + 1.5*(_xlfn.QUARTILE.INC(_xlfn._xlws.FILTER(Hispida!H$2:H1000, Hispida!H$2:H1000&lt;&gt;""), 3) - _xlfn.QUARTILE.INC(_xlfn._xlws.FILTER(Hispida!H$2:H1000, Hispida!H$2:H1000&lt;&gt;""), 1))</f>
        <v>11.064250000000001</v>
      </c>
      <c r="G70" s="9" cm="1">
        <f t="array" ref="G70">_xlfn.QUARTILE.INC(_xlfn._xlws.FILTER(Hispida!I$2:I1000, Hispida!I$2:I1000&lt;&gt;""), 3) + 1.5*(_xlfn.QUARTILE.INC(_xlfn._xlws.FILTER(Hispida!I$2:I1000, Hispida!I$2:I1000&lt;&gt;""), 3) - _xlfn.QUARTILE.INC(_xlfn._xlws.FILTER(Hispida!I$2:I1000, Hispida!I$2:I1000&lt;&gt;""), 1))</f>
        <v>3.7383749999999996</v>
      </c>
      <c r="H70" s="9" cm="1">
        <f t="array" ref="H70">_xlfn.QUARTILE.INC(_xlfn._xlws.FILTER(Hispida!J$2:J1000, Hispida!J$2:J1000&lt;&gt;""), 3) + 1.5*(_xlfn.QUARTILE.INC(_xlfn._xlws.FILTER(Hispida!J$2:J1000, Hispida!J$2:J1000&lt;&gt;""), 3) - _xlfn.QUARTILE.INC(_xlfn._xlws.FILTER(Hispida!J$2:J1000, Hispida!J$2:J1000&lt;&gt;""), 1))</f>
        <v>6.3295000000000012</v>
      </c>
      <c r="I70" s="9" cm="1">
        <f t="array" ref="I70">_xlfn.QUARTILE.INC(_xlfn._xlws.FILTER(Hispida!K$2:K1000, Hispida!K$2:K1000&lt;&gt;""), 3) + 1.5*(_xlfn.QUARTILE.INC(_xlfn._xlws.FILTER(Hispida!K$2:K1000, Hispida!K$2:K1000&lt;&gt;""), 3) - _xlfn.QUARTILE.INC(_xlfn._xlws.FILTER(Hispida!K$2:K1000, Hispida!K$2:K1000&lt;&gt;""), 1))</f>
        <v>2.6340000000000003</v>
      </c>
      <c r="J70" s="9" cm="1">
        <f t="array" ref="J70">_xlfn.QUARTILE.INC(_xlfn._xlws.FILTER(Hispida!L$2:L1000, Hispida!L$2:L1000&lt;&gt;""), 3) + 1.5*(_xlfn.QUARTILE.INC(_xlfn._xlws.FILTER(Hispida!L$2:L1000, Hispida!L$2:L1000&lt;&gt;""), 3) - _xlfn.QUARTILE.INC(_xlfn._xlws.FILTER(Hispida!L$2:L1000, Hispida!L$2:L1000&lt;&gt;""), 1))</f>
        <v>1.8355000000000004</v>
      </c>
      <c r="K70" s="9" cm="1">
        <f t="array" ref="K70">_xlfn.QUARTILE.INC(_xlfn._xlws.FILTER(Hispida!M$2:M1000, Hispida!M$2:M1000&lt;&gt;""), 3) + 1.5*(_xlfn.QUARTILE.INC(_xlfn._xlws.FILTER(Hispida!M$2:M1000, Hispida!M$2:M1000&lt;&gt;""), 3) - _xlfn.QUARTILE.INC(_xlfn._xlws.FILTER(Hispida!M$2:M1000, Hispida!M$2:M1000&lt;&gt;""), 1))</f>
        <v>3.9869999999999997</v>
      </c>
      <c r="L70" s="9" cm="1">
        <f t="array" ref="L70">_xlfn.QUARTILE.INC(_xlfn._xlws.FILTER(Hispida!N$2:N1000, Hispida!N$2:N1000&lt;&gt;""), 3) + 1.5*(_xlfn.QUARTILE.INC(_xlfn._xlws.FILTER(Hispida!N$2:N1000, Hispida!N$2:N1000&lt;&gt;""), 3) - _xlfn.QUARTILE.INC(_xlfn._xlws.FILTER(Hispida!N$2:N1000, Hispida!N$2:N1000&lt;&gt;""), 1))</f>
        <v>6.3360000000000003</v>
      </c>
      <c r="M70" s="9" cm="1">
        <f t="array" ref="M70">_xlfn.QUARTILE.INC(_xlfn._xlws.FILTER(Hispida!O$2:O1000, Hispida!O$2:O1000&lt;&gt;""), 3) + 1.5*(_xlfn.QUARTILE.INC(_xlfn._xlws.FILTER(Hispida!O$2:O1000, Hispida!O$2:O1000&lt;&gt;""), 3) - _xlfn.QUARTILE.INC(_xlfn._xlws.FILTER(Hispida!O$2:O1000, Hispida!O$2:O1000&lt;&gt;""), 1))</f>
        <v>5.8129999999999988</v>
      </c>
      <c r="N70" s="9" cm="1">
        <f t="array" ref="N70">_xlfn.QUARTILE.INC(_xlfn._xlws.FILTER(Hispida!P$2:P1000, Hispida!P$2:P1000&lt;&gt;""), 3) + 1.5*(_xlfn.QUARTILE.INC(_xlfn._xlws.FILTER(Hispida!P$2:P1000, Hispida!P$2:P1000&lt;&gt;""), 3) - _xlfn.QUARTILE.INC(_xlfn._xlws.FILTER(Hispida!P$2:P1000, Hispida!P$2:P1000&lt;&gt;""), 1))</f>
        <v>7.0419999999999998</v>
      </c>
      <c r="O70" s="9" cm="1">
        <f t="array" ref="O70">_xlfn.QUARTILE.INC(_xlfn._xlws.FILTER(Hispida!Q$2:Q1000, Hispida!Q$2:Q1000&lt;&gt;""), 3) + 1.5*(_xlfn.QUARTILE.INC(_xlfn._xlws.FILTER(Hispida!Q$2:Q1000, Hispida!Q$2:Q1000&lt;&gt;""), 3) - _xlfn.QUARTILE.INC(_xlfn._xlws.FILTER(Hispida!Q$2:Q1000, Hispida!Q$2:Q1000&lt;&gt;""), 1))</f>
        <v>37.646250000000002</v>
      </c>
      <c r="P70" s="9" cm="1">
        <f t="array" ref="P70">_xlfn.QUARTILE.INC(_xlfn._xlws.FILTER(Hispida!R$2:R1000, Hispida!R$2:R1000&lt;&gt;""), 3) + 1.5*(_xlfn.QUARTILE.INC(_xlfn._xlws.FILTER(Hispida!R$2:R1000, Hispida!R$2:R1000&lt;&gt;""), 3) - _xlfn.QUARTILE.INC(_xlfn._xlws.FILTER(Hispida!R$2:R1000, Hispida!R$2:R1000&lt;&gt;""), 1))</f>
        <v>984.47562499999981</v>
      </c>
    </row>
    <row r="71" spans="1:16" s="9" customFormat="1" x14ac:dyDescent="0.2">
      <c r="A71" s="9" t="s">
        <v>169</v>
      </c>
      <c r="B71" s="9" t="s">
        <v>223</v>
      </c>
      <c r="C71" s="9" cm="1">
        <f t="array" ref="C71">MIN(_xlfn._xlws.FILTER(Hispida!E$2:E1000, Hispida!E$2:E1000&lt;&gt;""))</f>
        <v>0</v>
      </c>
      <c r="D71" s="9" cm="1">
        <f t="array" ref="D71">MIN(_xlfn._xlws.FILTER(Hispida!F$2:F1000, Hispida!F$2:F1000&lt;&gt;""))</f>
        <v>0</v>
      </c>
      <c r="E71" s="9" cm="1">
        <f t="array" ref="E71">MIN(_xlfn._xlws.FILTER(Hispida!G$2:G1000, Hispida!G$2:G1000&lt;&gt;""))</f>
        <v>0</v>
      </c>
      <c r="F71" s="9" cm="1">
        <f t="array" ref="F71">MIN(_xlfn._xlws.FILTER(Hispida!H$2:H1000, Hispida!H$2:H1000&lt;&gt;""))</f>
        <v>2.0019999999999998</v>
      </c>
      <c r="G71" s="9" cm="1">
        <f t="array" ref="G71">MIN(_xlfn._xlws.FILTER(Hispida!I$2:I1000, Hispida!I$2:I1000&lt;&gt;""))</f>
        <v>0.93</v>
      </c>
      <c r="H71" s="9" cm="1">
        <f t="array" ref="H71">MIN(_xlfn._xlws.FILTER(Hispida!J$2:J1000, Hispida!J$2:J1000&lt;&gt;""))</f>
        <v>3.1819999999999999</v>
      </c>
      <c r="I71" s="9" cm="1">
        <f t="array" ref="I71">MIN(_xlfn._xlws.FILTER(Hispida!K$2:K1000, Hispida!K$2:K1000&lt;&gt;""))</f>
        <v>0.79200000000000004</v>
      </c>
      <c r="J71" s="9" cm="1">
        <f t="array" ref="J71">MIN(_xlfn._xlws.FILTER(Hispida!L$2:L1000, Hispida!L$2:L1000&lt;&gt;""))</f>
        <v>0.36399999999999999</v>
      </c>
      <c r="K71" s="9" cm="1">
        <f t="array" ref="K71">MIN(_xlfn._xlws.FILTER(Hispida!M$2:M1000, Hispida!M$2:M1000&lt;&gt;""))</f>
        <v>2.0910000000000002</v>
      </c>
      <c r="L71" s="9" cm="1">
        <f t="array" ref="L71">MIN(_xlfn._xlws.FILTER(Hispida!N$2:N1000, Hispida!N$2:N1000&lt;&gt;""))</f>
        <v>1.9390000000000001</v>
      </c>
      <c r="M71" s="9" cm="1">
        <f t="array" ref="M71">MIN(_xlfn._xlws.FILTER(Hispida!O$2:O1000, Hispida!O$2:O1000&lt;&gt;""))</f>
        <v>1.601</v>
      </c>
      <c r="N71" s="9" cm="1">
        <f t="array" ref="N71">MIN(_xlfn._xlws.FILTER(Hispida!P$2:P1000, Hispida!P$2:P1000&lt;&gt;""))</f>
        <v>1.1930000000000001</v>
      </c>
      <c r="O71" s="9" cm="1">
        <f t="array" ref="O71">MIN(_xlfn._xlws.FILTER(Hispida!Q$2:Q1000, Hispida!Q$2:Q1000&lt;&gt;""))</f>
        <v>5.3140000000000001</v>
      </c>
      <c r="P71" s="9" cm="1">
        <f t="array" ref="P71">MIN(_xlfn._xlws.FILTER(Hispida!R$2:R1000, Hispida!R$2:R1000&lt;&gt;""))</f>
        <v>403.99099999999999</v>
      </c>
    </row>
    <row r="72" spans="1:16" s="9" customFormat="1" x14ac:dyDescent="0.2">
      <c r="A72" s="9" t="s">
        <v>169</v>
      </c>
      <c r="B72" s="9" t="s">
        <v>224</v>
      </c>
      <c r="C72" s="9" cm="1">
        <f t="array" ref="C72">MAX(_xlfn._xlws.FILTER(Hispida!E$2:E1000, Hispida!E$2:E1000&lt;&gt;""))</f>
        <v>0</v>
      </c>
      <c r="D72" s="9" cm="1">
        <f t="array" ref="D72">MAX(_xlfn._xlws.FILTER(Hispida!F$2:F1000, Hispida!F$2:F1000&lt;&gt;""))</f>
        <v>0</v>
      </c>
      <c r="E72" s="9" cm="1">
        <f t="array" ref="E72">MAX(_xlfn._xlws.FILTER(Hispida!G$2:G1000, Hispida!G$2:G1000&lt;&gt;""))</f>
        <v>0</v>
      </c>
      <c r="F72" s="9" cm="1">
        <f t="array" ref="F72">MAX(_xlfn._xlws.FILTER(Hispida!H$2:H1000, Hispida!H$2:H1000&lt;&gt;""))</f>
        <v>10.962999999999999</v>
      </c>
      <c r="G72" s="9" cm="1">
        <f t="array" ref="G72">MAX(_xlfn._xlws.FILTER(Hispida!I$2:I1000, Hispida!I$2:I1000&lt;&gt;""))</f>
        <v>5.41</v>
      </c>
      <c r="H72" s="9" cm="1">
        <f t="array" ref="H72">MAX(_xlfn._xlws.FILTER(Hispida!J$2:J1000, Hispida!J$2:J1000&lt;&gt;""))</f>
        <v>7.08</v>
      </c>
      <c r="I72" s="9" cm="1">
        <f t="array" ref="I72">MAX(_xlfn._xlws.FILTER(Hispida!K$2:K1000, Hispida!K$2:K1000&lt;&gt;""))</f>
        <v>2.8460000000000001</v>
      </c>
      <c r="J72" s="9" cm="1">
        <f t="array" ref="J72">MAX(_xlfn._xlws.FILTER(Hispida!L$2:L1000, Hispida!L$2:L1000&lt;&gt;""))</f>
        <v>2.3460000000000001</v>
      </c>
      <c r="K72" s="9" cm="1">
        <f t="array" ref="K72">MAX(_xlfn._xlws.FILTER(Hispida!M$2:M1000, Hispida!M$2:M1000&lt;&gt;""))</f>
        <v>4.2619999999999996</v>
      </c>
      <c r="L72" s="9" cm="1">
        <f t="array" ref="L72">MAX(_xlfn._xlws.FILTER(Hispida!N$2:N1000, Hispida!N$2:N1000&lt;&gt;""))</f>
        <v>5.2750000000000004</v>
      </c>
      <c r="M72" s="9" cm="1">
        <f t="array" ref="M72">MAX(_xlfn._xlws.FILTER(Hispida!O$2:O1000, Hispida!O$2:O1000&lt;&gt;""))</f>
        <v>5.3680000000000003</v>
      </c>
      <c r="N72" s="9" cm="1">
        <f t="array" ref="N72">MAX(_xlfn._xlws.FILTER(Hispida!P$2:P1000, Hispida!P$2:P1000&lt;&gt;""))</f>
        <v>5.5</v>
      </c>
      <c r="O72" s="9" cm="1">
        <f t="array" ref="O72">MAX(_xlfn._xlws.FILTER(Hispida!Q$2:Q1000, Hispida!Q$2:Q1000&lt;&gt;""))</f>
        <v>36.57</v>
      </c>
      <c r="P72" s="9" cm="1">
        <f t="array" ref="P72">MAX(_xlfn._xlws.FILTER(Hispida!R$2:R1000, Hispida!R$2:R1000&lt;&gt;""))</f>
        <v>976.65599999999995</v>
      </c>
    </row>
    <row r="73" spans="1:16" s="9" customFormat="1" ht="17" x14ac:dyDescent="0.25">
      <c r="A73" s="9" t="s">
        <v>169</v>
      </c>
      <c r="B73" s="9" t="s">
        <v>225</v>
      </c>
      <c r="C73" s="9" t="str">
        <f>"(" &amp; IF(MIN(Hispida!E$2:E$1000)&lt;_xlfn.QUARTILE.INC(Hispida!E$2:E$1000,1)-1.5*(_xlfn.QUARTILE.INC(Hispida!E$2:E$1000,3)-_xlfn.QUARTILE.INC(Hispida!E$2:E$1000,1)),MIN(Hispida!E$2:E$1000),"") &amp; ") " &amp; _xlfn.MINIFS(Hispida!E$2:E$1000,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"–" &amp; _xlfn.MAXIFS(Hispida!E$2:E$1000,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 (" &amp; IF(MAX(Hispida!E$2:E$1000)&gt;_xlfn.QUARTILE.INC(Hispida!E$2:E$1000,3)+1.5*(_xlfn.QUARTILE.INC(Hispida!E$2:E$1000,3)-_xlfn.QUARTILE.INC(Hispida!E$2:E$1000,1)),MAX(Hispida!E$2:E$1000),"") &amp; ") mm"</f>
        <v>() 0–0 () mm</v>
      </c>
      <c r="D73" s="9" t="str">
        <f>"(" &amp; IF(MIN(Hispida!F$2:F$1000)&lt;_xlfn.QUARTILE.INC(Hispida!F$2:F$1000,1)-1.5*(_xlfn.QUARTILE.INC(Hispida!F$2:F$1000,3)-_xlfn.QUARTILE.INC(Hispida!F$2:F$1000,1)),MIN(Hispida!F$2:F$1000),"") &amp; ") " &amp; _xlfn.MINIFS(Hispida!F$2:F$1000, Hispida!F$2:F$1000, "&gt;=" &amp; _xlfn.QUARTILE.INC(Hispida!F$2:F$1000,1)-1.5*(_xlfn.QUARTILE.INC(Hispida!F$2:F$1000,3)-_xlfn.QUARTILE.INC(Hispida!F$2:F$1000,1)), Hispida!F$2:F$1000, "&lt;=" &amp; _xlfn.QUARTILE.INC(Hispida!F$2:F$1000,3)+1.5*(_xlfn.QUARTILE.INC(Hispida!F$2:F$1000,3)-_xlfn.QUARTILE.INC(Hispida!F$2:F$1000,1))) &amp; "–" &amp; _xlfn.MAXIFS(Hispida!F$2:F$1000, Hispida!F$2:F$1000, "&gt;=" &amp; _xlfn.QUARTILE.INC(Hispida!F$2:F$1000,1)-1.5*(_xlfn.QUARTILE.INC(Hispida!F$2:F$1000,3)-_xlfn.QUARTILE.INC(Hispida!F$2:F$1000,1)), Hispida!F$2:F$1000, "&lt;=" &amp; _xlfn.QUARTILE.INC(Hispida!F$2:F$1000,3)+1.5*(_xlfn.QUARTILE.INC(Hispida!F$2:F$1000,3)-_xlfn.QUARTILE.INC(Hispida!F$2:F$1000,1))) &amp; " (" &amp; IF(MAX(Hispida!F$2:F$1000)&gt;_xlfn.QUARTILE.INC(Hispida!F$2:F$1000,3)+1.5*(_xlfn.QUARTILE.INC(Hispida!F$2:F$1000,3)-_xlfn.QUARTILE.INC(Hispida!F$2:F$1000,1)),MAX(Hispida!F$2:F$1000),"") &amp; ") mm"</f>
        <v>() 0–0 () mm</v>
      </c>
      <c r="E73" s="9" t="str">
        <f>"(" &amp; IF(MIN(Hispida!G$2:G$1000)&lt;_xlfn.QUARTILE.INC(Hispida!G$2:G$1000,1)-1.5*(_xlfn.QUARTILE.INC(Hispida!G$2:G$1000,3)-_xlfn.QUARTILE.INC(Hispida!G$2:G$1000,1)),MIN(Hispida!G$2:G$1000),"") &amp; ") " &amp; _xlfn.MINIFS(Hispida!G$2:G$1000, Hispida!G$2:G$1000, "&gt;=" &amp; _xlfn.QUARTILE.INC(Hispida!G$2:G$1000,1)-1.5*(_xlfn.QUARTILE.INC(Hispida!G$2:G$1000,3)-_xlfn.QUARTILE.INC(Hispida!G$2:G$1000,1)), Hispida!G$2:G$1000, "&lt;=" &amp; _xlfn.QUARTILE.INC(Hispida!G$2:G$1000,3)+1.5*(_xlfn.QUARTILE.INC(Hispida!G$2:G$1000,3)-_xlfn.QUARTILE.INC(Hispida!G$2:G$1000,1))) &amp; "–" &amp; _xlfn.MAXIFS(Hispida!G$2:G$1000, Hispida!G$2:G$1000, "&gt;=" &amp; _xlfn.QUARTILE.INC(Hispida!G$2:G$1000,1)-1.5*(_xlfn.QUARTILE.INC(Hispida!G$2:G$1000,3)-_xlfn.QUARTILE.INC(Hispida!G$2:G$1000,1)), Hispida!G$2:G$1000, "&lt;=" &amp; _xlfn.QUARTILE.INC(Hispida!G$2:G$1000,3)+1.5*(_xlfn.QUARTILE.INC(Hispida!G$2:G$1000,3)-_xlfn.QUARTILE.INC(Hispida!G$2:G$1000,1))) &amp; " (" &amp; IF(MAX(Hispida!G$2:G$1000)&gt;_xlfn.QUARTILE.INC(Hispida!G$2:G$1000,3)+1.5*(_xlfn.QUARTILE.INC(Hispida!G$2:G$1000,3)-_xlfn.QUARTILE.INC(Hispida!G$2:G$1000,1)),MAX(Hispida!G$2:G$1000),"") &amp; ") mm"</f>
        <v>() 0–0 () mm</v>
      </c>
      <c r="F73" s="9" t="str">
        <f>"(" &amp; IF(MIN(Hispida!H$2:H$1000)&lt;_xlfn.QUARTILE.INC(Hispida!H$2:H$1000,1)-1.5*(_xlfn.QUARTILE.INC(Hispida!H$2:H$1000,3)-_xlfn.QUARTILE.INC(Hispida!H$2:H$1000,1)),MIN(Hispida!H$2:H$1000),"") &amp; ") " &amp; _xlfn.MINIFS(Hispida!H$2:H$1000, Hispida!H$2:H$1000, "&gt;=" &amp; _xlfn.QUARTILE.INC(Hispida!H$2:H$1000,1)-1.5*(_xlfn.QUARTILE.INC(Hispida!H$2:H$1000,3)-_xlfn.QUARTILE.INC(Hispida!H$2:H$1000,1)), Hispida!H$2:H$1000, "&lt;=" &amp; _xlfn.QUARTILE.INC(Hispida!H$2:H$1000,3)+1.5*(_xlfn.QUARTILE.INC(Hispida!H$2:H$1000,3)-_xlfn.QUARTILE.INC(Hispida!H$2:H$1000,1))) &amp; "–" &amp; _xlfn.MAXIFS(Hispida!H$2:H$1000, Hispida!H$2:H$1000, "&gt;=" &amp; _xlfn.QUARTILE.INC(Hispida!H$2:H$1000,1)-1.5*(_xlfn.QUARTILE.INC(Hispida!H$2:H$1000,3)-_xlfn.QUARTILE.INC(Hispida!H$2:H$1000,1)), Hispida!H$2:H$1000, "&lt;=" &amp; _xlfn.QUARTILE.INC(Hispida!H$2:H$1000,3)+1.5*(_xlfn.QUARTILE.INC(Hispida!H$2:H$1000,3)-_xlfn.QUARTILE.INC(Hispida!H$2:H$1000,1))) &amp; " (" &amp; IF(MAX(Hispida!H$2:H$1000)&gt;_xlfn.QUARTILE.INC(Hispida!H$2:H$1000,3)+1.5*(_xlfn.QUARTILE.INC(Hispida!H$2:H$1000,3)-_xlfn.QUARTILE.INC(Hispida!H$2:H$1000,1)),MAX(Hispida!H$2:H$1000),"") &amp; ") mm"</f>
        <v>() 2.002–10.963 () mm</v>
      </c>
      <c r="G73" s="9" t="str">
        <f>"(" &amp; IF(MIN(Hispida!I$2:I$1000)&lt;_xlfn.QUARTILE.INC(Hispida!I$2:I$1000,1)-1.5*(_xlfn.QUARTILE.INC(Hispida!I$2:I$1000,3)-_xlfn.QUARTILE.INC(Hispida!I$2:I$1000,1)),MIN(Hispida!I$2:I$1000),"") &amp; ") " &amp; _xlfn.MINIFS(Hispida!I$2:I$1000, Hispida!I$2:I$1000, "&gt;=" &amp; _xlfn.QUARTILE.INC(Hispida!I$2:I$1000,1)-1.5*(_xlfn.QUARTILE.INC(Hispida!I$2:I$1000,3)-_xlfn.QUARTILE.INC(Hispida!I$2:I$1000,1)), Hispida!I$2:I$1000, "&lt;=" &amp; _xlfn.QUARTILE.INC(Hispida!I$2:I$1000,3)+1.5*(_xlfn.QUARTILE.INC(Hispida!I$2:I$1000,3)-_xlfn.QUARTILE.INC(Hispida!I$2:I$1000,1))) &amp; "–" &amp; _xlfn.MAXIFS(Hispida!I$2:I$1000, Hispida!I$2:I$1000, "&gt;=" &amp; _xlfn.QUARTILE.INC(Hispida!I$2:I$1000,1)-1.5*(_xlfn.QUARTILE.INC(Hispida!I$2:I$1000,3)-_xlfn.QUARTILE.INC(Hispida!I$2:I$1000,1)), Hispida!I$2:I$1000, "&lt;=" &amp; _xlfn.QUARTILE.INC(Hispida!I$2:I$1000,3)+1.5*(_xlfn.QUARTILE.INC(Hispida!I$2:I$1000,3)-_xlfn.QUARTILE.INC(Hispida!I$2:I$1000,1))) &amp; " (" &amp; IF(MAX(Hispida!I$2:I$1000)&gt;_xlfn.QUARTILE.INC(Hispida!I$2:I$1000,3)+1.5*(_xlfn.QUARTILE.INC(Hispida!I$2:I$1000,3)-_xlfn.QUARTILE.INC(Hispida!I$2:I$1000,1)),MAX(Hispida!I$2:I$1000),"") &amp; ") mm"</f>
        <v>() 0.93–3.568 (5.41) mm</v>
      </c>
      <c r="H73" s="9" t="str">
        <f>"(" &amp; IF(MIN(Hispida!J$2:J$1000)&lt;_xlfn.QUARTILE.INC(Hispida!J$2:J$1000,1)-1.5*(_xlfn.QUARTILE.INC(Hispida!J$2:J$1000,3)-_xlfn.QUARTILE.INC(Hispida!J$2:J$1000,1)),MIN(Hispida!J$2:J$1000),"") &amp; ") " &amp; _xlfn.MINIFS(Hispida!J$2:J$1000, Hispida!J$2:J$1000, "&gt;=" &amp; _xlfn.QUARTILE.INC(Hispida!J$2:J$1000,1)-1.5*(_xlfn.QUARTILE.INC(Hispida!J$2:J$1000,3)-_xlfn.QUARTILE.INC(Hispida!J$2:J$1000,1)), Hispida!J$2:J$1000, "&lt;=" &amp; _xlfn.QUARTILE.INC(Hispida!J$2:J$1000,3)+1.5*(_xlfn.QUARTILE.INC(Hispida!J$2:J$1000,3)-_xlfn.QUARTILE.INC(Hispida!J$2:J$1000,1))) &amp; "–" &amp; _xlfn.MAXIFS(Hispida!J$2:J$1000, Hispida!J$2:J$1000, "&gt;=" &amp; _xlfn.QUARTILE.INC(Hispida!J$2:J$1000,1)-1.5*(_xlfn.QUARTILE.INC(Hispida!J$2:J$1000,3)-_xlfn.QUARTILE.INC(Hispida!J$2:J$1000,1)), Hispida!J$2:J$1000, "&lt;=" &amp; _xlfn.QUARTILE.INC(Hispida!J$2:J$1000,3)+1.5*(_xlfn.QUARTILE.INC(Hispida!J$2:J$1000,3)-_xlfn.QUARTILE.INC(Hispida!J$2:J$1000,1))) &amp; " (" &amp; IF(MAX(Hispida!J$2:J$1000)&gt;_xlfn.QUARTILE.INC(Hispida!J$2:J$1000,3)+1.5*(_xlfn.QUARTILE.INC(Hispida!J$2:J$1000,3)-_xlfn.QUARTILE.INC(Hispida!J$2:J$1000,1)),MAX(Hispida!J$2:J$1000),"") &amp; ") mm"</f>
        <v>(3.182) 3.875–6.041 (7.08) mm</v>
      </c>
      <c r="I73" s="9" t="str">
        <f>"(" &amp; IF(MIN(Hispida!K$2:K$1000)&lt;_xlfn.QUARTILE.INC(Hispida!K$2:K$1000,1)-1.5*(_xlfn.QUARTILE.INC(Hispida!K$2:K$1000,3)-_xlfn.QUARTILE.INC(Hispida!K$2:K$1000,1)),MIN(Hispida!K$2:K$1000),"") &amp; ") " &amp; _xlfn.MINIFS(Hispida!K$2:K$1000, Hispida!K$2:K$1000, "&gt;=" &amp; _xlfn.QUARTILE.INC(Hispida!K$2:K$1000,1)-1.5*(_xlfn.QUARTILE.INC(Hispida!K$2:K$1000,3)-_xlfn.QUARTILE.INC(Hispida!K$2:K$1000,1)), Hispida!K$2:K$1000, "&lt;=" &amp; _xlfn.QUARTILE.INC(Hispida!K$2:K$1000,3)+1.5*(_xlfn.QUARTILE.INC(Hispida!K$2:K$1000,3)-_xlfn.QUARTILE.INC(Hispida!K$2:K$1000,1))) &amp; "–" &amp; _xlfn.MAXIFS(Hispida!K$2:K$1000, Hispida!K$2:K$1000, "&gt;=" &amp; _xlfn.QUARTILE.INC(Hispida!K$2:K$1000,1)-1.5*(_xlfn.QUARTILE.INC(Hispida!K$2:K$1000,3)-_xlfn.QUARTILE.INC(Hispida!K$2:K$1000,1)), Hispida!K$2:K$1000, "&lt;=" &amp; _xlfn.QUARTILE.INC(Hispida!K$2:K$1000,3)+1.5*(_xlfn.QUARTILE.INC(Hispida!K$2:K$1000,3)-_xlfn.QUARTILE.INC(Hispida!K$2:K$1000,1))) &amp; " (" &amp; IF(MAX(Hispida!K$2:K$1000)&gt;_xlfn.QUARTILE.INC(Hispida!K$2:K$1000,3)+1.5*(_xlfn.QUARTILE.INC(Hispida!K$2:K$1000,3)-_xlfn.QUARTILE.INC(Hispida!K$2:K$1000,1)),MAX(Hispida!K$2:K$1000),"") &amp; ") mm"</f>
        <v>() 0.792–2.593 (2.846) mm</v>
      </c>
      <c r="J73" s="9" t="str">
        <f>"(" &amp; IF(MIN(Hispida!L$2:L$1000)&lt;_xlfn.QUARTILE.INC(Hispida!L$2:L$1000,1)-1.5*(_xlfn.QUARTILE.INC(Hispida!L$2:L$1000,3)-_xlfn.QUARTILE.INC(Hispida!L$2:L$1000,1)),MIN(Hispida!L$2:L$1000),"") &amp; ") " &amp; _xlfn.MINIFS(Hispida!L$2:L$1000, Hispida!L$2:L$1000, "&gt;=" &amp; _xlfn.QUARTILE.INC(Hispida!L$2:L$1000,1)-1.5*(_xlfn.QUARTILE.INC(Hispida!L$2:L$1000,3)-_xlfn.QUARTILE.INC(Hispida!L$2:L$1000,1)), Hispida!L$2:L$1000, "&lt;=" &amp; _xlfn.QUARTILE.INC(Hispida!L$2:L$1000,3)+1.5*(_xlfn.QUARTILE.INC(Hispida!L$2:L$1000,3)-_xlfn.QUARTILE.INC(Hispida!L$2:L$1000,1))) &amp; "–" &amp; _xlfn.MAXIFS(Hispida!L$2:L$1000, Hispida!L$2:L$1000, "&gt;=" &amp; _xlfn.QUARTILE.INC(Hispida!L$2:L$1000,1)-1.5*(_xlfn.QUARTILE.INC(Hispida!L$2:L$1000,3)-_xlfn.QUARTILE.INC(Hispida!L$2:L$1000,1)), Hispida!L$2:L$1000, "&lt;=" &amp; _xlfn.QUARTILE.INC(Hispida!L$2:L$1000,3)+1.5*(_xlfn.QUARTILE.INC(Hispida!L$2:L$1000,3)-_xlfn.QUARTILE.INC(Hispida!L$2:L$1000,1))) &amp; " (" &amp; IF(MAX(Hispida!L$2:L$1000)&gt;_xlfn.QUARTILE.INC(Hispida!L$2:L$1000,3)+1.5*(_xlfn.QUARTILE.INC(Hispida!L$2:L$1000,3)-_xlfn.QUARTILE.INC(Hispida!L$2:L$1000,1)),MAX(Hispida!L$2:L$1000),"") &amp; ") mm"</f>
        <v>(0.364) 0.71–1.547 (2.346) mm</v>
      </c>
      <c r="K73" s="9" t="str">
        <f>"(" &amp; IF(MIN(Hispida!M$2:M$1000)&lt;_xlfn.QUARTILE.INC(Hispida!M$2:M$1000,1)-1.5*(_xlfn.QUARTILE.INC(Hispida!M$2:M$1000,3)-_xlfn.QUARTILE.INC(Hispida!M$2:M$1000,1)),MIN(Hispida!M$2:M$1000),"") &amp; ") " &amp; _xlfn.MINIFS(Hispida!M$2:M$1000, Hispida!M$2:M$1000, "&gt;=" &amp; _xlfn.QUARTILE.INC(Hispida!M$2:M$1000,1)-1.5*(_xlfn.QUARTILE.INC(Hispida!M$2:M$1000,3)-_xlfn.QUARTILE.INC(Hispida!M$2:M$1000,1)), Hispida!M$2:M$1000, "&lt;=" &amp; _xlfn.QUARTILE.INC(Hispida!M$2:M$1000,3)+1.5*(_xlfn.QUARTILE.INC(Hispida!M$2:M$1000,3)-_xlfn.QUARTILE.INC(Hispida!M$2:M$1000,1))) &amp; "–" &amp; _xlfn.MAXIFS(Hispida!M$2:M$1000, Hispida!M$2:M$1000, "&gt;=" &amp; _xlfn.QUARTILE.INC(Hispida!M$2:M$1000,1)-1.5*(_xlfn.QUARTILE.INC(Hispida!M$2:M$1000,3)-_xlfn.QUARTILE.INC(Hispida!M$2:M$1000,1)), Hispida!M$2:M$1000, "&lt;=" &amp; _xlfn.QUARTILE.INC(Hispida!M$2:M$1000,3)+1.5*(_xlfn.QUARTILE.INC(Hispida!M$2:M$1000,3)-_xlfn.QUARTILE.INC(Hispida!M$2:M$1000,1))) &amp; " (" &amp; IF(MAX(Hispida!M$2:M$1000)&gt;_xlfn.QUARTILE.INC(Hispida!M$2:M$1000,3)+1.5*(_xlfn.QUARTILE.INC(Hispida!M$2:M$1000,3)-_xlfn.QUARTILE.INC(Hispida!M$2:M$1000,1)),MAX(Hispida!M$2:M$1000),"") &amp; ") mm"</f>
        <v>() 2.091–3.511 (4.262) mm</v>
      </c>
      <c r="L73" s="9" t="str">
        <f>"(" &amp; IF(MIN(Hispida!N$2:N$1000)&lt;_xlfn.QUARTILE.INC(Hispida!N$2:N$1000,1)-1.5*(_xlfn.QUARTILE.INC(Hispida!N$2:N$1000,3)-_xlfn.QUARTILE.INC(Hispida!N$2:N$1000,1)),MIN(Hispida!N$2:N$1000),"") &amp; ") " &amp; _xlfn.MINIFS(Hispida!N$2:N$1000, Hispida!N$2:N$1000, "&gt;=" &amp; _xlfn.QUARTILE.INC(Hispida!N$2:N$1000,1)-1.5*(_xlfn.QUARTILE.INC(Hispida!N$2:N$1000,3)-_xlfn.QUARTILE.INC(Hispida!N$2:N$1000,1)), Hispida!N$2:N$1000, "&lt;=" &amp; _xlfn.QUARTILE.INC(Hispida!N$2:N$1000,3)+1.5*(_xlfn.QUARTILE.INC(Hispida!N$2:N$1000,3)-_xlfn.QUARTILE.INC(Hispida!N$2:N$1000,1))) &amp; "–" &amp; _xlfn.MAXIFS(Hispida!N$2:N$1000, Hispida!N$2:N$1000, "&gt;=" &amp; _xlfn.QUARTILE.INC(Hispida!N$2:N$1000,1)-1.5*(_xlfn.QUARTILE.INC(Hispida!N$2:N$1000,3)-_xlfn.QUARTILE.INC(Hispida!N$2:N$1000,1)), Hispida!N$2:N$1000, "&lt;=" &amp; _xlfn.QUARTILE.INC(Hispida!N$2:N$1000,3)+1.5*(_xlfn.QUARTILE.INC(Hispida!N$2:N$1000,3)-_xlfn.QUARTILE.INC(Hispida!N$2:N$1000,1))) &amp; " (" &amp; IF(MAX(Hispida!N$2:N$1000)&gt;_xlfn.QUARTILE.INC(Hispida!N$2:N$1000,3)+1.5*(_xlfn.QUARTILE.INC(Hispida!N$2:N$1000,3)-_xlfn.QUARTILE.INC(Hispida!N$2:N$1000,1)),MAX(Hispida!N$2:N$1000),"") &amp; ") mm"</f>
        <v>() 1.939–5.275 () mm</v>
      </c>
      <c r="M73" s="9" t="str">
        <f>"(" &amp; IF(MIN(Hispida!O$2:O$1000)&lt;_xlfn.QUARTILE.INC(Hispida!O$2:O$1000,1)-1.5*(_xlfn.QUARTILE.INC(Hispida!O$2:O$1000,3)-_xlfn.QUARTILE.INC(Hispida!O$2:O$1000,1)),MIN(Hispida!O$2:O$1000),"") &amp; ") " &amp; _xlfn.MINIFS(Hispida!O$2:O$1000, Hispida!O$2:O$1000, "&gt;=" &amp; _xlfn.QUARTILE.INC(Hispida!O$2:O$1000,1)-1.5*(_xlfn.QUARTILE.INC(Hispida!O$2:O$1000,3)-_xlfn.QUARTILE.INC(Hispida!O$2:O$1000,1)), Hispida!O$2:O$1000, "&lt;=" &amp; _xlfn.QUARTILE.INC(Hispida!O$2:O$1000,3)+1.5*(_xlfn.QUARTILE.INC(Hispida!O$2:O$1000,3)-_xlfn.QUARTILE.INC(Hispida!O$2:O$1000,1))) &amp; "–" &amp; _xlfn.MAXIFS(Hispida!O$2:O$1000, Hispida!O$2:O$1000, "&gt;=" &amp; _xlfn.QUARTILE.INC(Hispida!O$2:O$1000,1)-1.5*(_xlfn.QUARTILE.INC(Hispida!O$2:O$1000,3)-_xlfn.QUARTILE.INC(Hispida!O$2:O$1000,1)), Hispida!O$2:O$1000, "&lt;=" &amp; _xlfn.QUARTILE.INC(Hispida!O$2:O$1000,3)+1.5*(_xlfn.QUARTILE.INC(Hispida!O$2:O$1000,3)-_xlfn.QUARTILE.INC(Hispida!O$2:O$1000,1))) &amp; " (" &amp; IF(MAX(Hispida!O$2:O$1000)&gt;_xlfn.QUARTILE.INC(Hispida!O$2:O$1000,3)+1.5*(_xlfn.QUARTILE.INC(Hispida!O$2:O$1000,3)-_xlfn.QUARTILE.INC(Hispida!O$2:O$1000,1)),MAX(Hispida!O$2:O$1000),"") &amp; ") mm"</f>
        <v>() 1.601–5.368 () mm</v>
      </c>
      <c r="N73" s="9" t="str">
        <f>"(" &amp; IF(MIN(Hispida!P$2:P$1000)&lt;_xlfn.QUARTILE.INC(Hispida!P$2:P$1000,1)-1.5*(_xlfn.QUARTILE.INC(Hispida!P$2:P$1000,3)-_xlfn.QUARTILE.INC(Hispida!P$2:P$1000,1)),MIN(Hispida!P$2:P$1000),"") &amp; ") " &amp; _xlfn.MINIFS(Hispida!P$2:P$1000, Hispida!P$2:P$1000, "&gt;=" &amp; _xlfn.QUARTILE.INC(Hispida!P$2:P$1000,1)-1.5*(_xlfn.QUARTILE.INC(Hispida!P$2:P$1000,3)-_xlfn.QUARTILE.INC(Hispida!P$2:P$1000,1)), Hispida!P$2:P$1000, "&lt;=" &amp; _xlfn.QUARTILE.INC(Hispida!P$2:P$1000,3)+1.5*(_xlfn.QUARTILE.INC(Hispida!P$2:P$1000,3)-_xlfn.QUARTILE.INC(Hispida!P$2:P$1000,1))) &amp; "–" &amp; _xlfn.MAXIFS(Hispida!P$2:P$1000, Hispida!P$2:P$1000, "&gt;=" &amp; _xlfn.QUARTILE.INC(Hispida!P$2:P$1000,1)-1.5*(_xlfn.QUARTILE.INC(Hispida!P$2:P$1000,3)-_xlfn.QUARTILE.INC(Hispida!P$2:P$1000,1)), Hispida!P$2:P$1000, "&lt;=" &amp; _xlfn.QUARTILE.INC(Hispida!P$2:P$1000,3)+1.5*(_xlfn.QUARTILE.INC(Hispida!P$2:P$1000,3)-_xlfn.QUARTILE.INC(Hispida!P$2:P$1000,1))) &amp; " (" &amp; IF(MAX(Hispida!P$2:P$1000)&gt;_xlfn.QUARTILE.INC(Hispida!P$2:P$1000,3)+1.5*(_xlfn.QUARTILE.INC(Hispida!P$2:P$1000,3)-_xlfn.QUARTILE.INC(Hispida!P$2:P$1000,1)),MAX(Hispida!P$2:P$1000),"") &amp; ") mm"</f>
        <v>() 1.193–5.5 () mm</v>
      </c>
      <c r="O73" s="9" t="str">
        <f>"(" &amp; IF(MIN(Hispida!Q$2:Q$1000)&lt;_xlfn.QUARTILE.INC(Hispida!Q$2:Q$1000,1)-1.5*(_xlfn.QUARTILE.INC(Hispida!Q$2:Q$1000,3)-_xlfn.QUARTILE.INC(Hispida!Q$2:Q$1000,1)),MIN(Hispida!Q$2:Q$1000),"") &amp; ") " &amp; _xlfn.MINIFS(Hispida!Q$2:Q$1000, Hispida!Q$2:Q$1000, "&gt;=" &amp; _xlfn.QUARTILE.INC(Hispida!Q$2:Q$1000,1)-1.5*(_xlfn.QUARTILE.INC(Hispida!Q$2:Q$1000,3)-_xlfn.QUARTILE.INC(Hispida!Q$2:Q$1000,1)), Hispida!Q$2:Q$1000, "&lt;=" &amp; _xlfn.QUARTILE.INC(Hispida!Q$2:Q$1000,3)+1.5*(_xlfn.QUARTILE.INC(Hispida!Q$2:Q$1000,3)-_xlfn.QUARTILE.INC(Hispida!Q$2:Q$1000,1))) &amp; "–" &amp; _xlfn.MAXIFS(Hispida!Q$2:Q$1000, Hispida!Q$2:Q$1000, "&gt;=" &amp; _xlfn.QUARTILE.INC(Hispida!Q$2:Q$1000,1)-1.5*(_xlfn.QUARTILE.INC(Hispida!Q$2:Q$1000,3)-_xlfn.QUARTILE.INC(Hispida!Q$2:Q$1000,1)), Hispida!Q$2:Q$1000, "&lt;=" &amp; _xlfn.QUARTILE.INC(Hispida!Q$2:Q$1000,3)+1.5*(_xlfn.QUARTILE.INC(Hispida!Q$2:Q$1000,3)-_xlfn.QUARTILE.INC(Hispida!Q$2:Q$1000,1))) &amp; " (" &amp; IF(MAX(Hispida!Q$2:Q$1000)&gt;_xlfn.QUARTILE.INC(Hispida!Q$2:Q$1000,3)+1.5*(_xlfn.QUARTILE.INC(Hispida!Q$2:Q$1000,3)-_xlfn.QUARTILE.INC(Hispida!Q$2:Q$1000,1)),MAX(Hispida!Q$2:Q$1000),"") &amp; ") mm"</f>
        <v>() 5.314–36.57 () mm</v>
      </c>
      <c r="P73" s="9" t="str">
        <f>"(" &amp; IF(MIN(Hispida!R$2:R$1000)&lt;_xlfn.QUARTILE.INC(Hispida!R$2:R$1000,1)-1.5*(_xlfn.QUARTILE.INC(Hispida!R$2:R$1000,3)-_xlfn.QUARTILE.INC(Hispida!R$2:R$1000,1)),MIN(Hispida!R$2:R$1000),"") &amp; ") " &amp; _xlfn.MINIFS(Hispida!R$2:R$1000, Hispida!R$2:R$1000, "&gt;=" &amp; _xlfn.QUARTILE.INC(Hispida!R$2:R$1000,1)-1.5*(_xlfn.QUARTILE.INC(Hispida!R$2:R$1000,3)-_xlfn.QUARTILE.INC(Hispida!R$2:R$1000,1)), Hispida!R$2:R$1000, "&lt;=" &amp; _xlfn.QUARTILE.INC(Hispida!R$2:R$1000,3)+1.5*(_xlfn.QUARTILE.INC(Hispida!R$2:R$1000,3)-_xlfn.QUARTILE.INC(Hispida!R$2:R$1000,1))) &amp; "–" &amp; _xlfn.MAXIFS(Hispida!R$2:R$1000, Hispida!R$2:R$1000, "&gt;=" &amp; _xlfn.QUARTILE.INC(Hispida!R$2:R$1000,1)-1.5*(_xlfn.QUARTILE.INC(Hispida!R$2:R$1000,3)-_xlfn.QUARTILE.INC(Hispida!R$2:R$1000,1)), Hispida!R$2:R$1000, "&lt;=" &amp; _xlfn.QUARTILE.INC(Hispida!R$2:R$1000,3)+1.5*(_xlfn.QUARTILE.INC(Hispida!R$2:R$1000,3)-_xlfn.QUARTILE.INC(Hispida!R$2:R$1000,1))) &amp; " (" &amp; IF(MAX(Hispida!R$2:R$1000)&gt;_xlfn.QUARTILE.INC(Hispida!R$2:R$1000,3)+1.5*(_xlfn.QUARTILE.INC(Hispida!R$2:R$1000,3)-_xlfn.QUARTILE.INC(Hispida!R$2:R$1000,1)),MAX(Hispida!R$2:R$1000),"") &amp; ") mm"</f>
        <v>(403.991) 466.159–976.656 () mm</v>
      </c>
    </row>
    <row r="83" spans="9:9" x14ac:dyDescent="0.2">
      <c r="I83" t="s">
        <v>227</v>
      </c>
    </row>
    <row r="84" spans="9:9" x14ac:dyDescent="0.2">
      <c r="I84" t="str">
        <f>"(" &amp; IF(MIN(Americana!E$2:E$1000)&lt;_xlfn.QUARTILE.INC(Americana!E$2:E$1000,1)-1.5*(_xlfn.QUARTILE.INC(Americana!E$2:E$1000,3)-_xlfn.QUARTILE.INC(Americana!E$2:E$1000,1)),MIN(Americana!E$2:E$1000),"") &amp; ") " &amp; _xlfn.MINIFS(Americana!E$2:E$1000,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"–" &amp; _xlfn.MAXIFS(Americana!E$2:E$1000, Americana!E$2:E$1000, "&gt;=" &amp; _xlfn.QUARTILE.INC(Americana!E$2:E$1000,1)-1.5*(_xlfn.QUARTILE.INC(Americana!E$2:E$1000,3)-_xlfn.QUARTILE.INC(Americana!E$2:E$1000,1)), Americana!E$2:E$1000, "&lt;=" &amp; _xlfn.QUARTILE.INC(Americana!E$2:E$1000,3)+1.5*(_xlfn.QUARTILE.INC(Americana!E$2:E$1000,3)-_xlfn.QUARTILE.INC(Americana!E$2:E$1000,1))) &amp; " (" &amp; IF(MAX(Americana!E$2:E$1000)&gt;_xlfn.QUARTILE.INC(Americana!E$2:E$1000,3)+1.5*(_xlfn.QUARTILE.INC(Americana!E$2:E$1000,3)-_xlfn.QUARTILE.INC(Americana!E$2:E$1000,1)),MAX(Americana!E$2:E$1000),"") &amp; ") mm"</f>
        <v>() 0–0 (2.874) mm</v>
      </c>
    </row>
    <row r="86" spans="9:9" x14ac:dyDescent="0.2">
      <c r="I86" t="s">
        <v>228</v>
      </c>
    </row>
    <row r="87" spans="9:9" x14ac:dyDescent="0.2">
      <c r="I87" t="str">
        <f>"(" &amp; IF(MIN(Calycosa!E$2:E$1000)&lt;_xlfn.QUARTILE.INC(Calycosa!E$2:E$1000,1)-1.5*(_xlfn.QUARTILE.INC(Calycosa!E$2:E$1000,3)-_xlfn.QUARTILE.INC(Calycosa!E$2:E$1000,1)),MIN(Calycosa!E$2:E$1000),"") &amp; ") " &amp; _xlfn.MINIFS(Calycosa!E$2:E$1000,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"–" &amp; _xlfn.MAXIFS(Calycosa!E$2:E$1000, Calycosa!E$2:E$1000, "&gt;=" &amp; _xlfn.QUARTILE.INC(Calycosa!E$2:E$1000,1)-1.5*(_xlfn.QUARTILE.INC(Calycosa!E$2:E$1000,3)-_xlfn.QUARTILE.INC(Calycosa!E$2:E$1000,1)), Calycosa!E$2:E$1000, "&lt;=" &amp; _xlfn.QUARTILE.INC(Calycosa!E$2:E$1000,3)+1.5*(_xlfn.QUARTILE.INC(Calycosa!E$2:E$1000,3)-_xlfn.QUARTILE.INC(Calycosa!E$2:E$1000,1))) &amp; " (" &amp; IF(MAX(Calycosa!E$2:E$1000)&gt;_xlfn.QUARTILE.INC(Calycosa!E$2:E$1000,3)+1.5*(_xlfn.QUARTILE.INC(Calycosa!E$2:E$1000,3)-_xlfn.QUARTILE.INC(Calycosa!E$2:E$1000,1)),MAX(Calycosa!E$2:E$1000),"") &amp; ") mm"</f>
        <v>() 0–0 (0.871) mm</v>
      </c>
    </row>
    <row r="89" spans="9:9" x14ac:dyDescent="0.2">
      <c r="I89" t="s">
        <v>229</v>
      </c>
    </row>
    <row r="90" spans="9:9" x14ac:dyDescent="0.2">
      <c r="I90" t="str">
        <f>"(" &amp; IF(MIN(Fumosimontana!E$2:E$1000)&lt;_xlfn.QUARTILE.INC(Fumosimontana!E$2:E$1000,1)-1.5*(_xlfn.QUARTILE.INC(Fumosimontana!E$2:E$1000,3)-_xlfn.QUARTILE.INC(Fumosimontana!E$2:E$1000,1)),MIN(Fumosimontana!E$2:E$1000),"") &amp; ") " &amp; _xlfn.MINIFS(Fumosimontana!E$2:E$1000,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"–" &amp; _xlfn.MAXIFS(Fumosimontana!E$2:E$1000, Fumosimontana!E$2:E$1000, "&gt;=" &amp; _xlfn.QUARTILE.INC(Fumosimontana!E$2:E$1000,1)-1.5*(_xlfn.QUARTILE.INC(Fumosimontana!E$2:E$1000,3)-_xlfn.QUARTILE.INC(Fumosimontana!E$2:E$1000,1)), Fumosimontana!E$2:E$1000, "&lt;=" &amp; _xlfn.QUARTILE.INC(Fumosimontana!E$2:E$1000,3)+1.5*(_xlfn.QUARTILE.INC(Fumosimontana!E$2:E$1000,3)-_xlfn.QUARTILE.INC(Fumosimontana!E$2:E$1000,1))) &amp; " (" &amp; IF(MAX(Fumosimontana!E$2:E$1000)&gt;_xlfn.QUARTILE.INC(Fumosimontana!E$2:E$1000,3)+1.5*(_xlfn.QUARTILE.INC(Fumosimontana!E$2:E$1000,3)-_xlfn.QUARTILE.INC(Fumosimontana!E$2:E$1000,1)),MAX(Fumosimontana!E$2:E$1000),"") &amp; ") mm"</f>
        <v>() 0.98–2.76 () mm</v>
      </c>
    </row>
    <row r="92" spans="9:9" x14ac:dyDescent="0.2">
      <c r="I92" t="s">
        <v>230</v>
      </c>
    </row>
    <row r="93" spans="9:9" x14ac:dyDescent="0.2">
      <c r="I93" t="str">
        <f>"(" &amp; IF(MIN(Grayana!E$2:E$1000)&lt;_xlfn.QUARTILE.INC(Grayana!E$2:E$1000,1)-1.5*(_xlfn.QUARTILE.INC(Grayana!E$2:E$1000,3)-_xlfn.QUARTILE.INC(Grayana!E$2:E$1000,1)),MIN(Grayana!E$2:E$1000),"") &amp; ") " &amp; _xlfn.MINIFS(Grayana!E$2:E$1000,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"–" &amp; _xlfn.MAXIFS(Grayana!E$2:E$1000, Grayana!E$2:E$1000, "&gt;=" &amp; _xlfn.QUARTILE.INC(Grayana!E$2:E$1000,1)-1.5*(_xlfn.QUARTILE.INC(Grayana!E$2:E$1000,3)-_xlfn.QUARTILE.INC(Grayana!E$2:E$1000,1)), Grayana!E$2:E$1000, "&lt;=" &amp; _xlfn.QUARTILE.INC(Grayana!E$2:E$1000,3)+1.5*(_xlfn.QUARTILE.INC(Grayana!E$2:E$1000,3)-_xlfn.QUARTILE.INC(Grayana!E$2:E$1000,1))) &amp; " (" &amp; IF(MAX(Grayana!E$2:E$1000)&gt;_xlfn.QUARTILE.INC(Grayana!E$2:E$1000,3)+1.5*(_xlfn.QUARTILE.INC(Grayana!E$2:E$1000,3)-_xlfn.QUARTILE.INC(Grayana!E$2:E$1000,1)),MAX(Grayana!E$2:E$1000),"") &amp; ") mm"</f>
        <v>() 0.804–2.26 (2.361) mm</v>
      </c>
    </row>
    <row r="95" spans="9:9" x14ac:dyDescent="0.2">
      <c r="I95" t="s">
        <v>231</v>
      </c>
    </row>
    <row r="96" spans="9:9" x14ac:dyDescent="0.2">
      <c r="I96" t="str">
        <f>"(" &amp; IF(MIN(Richardsonii!E$2:E$1000)&lt;_xlfn.QUARTILE.INC(Richardsonii!E$2:E$1000,1)-1.5*(_xlfn.QUARTILE.INC(Richardsonii!E$2:E$1000,3)-_xlfn.QUARTILE.INC(Richardsonii!E$2:E$1000,1)),MIN(Richardsonii!E$2:E$1000),"") &amp; ") " &amp; _xlfn.MINIFS(Richardsonii!E$2:E$1000,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"–" &amp; _xlfn.MAXIFS(Richardsonii!E$2:E$1000, Richardsonii!E$2:E$1000, "&gt;=" &amp; _xlfn.QUARTILE.INC(Richardsonii!E$2:E$1000,1)-1.5*(_xlfn.QUARTILE.INC(Richardsonii!E$2:E$1000,3)-_xlfn.QUARTILE.INC(Richardsonii!E$2:E$1000,1)), Richardsonii!E$2:E$1000, "&lt;=" &amp; _xlfn.QUARTILE.INC(Richardsonii!E$2:E$1000,3)+1.5*(_xlfn.QUARTILE.INC(Richardsonii!E$2:E$1000,3)-_xlfn.QUARTILE.INC(Richardsonii!E$2:E$1000,1))) &amp; " (" &amp; IF(MAX(Richardsonii!E$2:E$1000)&gt;_xlfn.QUARTILE.INC(Richardsonii!E$2:E$1000,3)+1.5*(_xlfn.QUARTILE.INC(Richardsonii!E$2:E$1000,3)-_xlfn.QUARTILE.INC(Richardsonii!E$2:E$1000,1)),MAX(Richardsonii!E$2:E$1000),"") &amp; ") mm"</f>
        <v>(0) 0.707–1.79 (2.57) mm</v>
      </c>
    </row>
    <row r="98" spans="9:9" x14ac:dyDescent="0.2">
      <c r="I98" t="s">
        <v>232</v>
      </c>
    </row>
    <row r="99" spans="9:9" x14ac:dyDescent="0.2">
      <c r="I99" t="str">
        <f>"(" &amp; IF(MIN(Hirsuticaulis!E$2:E$1000)&lt;_xlfn.QUARTILE.INC(Hirsuticaulis!E$2:E$1000,1)-1.5*(_xlfn.QUARTILE.INC(Hirsuticaulis!E$2:E$1000,3)-_xlfn.QUARTILE.INC(Hirsuticaulis!E$2:E$1000,1)),MIN(Hirsuticaulis!E$2:E$1000),"") &amp; ") " &amp; _xlfn.MINIFS(Hirsuticaulis!E$2:E$1000,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"–" &amp; _xlfn.MAXIFS(Hirsuticaulis!E$2:E$1000, Hirsuticaulis!E$2:E$1000, "&gt;=" &amp; _xlfn.QUARTILE.INC(Hirsuticaulis!E$2:E$1000,1)-1.5*(_xlfn.QUARTILE.INC(Hirsuticaulis!E$2:E$1000,3)-_xlfn.QUARTILE.INC(Hirsuticaulis!E$2:E$1000,1)), Hirsuticaulis!E$2:E$1000, "&lt;=" &amp; _xlfn.QUARTILE.INC(Hirsuticaulis!E$2:E$1000,3)+1.5*(_xlfn.QUARTILE.INC(Hirsuticaulis!E$2:E$1000,3)-_xlfn.QUARTILE.INC(Hirsuticaulis!E$2:E$1000,1))) &amp; " (" &amp; IF(MAX(Hirsuticaulis!E$2:E$1000)&gt;_xlfn.QUARTILE.INC(Hirsuticaulis!E$2:E$1000,3)+1.5*(_xlfn.QUARTILE.INC(Hirsuticaulis!E$2:E$1000,3)-_xlfn.QUARTILE.INC(Hirsuticaulis!E$2:E$1000,1)),MAX(Hirsuticaulis!E$2:E$1000),"") &amp; ") mm"</f>
        <v>() 0.609–2.76 (3.542) mm</v>
      </c>
    </row>
    <row r="101" spans="9:9" x14ac:dyDescent="0.2">
      <c r="I101" t="s">
        <v>233</v>
      </c>
    </row>
    <row r="102" spans="9:9" x14ac:dyDescent="0.2">
      <c r="I102" t="str">
        <f>"(" &amp; IF(MIN(Hispida!E$2:E$1000)&lt;_xlfn.QUARTILE.INC(Hispida!E$2:E$1000,1)-1.5*(_xlfn.QUARTILE.INC(Hispida!E$2:E$1000,3)-_xlfn.QUARTILE.INC(Hispida!E$2:E$1000,1)),MIN(Hispida!E$2:E$1000),"") &amp; ") " &amp; _xlfn.MINIFS(Hispida!E$2:E$1000,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"–" &amp; _xlfn.MAXIFS(Hispida!E$2:E$1000, Hispida!E$2:E$1000, "&gt;=" &amp; _xlfn.QUARTILE.INC(Hispida!E$2:E$1000,1)-1.5*(_xlfn.QUARTILE.INC(Hispida!E$2:E$1000,3)-_xlfn.QUARTILE.INC(Hispida!E$2:E$1000,1)), Hispida!E$2:E$1000, "&lt;=" &amp; _xlfn.QUARTILE.INC(Hispida!E$2:E$1000,3)+1.5*(_xlfn.QUARTILE.INC(Hispida!E$2:E$1000,3)-_xlfn.QUARTILE.INC(Hispida!E$2:E$1000,1))) &amp; " (" &amp; IF(MAX(Hispida!E$2:E$1000)&gt;_xlfn.QUARTILE.INC(Hispida!E$2:E$1000,3)+1.5*(_xlfn.QUARTILE.INC(Hispida!E$2:E$1000,3)-_xlfn.QUARTILE.INC(Hispida!E$2:E$1000,1)),MAX(Hispida!E$2:E$1000),"") &amp; ") mm"</f>
        <v>() 0–0 () mm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CD88-8710-2346-9FD8-3D8783000EAD}">
  <dimension ref="A1:R452"/>
  <sheetViews>
    <sheetView topLeftCell="K4"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0</v>
      </c>
      <c r="H2">
        <v>5.6689999999999996</v>
      </c>
      <c r="I2">
        <v>2.3980000000000001</v>
      </c>
      <c r="J2">
        <v>3.181</v>
      </c>
      <c r="K2">
        <v>1.9990000000000001</v>
      </c>
      <c r="L2">
        <v>1.7270000000000001</v>
      </c>
      <c r="M2">
        <v>2.0550000000000002</v>
      </c>
      <c r="N2">
        <v>3.2719999999999998</v>
      </c>
      <c r="O2">
        <v>4.22</v>
      </c>
      <c r="P2">
        <v>5.5529999999999999</v>
      </c>
      <c r="Q2">
        <v>13.609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>
        <v>0</v>
      </c>
      <c r="F3">
        <v>0</v>
      </c>
      <c r="G3">
        <v>0</v>
      </c>
      <c r="H3">
        <v>4.2220000000000004</v>
      </c>
      <c r="I3">
        <v>2.4929999999999999</v>
      </c>
      <c r="J3">
        <v>3.004</v>
      </c>
      <c r="K3">
        <v>1.611</v>
      </c>
      <c r="L3">
        <v>1.4370000000000001</v>
      </c>
      <c r="M3">
        <v>2.2869999999999999</v>
      </c>
      <c r="N3">
        <v>3.395</v>
      </c>
      <c r="O3">
        <v>2.99</v>
      </c>
      <c r="P3">
        <v>4.4530000000000003</v>
      </c>
      <c r="Q3">
        <v>14.9</v>
      </c>
    </row>
    <row r="4" spans="1:18" x14ac:dyDescent="0.2">
      <c r="A4" t="s">
        <v>18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0</v>
      </c>
      <c r="H4">
        <v>4.5629999999999997</v>
      </c>
      <c r="I4">
        <v>2.2799999999999998</v>
      </c>
      <c r="J4">
        <v>3.153</v>
      </c>
      <c r="K4">
        <v>1.4419999999999999</v>
      </c>
      <c r="L4">
        <v>1.0960000000000001</v>
      </c>
      <c r="M4">
        <v>2.0790000000000002</v>
      </c>
      <c r="N4">
        <v>2.6819999999999999</v>
      </c>
      <c r="O4">
        <v>2.972</v>
      </c>
      <c r="P4">
        <v>3.1520000000000001</v>
      </c>
      <c r="Q4">
        <v>13.273</v>
      </c>
      <c r="R4">
        <v>527.68299999999999</v>
      </c>
    </row>
    <row r="5" spans="1:18" x14ac:dyDescent="0.2">
      <c r="A5" t="s">
        <v>18</v>
      </c>
      <c r="B5" t="s">
        <v>22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6.516</v>
      </c>
      <c r="I5">
        <v>2.1389999999999998</v>
      </c>
      <c r="J5">
        <v>3.5910000000000002</v>
      </c>
      <c r="K5">
        <v>1.3720000000000001</v>
      </c>
      <c r="L5">
        <v>1.365</v>
      </c>
      <c r="M5">
        <v>2.008</v>
      </c>
      <c r="N5">
        <v>2.7909999999999999</v>
      </c>
      <c r="O5">
        <v>3.9089999999999998</v>
      </c>
      <c r="P5">
        <v>5.1870000000000003</v>
      </c>
      <c r="Q5">
        <v>28.128</v>
      </c>
      <c r="R5">
        <v>673.49599999999998</v>
      </c>
    </row>
    <row r="6" spans="1:18" x14ac:dyDescent="0.2">
      <c r="A6" t="s">
        <v>18</v>
      </c>
      <c r="B6" t="s">
        <v>22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5.8979999999999997</v>
      </c>
      <c r="I6">
        <v>2.2250000000000001</v>
      </c>
      <c r="J6">
        <v>3.6749999999999998</v>
      </c>
      <c r="K6">
        <v>1.58</v>
      </c>
      <c r="L6">
        <v>1.256</v>
      </c>
      <c r="M6">
        <v>1.8460000000000001</v>
      </c>
      <c r="N6">
        <v>3.2450000000000001</v>
      </c>
      <c r="O6">
        <v>3.1720000000000002</v>
      </c>
      <c r="P6">
        <v>6.1539999999999999</v>
      </c>
      <c r="Q6">
        <v>23.972000000000001</v>
      </c>
      <c r="R6">
        <v>748.44799999999998</v>
      </c>
    </row>
    <row r="7" spans="1:18" x14ac:dyDescent="0.2">
      <c r="A7" t="s">
        <v>18</v>
      </c>
      <c r="B7" t="s">
        <v>22</v>
      </c>
      <c r="C7" t="s">
        <v>20</v>
      </c>
      <c r="E7">
        <v>0</v>
      </c>
      <c r="F7">
        <v>0</v>
      </c>
      <c r="G7">
        <v>0</v>
      </c>
      <c r="H7">
        <v>6.681</v>
      </c>
      <c r="I7">
        <v>1.992</v>
      </c>
      <c r="J7">
        <v>3.532</v>
      </c>
      <c r="K7">
        <v>1.4430000000000001</v>
      </c>
      <c r="L7">
        <v>1.409</v>
      </c>
      <c r="M7">
        <v>2.1150000000000002</v>
      </c>
      <c r="N7">
        <v>3.6080000000000001</v>
      </c>
      <c r="O7">
        <v>4.0439999999999996</v>
      </c>
      <c r="P7">
        <v>8.3230000000000004</v>
      </c>
      <c r="Q7">
        <v>37.631</v>
      </c>
    </row>
    <row r="8" spans="1:18" x14ac:dyDescent="0.2">
      <c r="A8" t="s">
        <v>18</v>
      </c>
      <c r="B8" t="s">
        <v>23</v>
      </c>
      <c r="C8" t="s">
        <v>20</v>
      </c>
      <c r="D8" t="s">
        <v>21</v>
      </c>
      <c r="E8">
        <v>0</v>
      </c>
      <c r="F8">
        <v>0</v>
      </c>
      <c r="G8">
        <v>0</v>
      </c>
      <c r="H8">
        <v>5.9059999999999997</v>
      </c>
      <c r="I8">
        <v>3.0030000000000001</v>
      </c>
      <c r="J8">
        <v>4.08</v>
      </c>
      <c r="K8">
        <v>1.673</v>
      </c>
      <c r="L8">
        <v>1.1970000000000001</v>
      </c>
      <c r="M8">
        <v>2.1960000000000002</v>
      </c>
      <c r="N8">
        <v>4.0919999999999996</v>
      </c>
      <c r="O8">
        <v>3.625</v>
      </c>
      <c r="P8">
        <v>8.4849999999999994</v>
      </c>
      <c r="Q8">
        <v>42.960999999999999</v>
      </c>
    </row>
    <row r="9" spans="1:18" x14ac:dyDescent="0.2">
      <c r="A9" t="s">
        <v>18</v>
      </c>
      <c r="B9" t="s">
        <v>23</v>
      </c>
      <c r="C9" t="s">
        <v>20</v>
      </c>
      <c r="D9" t="s">
        <v>24</v>
      </c>
      <c r="E9">
        <v>0</v>
      </c>
      <c r="F9">
        <v>0</v>
      </c>
      <c r="G9">
        <v>0</v>
      </c>
      <c r="H9">
        <v>7.1849999999999996</v>
      </c>
      <c r="I9">
        <v>3.254</v>
      </c>
      <c r="J9">
        <v>3.4740000000000002</v>
      </c>
      <c r="K9">
        <v>1.764</v>
      </c>
      <c r="L9">
        <v>1.423</v>
      </c>
      <c r="M9">
        <v>2.09</v>
      </c>
      <c r="N9">
        <v>3.2589999999999999</v>
      </c>
      <c r="O9">
        <v>3.1829999999999998</v>
      </c>
      <c r="P9">
        <v>11.193</v>
      </c>
      <c r="Q9">
        <v>36.381</v>
      </c>
    </row>
    <row r="10" spans="1:18" x14ac:dyDescent="0.2">
      <c r="A10" t="s">
        <v>18</v>
      </c>
      <c r="B10" t="s">
        <v>23</v>
      </c>
      <c r="C10" t="s">
        <v>20</v>
      </c>
      <c r="D10" t="s">
        <v>25</v>
      </c>
      <c r="E10">
        <v>0</v>
      </c>
      <c r="F10">
        <v>0</v>
      </c>
      <c r="G10">
        <v>0</v>
      </c>
      <c r="H10">
        <v>5.758</v>
      </c>
      <c r="I10">
        <v>3.2669999999999999</v>
      </c>
      <c r="J10">
        <v>3.254</v>
      </c>
      <c r="K10">
        <v>1.712</v>
      </c>
      <c r="L10">
        <v>1.6</v>
      </c>
      <c r="M10">
        <v>2.266</v>
      </c>
      <c r="N10">
        <v>3.4039999999999999</v>
      </c>
      <c r="O10">
        <v>3.7469999999999999</v>
      </c>
      <c r="P10">
        <v>10.456</v>
      </c>
      <c r="Q10">
        <v>34.735999999999997</v>
      </c>
    </row>
    <row r="11" spans="1:18" x14ac:dyDescent="0.2">
      <c r="A11" t="s">
        <v>18</v>
      </c>
      <c r="B11" t="s">
        <v>26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7.3230000000000004</v>
      </c>
      <c r="I11">
        <v>2.3130000000000002</v>
      </c>
      <c r="J11">
        <v>4.0949999999999998</v>
      </c>
      <c r="K11">
        <v>1.82</v>
      </c>
      <c r="L11">
        <v>1.601</v>
      </c>
      <c r="M11">
        <v>1.911</v>
      </c>
      <c r="N11">
        <v>2.9209999999999998</v>
      </c>
      <c r="O11">
        <v>4.274</v>
      </c>
      <c r="P11">
        <v>5.8609999999999998</v>
      </c>
      <c r="Q11">
        <v>10.888999999999999</v>
      </c>
    </row>
    <row r="12" spans="1:18" x14ac:dyDescent="0.2">
      <c r="A12" t="s">
        <v>18</v>
      </c>
      <c r="B12" t="s">
        <v>26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8.625</v>
      </c>
      <c r="I12">
        <v>2.0179999999999998</v>
      </c>
      <c r="J12">
        <v>4.0010000000000003</v>
      </c>
      <c r="K12">
        <v>1.4570000000000001</v>
      </c>
      <c r="L12">
        <v>1.1120000000000001</v>
      </c>
      <c r="M12">
        <v>2.069</v>
      </c>
      <c r="N12">
        <v>3.512</v>
      </c>
      <c r="O12">
        <v>3.3250000000000002</v>
      </c>
      <c r="P12">
        <v>2.9420000000000002</v>
      </c>
      <c r="Q12">
        <v>23.56</v>
      </c>
      <c r="R12">
        <v>829.12300000000005</v>
      </c>
    </row>
    <row r="13" spans="1:18" x14ac:dyDescent="0.2">
      <c r="A13" t="s">
        <v>18</v>
      </c>
      <c r="B13" t="s">
        <v>26</v>
      </c>
      <c r="C13" t="s">
        <v>27</v>
      </c>
      <c r="D13" t="s">
        <v>21</v>
      </c>
      <c r="E13">
        <v>0</v>
      </c>
      <c r="F13">
        <v>0</v>
      </c>
      <c r="G13">
        <v>0</v>
      </c>
      <c r="H13">
        <v>3.64</v>
      </c>
      <c r="I13">
        <v>1.1539999999999999</v>
      </c>
      <c r="J13">
        <v>4.2240000000000002</v>
      </c>
      <c r="K13">
        <v>1.4830000000000001</v>
      </c>
      <c r="L13">
        <v>1.2010000000000001</v>
      </c>
      <c r="M13">
        <v>2.3149999999999999</v>
      </c>
      <c r="N13">
        <v>3.9929999999999999</v>
      </c>
      <c r="O13">
        <v>3.0939999999999999</v>
      </c>
      <c r="P13">
        <v>5.0049999999999999</v>
      </c>
      <c r="Q13">
        <v>11.374000000000001</v>
      </c>
    </row>
    <row r="14" spans="1:18" x14ac:dyDescent="0.2">
      <c r="A14" t="s">
        <v>18</v>
      </c>
      <c r="B14" t="s">
        <v>28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4.9690000000000003</v>
      </c>
      <c r="I14">
        <v>2.4940000000000002</v>
      </c>
      <c r="P14">
        <v>5.0460000000000003</v>
      </c>
      <c r="Q14">
        <v>21.062000000000001</v>
      </c>
      <c r="R14">
        <v>590.41200000000003</v>
      </c>
    </row>
    <row r="15" spans="1:18" x14ac:dyDescent="0.2">
      <c r="A15" t="s">
        <v>18</v>
      </c>
      <c r="B15" t="s">
        <v>28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6.5640000000000001</v>
      </c>
      <c r="I15">
        <v>3.2989999999999999</v>
      </c>
      <c r="P15">
        <v>2.431</v>
      </c>
      <c r="Q15">
        <v>11.128</v>
      </c>
      <c r="R15">
        <v>543.31799999999998</v>
      </c>
    </row>
    <row r="16" spans="1:18" x14ac:dyDescent="0.2">
      <c r="A16" t="s">
        <v>18</v>
      </c>
      <c r="B16" t="s">
        <v>28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4.7750000000000004</v>
      </c>
      <c r="I16">
        <v>1.468</v>
      </c>
      <c r="P16">
        <v>2.2930000000000001</v>
      </c>
      <c r="Q16">
        <v>9.2189999999999994</v>
      </c>
    </row>
    <row r="17" spans="1:18" x14ac:dyDescent="0.2">
      <c r="A17" t="s">
        <v>18</v>
      </c>
      <c r="B17" t="s">
        <v>29</v>
      </c>
      <c r="C17" t="s">
        <v>27</v>
      </c>
      <c r="D17" t="s">
        <v>24</v>
      </c>
      <c r="E17">
        <v>0</v>
      </c>
      <c r="F17">
        <v>0</v>
      </c>
      <c r="G17">
        <v>0</v>
      </c>
      <c r="H17">
        <v>5.6870000000000003</v>
      </c>
      <c r="I17">
        <v>1.9550000000000001</v>
      </c>
      <c r="J17">
        <v>3.84</v>
      </c>
      <c r="K17">
        <v>1.6259999999999999</v>
      </c>
      <c r="L17">
        <v>1.179</v>
      </c>
      <c r="M17">
        <v>2.3889999999999998</v>
      </c>
      <c r="N17">
        <v>3.4710000000000001</v>
      </c>
      <c r="O17">
        <v>3.84</v>
      </c>
      <c r="P17">
        <v>3.8580000000000001</v>
      </c>
      <c r="Q17">
        <v>10.319000000000001</v>
      </c>
      <c r="R17">
        <v>945.75800000000004</v>
      </c>
    </row>
    <row r="18" spans="1:18" x14ac:dyDescent="0.2">
      <c r="A18" t="s">
        <v>18</v>
      </c>
      <c r="B18" t="s">
        <v>29</v>
      </c>
      <c r="C18" t="s">
        <v>27</v>
      </c>
      <c r="D18" t="s">
        <v>21</v>
      </c>
      <c r="E18">
        <v>0</v>
      </c>
      <c r="F18">
        <v>0</v>
      </c>
      <c r="G18">
        <v>0</v>
      </c>
      <c r="H18">
        <v>5.9779999999999998</v>
      </c>
      <c r="I18">
        <v>1.5009999999999999</v>
      </c>
      <c r="J18">
        <v>4.4180000000000001</v>
      </c>
      <c r="K18">
        <v>1.107</v>
      </c>
      <c r="L18">
        <v>0.76400000000000001</v>
      </c>
      <c r="M18">
        <v>3.0230000000000001</v>
      </c>
      <c r="N18">
        <v>3.4169999999999998</v>
      </c>
      <c r="O18">
        <v>3.758</v>
      </c>
      <c r="P18">
        <v>6.5739999999999998</v>
      </c>
      <c r="Q18">
        <v>9.2319999999999993</v>
      </c>
    </row>
    <row r="19" spans="1:18" x14ac:dyDescent="0.2">
      <c r="A19" t="s">
        <v>18</v>
      </c>
      <c r="B19" t="s">
        <v>29</v>
      </c>
      <c r="C19" t="s">
        <v>27</v>
      </c>
      <c r="D19" t="s">
        <v>24</v>
      </c>
      <c r="E19">
        <v>0</v>
      </c>
      <c r="F19">
        <v>0</v>
      </c>
      <c r="G19">
        <v>0</v>
      </c>
      <c r="H19">
        <v>5.3650000000000002</v>
      </c>
      <c r="I19">
        <v>1.488</v>
      </c>
      <c r="J19">
        <v>4.9969999999999999</v>
      </c>
      <c r="K19">
        <v>1.4339999999999999</v>
      </c>
      <c r="L19">
        <v>1.4279999999999999</v>
      </c>
      <c r="M19">
        <v>2.5369999999999999</v>
      </c>
      <c r="N19">
        <v>3.2629999999999999</v>
      </c>
      <c r="O19">
        <v>4.008</v>
      </c>
      <c r="P19">
        <v>5.1340000000000003</v>
      </c>
      <c r="Q19">
        <v>11.590999999999999</v>
      </c>
    </row>
    <row r="20" spans="1:18" x14ac:dyDescent="0.2">
      <c r="A20" t="s">
        <v>18</v>
      </c>
      <c r="B20" t="s">
        <v>30</v>
      </c>
      <c r="C20" t="s">
        <v>31</v>
      </c>
      <c r="D20" t="s">
        <v>21</v>
      </c>
      <c r="E20">
        <v>0</v>
      </c>
      <c r="F20">
        <v>0</v>
      </c>
      <c r="G20">
        <v>0</v>
      </c>
      <c r="H20">
        <v>4.0019999999999998</v>
      </c>
      <c r="I20">
        <v>1.468</v>
      </c>
      <c r="J20">
        <v>2.2989999999999999</v>
      </c>
      <c r="K20">
        <v>1.089</v>
      </c>
      <c r="L20">
        <v>1.012</v>
      </c>
      <c r="M20">
        <v>1.57</v>
      </c>
      <c r="N20">
        <v>3.3439999999999999</v>
      </c>
      <c r="O20">
        <v>2.7970000000000002</v>
      </c>
      <c r="P20">
        <v>4.07</v>
      </c>
      <c r="Q20">
        <v>15.531000000000001</v>
      </c>
      <c r="R20">
        <v>702.05499999999995</v>
      </c>
    </row>
    <row r="21" spans="1:18" x14ac:dyDescent="0.2">
      <c r="A21" t="s">
        <v>18</v>
      </c>
      <c r="B21" t="s">
        <v>30</v>
      </c>
      <c r="C21" t="s">
        <v>31</v>
      </c>
      <c r="D21" t="s">
        <v>21</v>
      </c>
      <c r="E21">
        <v>0</v>
      </c>
      <c r="F21">
        <v>0</v>
      </c>
      <c r="G21">
        <v>0</v>
      </c>
      <c r="H21">
        <v>3.7120000000000002</v>
      </c>
      <c r="I21">
        <v>1.651</v>
      </c>
      <c r="J21">
        <v>2.9159999999999999</v>
      </c>
      <c r="K21">
        <v>1.353</v>
      </c>
      <c r="L21">
        <v>1.04</v>
      </c>
      <c r="M21">
        <v>1.21</v>
      </c>
      <c r="N21">
        <v>3.113</v>
      </c>
      <c r="O21">
        <v>3.855</v>
      </c>
      <c r="P21">
        <v>5.4550000000000001</v>
      </c>
      <c r="Q21">
        <v>11.904</v>
      </c>
    </row>
    <row r="22" spans="1:18" x14ac:dyDescent="0.2">
      <c r="A22" t="s">
        <v>18</v>
      </c>
      <c r="B22" t="s">
        <v>30</v>
      </c>
      <c r="C22" t="s">
        <v>31</v>
      </c>
      <c r="D22" t="s">
        <v>21</v>
      </c>
      <c r="E22">
        <v>0</v>
      </c>
      <c r="F22">
        <v>0</v>
      </c>
      <c r="G22">
        <v>0</v>
      </c>
      <c r="H22">
        <v>3.78</v>
      </c>
      <c r="I22">
        <v>1.351</v>
      </c>
      <c r="J22">
        <v>2.8050000000000002</v>
      </c>
      <c r="K22">
        <v>0.86699999999999999</v>
      </c>
      <c r="L22">
        <v>0.79400000000000004</v>
      </c>
      <c r="M22">
        <v>2.0699999999999998</v>
      </c>
      <c r="N22">
        <v>2.8149999999999999</v>
      </c>
      <c r="O22">
        <v>3.4780000000000002</v>
      </c>
      <c r="P22">
        <v>2.8069999999999999</v>
      </c>
      <c r="Q22">
        <v>12.742000000000001</v>
      </c>
    </row>
    <row r="23" spans="1:18" x14ac:dyDescent="0.2">
      <c r="A23" t="s">
        <v>18</v>
      </c>
      <c r="B23" t="s">
        <v>32</v>
      </c>
      <c r="C23" t="s">
        <v>31</v>
      </c>
      <c r="D23" t="s">
        <v>21</v>
      </c>
      <c r="E23">
        <v>0</v>
      </c>
      <c r="F23">
        <v>0</v>
      </c>
      <c r="G23">
        <v>0</v>
      </c>
      <c r="H23">
        <v>3.581</v>
      </c>
      <c r="I23">
        <v>1.351</v>
      </c>
      <c r="J23">
        <v>3.5720000000000001</v>
      </c>
      <c r="K23">
        <v>0.93200000000000005</v>
      </c>
      <c r="L23">
        <v>0.80500000000000005</v>
      </c>
      <c r="M23">
        <v>2.3069999999999999</v>
      </c>
      <c r="N23">
        <v>4.4139999999999997</v>
      </c>
      <c r="O23">
        <v>2.9790000000000001</v>
      </c>
      <c r="P23">
        <v>3.54</v>
      </c>
      <c r="Q23">
        <v>12.680999999999999</v>
      </c>
      <c r="R23">
        <v>721.40899999999999</v>
      </c>
    </row>
    <row r="24" spans="1:18" x14ac:dyDescent="0.2">
      <c r="A24" t="s">
        <v>18</v>
      </c>
      <c r="B24" t="s">
        <v>32</v>
      </c>
      <c r="C24" t="s">
        <v>31</v>
      </c>
      <c r="D24" t="s">
        <v>21</v>
      </c>
      <c r="E24">
        <v>0</v>
      </c>
      <c r="F24">
        <v>0</v>
      </c>
      <c r="G24">
        <v>0</v>
      </c>
      <c r="H24">
        <v>7.5350000000000001</v>
      </c>
      <c r="I24">
        <v>2.234</v>
      </c>
      <c r="J24">
        <v>4.5679999999999996</v>
      </c>
      <c r="K24">
        <v>1.623</v>
      </c>
      <c r="L24">
        <v>1.4590000000000001</v>
      </c>
      <c r="M24">
        <v>2.5649999999999999</v>
      </c>
      <c r="N24">
        <v>3.887</v>
      </c>
      <c r="O24">
        <v>2.8980000000000001</v>
      </c>
      <c r="P24">
        <v>3.9089999999999998</v>
      </c>
      <c r="Q24">
        <v>18.742999999999999</v>
      </c>
      <c r="R24">
        <v>586.15599999999995</v>
      </c>
    </row>
    <row r="25" spans="1:18" x14ac:dyDescent="0.2">
      <c r="A25" t="s">
        <v>18</v>
      </c>
      <c r="B25" t="s">
        <v>32</v>
      </c>
      <c r="C25" t="s">
        <v>31</v>
      </c>
      <c r="D25" t="s">
        <v>21</v>
      </c>
      <c r="E25">
        <v>0</v>
      </c>
      <c r="F25">
        <v>0</v>
      </c>
      <c r="G25">
        <v>0</v>
      </c>
      <c r="H25">
        <v>4.5279999999999996</v>
      </c>
      <c r="I25">
        <v>1.92</v>
      </c>
      <c r="J25">
        <v>3.456</v>
      </c>
      <c r="K25">
        <v>1.504</v>
      </c>
      <c r="L25">
        <v>1.1319999999999999</v>
      </c>
      <c r="M25">
        <v>2.121</v>
      </c>
      <c r="N25">
        <v>4.367</v>
      </c>
      <c r="O25">
        <v>4.6239999999999997</v>
      </c>
      <c r="P25">
        <v>5.9180000000000001</v>
      </c>
      <c r="Q25">
        <v>17.606000000000002</v>
      </c>
    </row>
    <row r="26" spans="1:18" x14ac:dyDescent="0.2">
      <c r="A26" t="s">
        <v>18</v>
      </c>
      <c r="B26" t="s">
        <v>33</v>
      </c>
      <c r="C26" t="s">
        <v>31</v>
      </c>
      <c r="E26">
        <v>0</v>
      </c>
      <c r="F26">
        <v>0</v>
      </c>
      <c r="G26">
        <v>0</v>
      </c>
      <c r="H26">
        <v>5.0739999999999998</v>
      </c>
      <c r="I26">
        <v>1.3280000000000001</v>
      </c>
      <c r="J26">
        <v>4.0750000000000002</v>
      </c>
      <c r="K26">
        <v>1.9690000000000001</v>
      </c>
      <c r="L26">
        <v>1.865</v>
      </c>
      <c r="M26">
        <v>2.7669999999999999</v>
      </c>
      <c r="N26">
        <v>3.0209999999999999</v>
      </c>
      <c r="O26">
        <v>3.9870000000000001</v>
      </c>
      <c r="P26">
        <v>7.5819999999999999</v>
      </c>
      <c r="Q26">
        <v>14.167999999999999</v>
      </c>
    </row>
    <row r="27" spans="1:18" x14ac:dyDescent="0.2">
      <c r="A27" t="s">
        <v>18</v>
      </c>
      <c r="B27" t="s">
        <v>33</v>
      </c>
      <c r="C27" t="s">
        <v>31</v>
      </c>
      <c r="E27">
        <v>0</v>
      </c>
      <c r="F27">
        <v>0</v>
      </c>
      <c r="G27">
        <v>0</v>
      </c>
      <c r="H27">
        <v>5.8849999999999998</v>
      </c>
      <c r="I27">
        <v>1.8220000000000001</v>
      </c>
      <c r="J27">
        <v>2.6429999999999998</v>
      </c>
      <c r="K27">
        <v>0.77800000000000002</v>
      </c>
      <c r="L27">
        <v>0.375</v>
      </c>
      <c r="M27">
        <v>1.875</v>
      </c>
      <c r="O27">
        <v>4.1379999999999999</v>
      </c>
      <c r="P27">
        <v>4.742</v>
      </c>
      <c r="Q27">
        <v>10.563000000000001</v>
      </c>
    </row>
    <row r="28" spans="1:18" x14ac:dyDescent="0.2">
      <c r="A28" t="s">
        <v>18</v>
      </c>
      <c r="B28" t="s">
        <v>33</v>
      </c>
      <c r="C28" t="s">
        <v>31</v>
      </c>
      <c r="E28">
        <v>0</v>
      </c>
      <c r="F28">
        <v>0</v>
      </c>
      <c r="G28">
        <v>0</v>
      </c>
    </row>
    <row r="29" spans="1:18" x14ac:dyDescent="0.2">
      <c r="A29" t="s">
        <v>18</v>
      </c>
      <c r="B29" t="s">
        <v>34</v>
      </c>
      <c r="C29" t="s">
        <v>20</v>
      </c>
      <c r="D29" t="s">
        <v>21</v>
      </c>
      <c r="E29">
        <v>2.8740000000000001</v>
      </c>
      <c r="F29">
        <v>0.504</v>
      </c>
      <c r="G29">
        <v>0</v>
      </c>
      <c r="H29">
        <v>5.3170000000000002</v>
      </c>
      <c r="I29">
        <v>2.7909999999999999</v>
      </c>
    </row>
    <row r="30" spans="1:18" x14ac:dyDescent="0.2">
      <c r="A30" t="s">
        <v>18</v>
      </c>
      <c r="B30" t="s">
        <v>34</v>
      </c>
      <c r="C30" t="s">
        <v>20</v>
      </c>
      <c r="D30" t="s">
        <v>21</v>
      </c>
      <c r="G30">
        <v>0</v>
      </c>
      <c r="H30">
        <v>6.3490000000000002</v>
      </c>
      <c r="I30">
        <v>2.504</v>
      </c>
    </row>
    <row r="31" spans="1:18" x14ac:dyDescent="0.2">
      <c r="A31" t="s">
        <v>18</v>
      </c>
      <c r="B31" t="s">
        <v>34</v>
      </c>
      <c r="C31" t="s">
        <v>20</v>
      </c>
      <c r="D31" t="s">
        <v>21</v>
      </c>
      <c r="G31">
        <v>0</v>
      </c>
      <c r="H31">
        <v>4.6029999999999998</v>
      </c>
      <c r="I31">
        <v>2.2570000000000001</v>
      </c>
    </row>
    <row r="32" spans="1:18" x14ac:dyDescent="0.2">
      <c r="A32" t="s">
        <v>18</v>
      </c>
      <c r="B32" t="s">
        <v>35</v>
      </c>
      <c r="C32" t="s">
        <v>20</v>
      </c>
      <c r="E32">
        <v>0</v>
      </c>
      <c r="F32">
        <v>0</v>
      </c>
      <c r="H32">
        <v>2.1469999999999998</v>
      </c>
      <c r="I32">
        <v>0.85599999999999998</v>
      </c>
      <c r="J32">
        <v>3.2770000000000001</v>
      </c>
      <c r="K32">
        <v>1.333</v>
      </c>
      <c r="L32">
        <v>1.2230000000000001</v>
      </c>
      <c r="M32">
        <v>3.1619999999999999</v>
      </c>
      <c r="N32">
        <v>4.085</v>
      </c>
      <c r="O32">
        <v>4.5110000000000001</v>
      </c>
      <c r="P32">
        <v>2.2839999999999998</v>
      </c>
      <c r="Q32">
        <v>19.616</v>
      </c>
      <c r="R32">
        <v>844.41499999999996</v>
      </c>
    </row>
    <row r="33" spans="1:18" x14ac:dyDescent="0.2">
      <c r="A33" t="s">
        <v>18</v>
      </c>
      <c r="B33" t="s">
        <v>35</v>
      </c>
      <c r="C33" t="s">
        <v>20</v>
      </c>
      <c r="E33">
        <v>0</v>
      </c>
      <c r="F33">
        <v>0</v>
      </c>
      <c r="H33">
        <v>2.2400000000000002</v>
      </c>
      <c r="I33">
        <v>0.378</v>
      </c>
      <c r="J33">
        <v>3.83</v>
      </c>
      <c r="K33">
        <v>1.796</v>
      </c>
      <c r="L33">
        <v>1.4550000000000001</v>
      </c>
      <c r="M33">
        <v>2.8340000000000001</v>
      </c>
      <c r="N33">
        <v>4.1449999999999996</v>
      </c>
      <c r="O33">
        <v>3.3260000000000001</v>
      </c>
      <c r="P33">
        <v>3.3380000000000001</v>
      </c>
      <c r="Q33">
        <v>23.187999999999999</v>
      </c>
      <c r="R33">
        <v>436.43</v>
      </c>
    </row>
    <row r="34" spans="1:18" x14ac:dyDescent="0.2">
      <c r="A34" t="s">
        <v>18</v>
      </c>
      <c r="B34" t="s">
        <v>35</v>
      </c>
      <c r="C34" t="s">
        <v>20</v>
      </c>
      <c r="E34">
        <v>0</v>
      </c>
      <c r="F34">
        <v>0</v>
      </c>
      <c r="H34">
        <v>2.8679999999999999</v>
      </c>
      <c r="I34">
        <v>0.64200000000000002</v>
      </c>
      <c r="J34">
        <v>3.4470000000000001</v>
      </c>
      <c r="K34">
        <v>1.9650000000000001</v>
      </c>
      <c r="L34">
        <v>1.3180000000000001</v>
      </c>
      <c r="M34">
        <v>3.75</v>
      </c>
      <c r="N34">
        <v>4.9359999999999999</v>
      </c>
      <c r="O34">
        <v>4.1130000000000004</v>
      </c>
      <c r="P34">
        <v>3.7120000000000002</v>
      </c>
      <c r="Q34">
        <v>11.909000000000001</v>
      </c>
    </row>
    <row r="35" spans="1:18" x14ac:dyDescent="0.2">
      <c r="A35" t="s">
        <v>36</v>
      </c>
      <c r="B35" t="s">
        <v>37</v>
      </c>
      <c r="C35" t="s">
        <v>38</v>
      </c>
      <c r="E35">
        <v>0</v>
      </c>
      <c r="F35">
        <v>0</v>
      </c>
      <c r="G35">
        <v>0</v>
      </c>
      <c r="H35">
        <v>5</v>
      </c>
      <c r="I35">
        <v>1.25</v>
      </c>
      <c r="J35">
        <v>2.6709999999999998</v>
      </c>
      <c r="K35">
        <v>1.18</v>
      </c>
      <c r="L35">
        <v>1.0189999999999999</v>
      </c>
      <c r="M35">
        <v>1.74</v>
      </c>
      <c r="N35">
        <v>3.6619999999999999</v>
      </c>
      <c r="O35">
        <v>3.5590000000000002</v>
      </c>
      <c r="P35">
        <v>4.5869999999999997</v>
      </c>
      <c r="Q35">
        <v>16.036999999999999</v>
      </c>
      <c r="R35">
        <v>781.36699999999996</v>
      </c>
    </row>
    <row r="36" spans="1:18" x14ac:dyDescent="0.2">
      <c r="A36" t="s">
        <v>36</v>
      </c>
      <c r="B36" t="s">
        <v>37</v>
      </c>
      <c r="C36" t="s">
        <v>38</v>
      </c>
      <c r="D36" t="s">
        <v>25</v>
      </c>
      <c r="E36">
        <v>0</v>
      </c>
      <c r="F36">
        <v>0</v>
      </c>
      <c r="G36">
        <v>0</v>
      </c>
      <c r="H36">
        <v>7.4989999999999997</v>
      </c>
      <c r="I36">
        <v>1.675</v>
      </c>
      <c r="J36">
        <v>3.03</v>
      </c>
      <c r="K36">
        <v>1.0640000000000001</v>
      </c>
      <c r="L36">
        <v>0.97199999999999998</v>
      </c>
      <c r="M36">
        <v>1.99</v>
      </c>
      <c r="N36">
        <v>2.5819999999999999</v>
      </c>
      <c r="O36">
        <v>2.9129999999999998</v>
      </c>
      <c r="P36">
        <v>5.7</v>
      </c>
      <c r="Q36">
        <v>56.378999999999998</v>
      </c>
    </row>
    <row r="37" spans="1:18" x14ac:dyDescent="0.2">
      <c r="A37" t="s">
        <v>36</v>
      </c>
      <c r="B37" t="s">
        <v>37</v>
      </c>
      <c r="C37" t="s">
        <v>38</v>
      </c>
      <c r="D37" t="s">
        <v>39</v>
      </c>
      <c r="E37">
        <v>0</v>
      </c>
      <c r="F37">
        <v>0</v>
      </c>
      <c r="G37">
        <v>0</v>
      </c>
      <c r="H37">
        <v>5.7770000000000001</v>
      </c>
      <c r="I37">
        <v>1.194</v>
      </c>
      <c r="J37">
        <v>3.0169999999999999</v>
      </c>
      <c r="K37">
        <v>1.0089999999999999</v>
      </c>
      <c r="L37">
        <v>0.94899999999999995</v>
      </c>
      <c r="M37">
        <v>1.6970000000000001</v>
      </c>
      <c r="N37">
        <v>3.375</v>
      </c>
      <c r="O37">
        <v>3.63</v>
      </c>
      <c r="P37">
        <v>8.7750000000000004</v>
      </c>
      <c r="Q37">
        <v>26.954999999999998</v>
      </c>
    </row>
    <row r="38" spans="1:18" x14ac:dyDescent="0.2">
      <c r="A38" t="s">
        <v>36</v>
      </c>
      <c r="B38" t="s">
        <v>40</v>
      </c>
      <c r="C38" t="s">
        <v>38</v>
      </c>
      <c r="D38" t="s">
        <v>25</v>
      </c>
      <c r="E38">
        <v>0</v>
      </c>
      <c r="F38">
        <v>0</v>
      </c>
      <c r="G38">
        <v>0</v>
      </c>
      <c r="H38">
        <v>6.0350000000000001</v>
      </c>
      <c r="I38">
        <v>2.7789999999999999</v>
      </c>
      <c r="J38">
        <v>4.1890000000000001</v>
      </c>
      <c r="K38">
        <v>1.5920000000000001</v>
      </c>
      <c r="L38">
        <v>1.351</v>
      </c>
      <c r="M38">
        <v>1.91</v>
      </c>
      <c r="N38">
        <v>3.7</v>
      </c>
      <c r="O38">
        <v>5.5679999999999996</v>
      </c>
      <c r="P38">
        <v>5.8570000000000002</v>
      </c>
      <c r="Q38">
        <v>23.795000000000002</v>
      </c>
      <c r="R38">
        <v>745.75599999999997</v>
      </c>
    </row>
    <row r="39" spans="1:18" x14ac:dyDescent="0.2">
      <c r="A39" t="s">
        <v>36</v>
      </c>
      <c r="B39" t="s">
        <v>40</v>
      </c>
      <c r="C39" t="s">
        <v>38</v>
      </c>
      <c r="D39" t="s">
        <v>25</v>
      </c>
      <c r="E39">
        <v>0</v>
      </c>
      <c r="F39">
        <v>0</v>
      </c>
      <c r="G39">
        <v>0</v>
      </c>
      <c r="H39">
        <v>4.7510000000000003</v>
      </c>
      <c r="I39">
        <v>2.75</v>
      </c>
      <c r="J39">
        <v>3.91</v>
      </c>
      <c r="K39">
        <v>1.109</v>
      </c>
      <c r="L39">
        <v>0.79400000000000004</v>
      </c>
      <c r="M39">
        <v>2.3140000000000001</v>
      </c>
      <c r="N39">
        <v>4.6900000000000004</v>
      </c>
      <c r="O39">
        <v>4.609</v>
      </c>
      <c r="P39">
        <v>6.7060000000000004</v>
      </c>
      <c r="Q39">
        <v>18.245999999999999</v>
      </c>
      <c r="R39">
        <v>590.99900000000002</v>
      </c>
    </row>
    <row r="40" spans="1:18" x14ac:dyDescent="0.2">
      <c r="A40" t="s">
        <v>36</v>
      </c>
      <c r="B40" t="s">
        <v>40</v>
      </c>
      <c r="C40" t="s">
        <v>38</v>
      </c>
      <c r="D40" t="s">
        <v>24</v>
      </c>
      <c r="E40">
        <v>0</v>
      </c>
      <c r="F40">
        <v>0</v>
      </c>
      <c r="G40">
        <v>0</v>
      </c>
      <c r="H40">
        <v>4.1139999999999999</v>
      </c>
      <c r="I40">
        <v>2.0470000000000002</v>
      </c>
      <c r="J40">
        <v>4.2009999999999996</v>
      </c>
      <c r="K40">
        <v>1.661</v>
      </c>
      <c r="L40">
        <v>1.516</v>
      </c>
      <c r="M40">
        <v>2.2269999999999999</v>
      </c>
      <c r="N40">
        <v>4.1479999999999997</v>
      </c>
      <c r="O40">
        <v>4.0750000000000002</v>
      </c>
      <c r="P40">
        <v>5.0529999999999999</v>
      </c>
      <c r="Q40">
        <v>14.175000000000001</v>
      </c>
    </row>
    <row r="41" spans="1:18" x14ac:dyDescent="0.2">
      <c r="A41" t="s">
        <v>36</v>
      </c>
      <c r="B41" t="s">
        <v>41</v>
      </c>
      <c r="C41" t="s">
        <v>42</v>
      </c>
      <c r="D41" t="s">
        <v>21</v>
      </c>
      <c r="E41">
        <v>0</v>
      </c>
      <c r="F41">
        <v>0</v>
      </c>
      <c r="G41">
        <v>0</v>
      </c>
      <c r="H41">
        <v>5.2009999999999996</v>
      </c>
      <c r="I41">
        <v>2.6779999999999999</v>
      </c>
      <c r="P41">
        <v>12.923</v>
      </c>
      <c r="Q41">
        <v>18.338000000000001</v>
      </c>
    </row>
    <row r="42" spans="1:18" x14ac:dyDescent="0.2">
      <c r="A42" t="s">
        <v>36</v>
      </c>
      <c r="B42" t="s">
        <v>41</v>
      </c>
      <c r="C42" t="s">
        <v>42</v>
      </c>
      <c r="D42" t="s">
        <v>21</v>
      </c>
      <c r="E42">
        <v>0</v>
      </c>
      <c r="F42">
        <v>0</v>
      </c>
      <c r="G42">
        <v>0</v>
      </c>
      <c r="H42">
        <v>3.2320000000000002</v>
      </c>
      <c r="I42">
        <v>1.55</v>
      </c>
      <c r="P42">
        <v>7.7320000000000002</v>
      </c>
      <c r="Q42">
        <v>17.463999999999999</v>
      </c>
    </row>
    <row r="43" spans="1:18" x14ac:dyDescent="0.2">
      <c r="A43" t="s">
        <v>36</v>
      </c>
      <c r="B43" t="s">
        <v>41</v>
      </c>
      <c r="C43" t="s">
        <v>42</v>
      </c>
      <c r="D43" t="s">
        <v>21</v>
      </c>
      <c r="E43">
        <v>0</v>
      </c>
      <c r="F43">
        <v>0</v>
      </c>
      <c r="G43">
        <v>0</v>
      </c>
      <c r="H43">
        <v>6.2919999999999998</v>
      </c>
      <c r="I43">
        <v>3.339</v>
      </c>
      <c r="P43">
        <v>5.7670000000000003</v>
      </c>
      <c r="Q43">
        <v>13.625999999999999</v>
      </c>
      <c r="R43">
        <v>754.33699999999999</v>
      </c>
    </row>
    <row r="44" spans="1:18" x14ac:dyDescent="0.2">
      <c r="A44" t="s">
        <v>36</v>
      </c>
      <c r="B44" t="s">
        <v>43</v>
      </c>
      <c r="C44" t="s">
        <v>44</v>
      </c>
      <c r="D44" t="s">
        <v>21</v>
      </c>
      <c r="E44">
        <v>0</v>
      </c>
      <c r="F44">
        <v>0</v>
      </c>
      <c r="G44">
        <v>0</v>
      </c>
      <c r="H44">
        <v>7.657</v>
      </c>
      <c r="I44">
        <v>2.4550000000000001</v>
      </c>
      <c r="J44">
        <v>4.1900000000000004</v>
      </c>
      <c r="K44">
        <v>0.92500000000000004</v>
      </c>
      <c r="L44">
        <v>0.79600000000000004</v>
      </c>
      <c r="M44">
        <v>2.87</v>
      </c>
      <c r="N44">
        <v>5.21</v>
      </c>
      <c r="O44">
        <v>4.3330000000000002</v>
      </c>
      <c r="P44">
        <v>4.2320000000000002</v>
      </c>
      <c r="Q44">
        <v>7.4290000000000003</v>
      </c>
      <c r="R44">
        <v>579.62199999999996</v>
      </c>
    </row>
    <row r="45" spans="1:18" x14ac:dyDescent="0.2">
      <c r="A45" t="s">
        <v>36</v>
      </c>
      <c r="B45" t="s">
        <v>43</v>
      </c>
      <c r="C45" t="s">
        <v>44</v>
      </c>
      <c r="E45">
        <v>0</v>
      </c>
      <c r="F45">
        <v>0</v>
      </c>
      <c r="G45">
        <v>0</v>
      </c>
      <c r="H45">
        <v>6.3959999999999999</v>
      </c>
      <c r="I45">
        <v>2.8149999999999999</v>
      </c>
      <c r="J45">
        <v>3.637</v>
      </c>
      <c r="K45">
        <v>1.341</v>
      </c>
      <c r="L45">
        <v>1.1879999999999999</v>
      </c>
      <c r="M45">
        <v>1.7969999999999999</v>
      </c>
      <c r="N45">
        <v>4.734</v>
      </c>
      <c r="O45">
        <v>3.19</v>
      </c>
      <c r="P45">
        <v>2.3479999999999999</v>
      </c>
      <c r="Q45">
        <v>10.004</v>
      </c>
      <c r="R45">
        <v>590.68600000000004</v>
      </c>
    </row>
    <row r="46" spans="1:18" x14ac:dyDescent="0.2">
      <c r="A46" t="s">
        <v>36</v>
      </c>
      <c r="B46" t="s">
        <v>43</v>
      </c>
      <c r="C46" t="s">
        <v>44</v>
      </c>
      <c r="E46">
        <v>0</v>
      </c>
      <c r="F46">
        <v>0</v>
      </c>
      <c r="G46">
        <v>0</v>
      </c>
      <c r="J46">
        <v>3.7160000000000002</v>
      </c>
      <c r="K46">
        <v>1.6679999999999999</v>
      </c>
      <c r="L46">
        <v>1.458</v>
      </c>
      <c r="M46">
        <v>1.9650000000000001</v>
      </c>
      <c r="N46">
        <v>4.766</v>
      </c>
      <c r="O46">
        <v>3.915</v>
      </c>
      <c r="P46">
        <v>3.4550000000000001</v>
      </c>
      <c r="Q46">
        <v>18.951000000000001</v>
      </c>
      <c r="R46">
        <v>539.70299999999997</v>
      </c>
    </row>
    <row r="47" spans="1:18" x14ac:dyDescent="0.2">
      <c r="A47" t="s">
        <v>36</v>
      </c>
      <c r="B47" t="s">
        <v>45</v>
      </c>
      <c r="C47" t="s">
        <v>46</v>
      </c>
      <c r="D47" t="s">
        <v>21</v>
      </c>
      <c r="E47">
        <v>0</v>
      </c>
      <c r="F47">
        <v>0</v>
      </c>
      <c r="G47">
        <v>0</v>
      </c>
      <c r="H47">
        <v>6.1920000000000002</v>
      </c>
      <c r="I47">
        <v>1.571</v>
      </c>
      <c r="J47">
        <v>3.6640000000000001</v>
      </c>
      <c r="K47">
        <v>1.361</v>
      </c>
      <c r="L47">
        <v>1.036</v>
      </c>
      <c r="M47">
        <v>1.5</v>
      </c>
      <c r="N47">
        <v>4.2519999999999998</v>
      </c>
      <c r="O47">
        <v>4.4740000000000002</v>
      </c>
      <c r="P47">
        <v>5.0410000000000004</v>
      </c>
      <c r="Q47">
        <v>18.446000000000002</v>
      </c>
      <c r="R47">
        <v>823.12199999999996</v>
      </c>
    </row>
    <row r="48" spans="1:18" x14ac:dyDescent="0.2">
      <c r="A48" t="s">
        <v>36</v>
      </c>
      <c r="B48" t="s">
        <v>45</v>
      </c>
      <c r="C48" t="s">
        <v>46</v>
      </c>
      <c r="D48" t="s">
        <v>21</v>
      </c>
      <c r="E48">
        <v>0</v>
      </c>
      <c r="F48">
        <v>0</v>
      </c>
      <c r="G48">
        <v>0</v>
      </c>
      <c r="H48">
        <v>6.149</v>
      </c>
      <c r="I48">
        <v>1.6890000000000001</v>
      </c>
      <c r="J48">
        <v>3.9049999999999998</v>
      </c>
      <c r="K48">
        <v>0.99199999999999999</v>
      </c>
      <c r="L48">
        <v>0.92800000000000005</v>
      </c>
      <c r="M48">
        <v>1.841</v>
      </c>
      <c r="N48">
        <v>4.3620000000000001</v>
      </c>
      <c r="O48">
        <v>3.1829999999999998</v>
      </c>
      <c r="P48">
        <v>3.85</v>
      </c>
      <c r="Q48">
        <v>36.018999999999998</v>
      </c>
      <c r="R48">
        <v>732.04200000000003</v>
      </c>
    </row>
    <row r="49" spans="1:18" x14ac:dyDescent="0.2">
      <c r="A49" t="s">
        <v>36</v>
      </c>
      <c r="B49" t="s">
        <v>45</v>
      </c>
      <c r="C49" t="s">
        <v>46</v>
      </c>
      <c r="D49" t="s">
        <v>21</v>
      </c>
      <c r="E49">
        <v>0</v>
      </c>
      <c r="F49">
        <v>0</v>
      </c>
      <c r="G49">
        <v>0</v>
      </c>
      <c r="H49">
        <v>5.1769999999999996</v>
      </c>
      <c r="I49">
        <v>1.6259999999999999</v>
      </c>
      <c r="J49">
        <v>4.0190000000000001</v>
      </c>
      <c r="K49">
        <v>1.532</v>
      </c>
      <c r="L49">
        <v>1.339</v>
      </c>
      <c r="M49">
        <v>1.488</v>
      </c>
      <c r="N49">
        <v>4.702</v>
      </c>
      <c r="O49">
        <v>3.8580000000000001</v>
      </c>
      <c r="P49">
        <v>6.7830000000000004</v>
      </c>
      <c r="Q49">
        <v>33.136000000000003</v>
      </c>
    </row>
    <row r="50" spans="1:18" x14ac:dyDescent="0.2">
      <c r="A50" t="s">
        <v>36</v>
      </c>
      <c r="B50" t="s">
        <v>47</v>
      </c>
      <c r="C50" t="s">
        <v>46</v>
      </c>
      <c r="D50" t="s">
        <v>21</v>
      </c>
      <c r="E50">
        <v>0</v>
      </c>
      <c r="F50">
        <v>0</v>
      </c>
      <c r="G50">
        <v>0</v>
      </c>
      <c r="H50">
        <v>4.57</v>
      </c>
      <c r="I50">
        <v>1.234</v>
      </c>
      <c r="J50">
        <v>3.234</v>
      </c>
      <c r="K50">
        <v>1.3959999999999999</v>
      </c>
      <c r="L50">
        <v>1.35</v>
      </c>
      <c r="M50">
        <v>2.5760000000000001</v>
      </c>
      <c r="N50">
        <v>3.11</v>
      </c>
      <c r="O50">
        <v>2.7229999999999999</v>
      </c>
      <c r="P50">
        <v>4.8949999999999996</v>
      </c>
      <c r="Q50">
        <v>18.914000000000001</v>
      </c>
      <c r="R50">
        <v>743.88400000000001</v>
      </c>
    </row>
    <row r="51" spans="1:18" x14ac:dyDescent="0.2">
      <c r="A51" t="s">
        <v>36</v>
      </c>
      <c r="B51" t="s">
        <v>47</v>
      </c>
      <c r="C51" t="s">
        <v>46</v>
      </c>
      <c r="D51" t="s">
        <v>21</v>
      </c>
      <c r="E51">
        <v>0</v>
      </c>
      <c r="F51">
        <v>0</v>
      </c>
      <c r="G51">
        <v>0</v>
      </c>
      <c r="H51">
        <v>5.1239999999999997</v>
      </c>
      <c r="I51">
        <v>1.2569999999999999</v>
      </c>
      <c r="J51">
        <v>3.3929999999999998</v>
      </c>
      <c r="K51">
        <v>1.081</v>
      </c>
      <c r="L51">
        <v>1.0720000000000001</v>
      </c>
      <c r="M51">
        <v>1.387</v>
      </c>
      <c r="N51">
        <v>3.7989999999999999</v>
      </c>
      <c r="O51">
        <v>3.3069999999999999</v>
      </c>
      <c r="P51">
        <v>9.4019999999999992</v>
      </c>
      <c r="Q51">
        <v>19.684000000000001</v>
      </c>
      <c r="R51">
        <v>880.28499999999997</v>
      </c>
    </row>
    <row r="52" spans="1:18" x14ac:dyDescent="0.2">
      <c r="A52" t="s">
        <v>36</v>
      </c>
      <c r="B52" t="s">
        <v>47</v>
      </c>
      <c r="C52" t="s">
        <v>46</v>
      </c>
      <c r="D52" t="s">
        <v>21</v>
      </c>
      <c r="E52">
        <v>0</v>
      </c>
      <c r="F52">
        <v>0</v>
      </c>
      <c r="G52">
        <v>0</v>
      </c>
      <c r="H52">
        <v>5.5259999999999998</v>
      </c>
      <c r="I52">
        <v>1.3160000000000001</v>
      </c>
      <c r="J52">
        <v>3.0379999999999998</v>
      </c>
      <c r="K52">
        <v>1.587</v>
      </c>
      <c r="L52">
        <v>1.544</v>
      </c>
      <c r="M52">
        <v>1.9450000000000001</v>
      </c>
      <c r="N52">
        <v>4.0869999999999997</v>
      </c>
      <c r="O52">
        <v>3.5339999999999998</v>
      </c>
      <c r="P52">
        <v>6.1219999999999999</v>
      </c>
      <c r="Q52">
        <v>26.518999999999998</v>
      </c>
    </row>
    <row r="53" spans="1:18" x14ac:dyDescent="0.2">
      <c r="A53" t="s">
        <v>36</v>
      </c>
      <c r="B53" t="s">
        <v>48</v>
      </c>
      <c r="C53" t="s">
        <v>46</v>
      </c>
      <c r="D53" t="s">
        <v>21</v>
      </c>
      <c r="E53">
        <v>0</v>
      </c>
      <c r="F53">
        <v>0</v>
      </c>
      <c r="G53">
        <v>0</v>
      </c>
      <c r="H53">
        <v>5.6310000000000002</v>
      </c>
      <c r="I53">
        <v>1.4730000000000001</v>
      </c>
      <c r="J53">
        <v>4.5999999999999996</v>
      </c>
      <c r="K53">
        <v>1.6060000000000001</v>
      </c>
      <c r="L53">
        <v>1.2270000000000001</v>
      </c>
      <c r="M53">
        <v>2.109</v>
      </c>
      <c r="N53">
        <v>3.6040000000000001</v>
      </c>
      <c r="O53">
        <v>3.871</v>
      </c>
      <c r="P53">
        <v>8.1430000000000007</v>
      </c>
      <c r="Q53">
        <v>61.502000000000002</v>
      </c>
      <c r="R53">
        <v>665.44399999999996</v>
      </c>
    </row>
    <row r="54" spans="1:18" x14ac:dyDescent="0.2">
      <c r="A54" t="s">
        <v>36</v>
      </c>
      <c r="B54" t="s">
        <v>48</v>
      </c>
      <c r="C54" t="s">
        <v>46</v>
      </c>
      <c r="D54" t="s">
        <v>21</v>
      </c>
      <c r="E54">
        <v>0</v>
      </c>
      <c r="F54">
        <v>0</v>
      </c>
      <c r="G54">
        <v>0</v>
      </c>
      <c r="P54">
        <v>7.3390000000000004</v>
      </c>
      <c r="Q54">
        <v>43.118000000000002</v>
      </c>
    </row>
    <row r="55" spans="1:18" x14ac:dyDescent="0.2">
      <c r="A55" t="s">
        <v>36</v>
      </c>
      <c r="B55" t="s">
        <v>48</v>
      </c>
      <c r="C55" t="s">
        <v>46</v>
      </c>
      <c r="D55" t="s">
        <v>21</v>
      </c>
      <c r="E55">
        <v>0</v>
      </c>
      <c r="F55">
        <v>0</v>
      </c>
      <c r="G55">
        <v>0</v>
      </c>
      <c r="P55">
        <v>7.62</v>
      </c>
      <c r="Q55">
        <v>44.331000000000003</v>
      </c>
    </row>
    <row r="56" spans="1:18" x14ac:dyDescent="0.2">
      <c r="A56" t="s">
        <v>36</v>
      </c>
      <c r="B56" t="s">
        <v>49</v>
      </c>
      <c r="C56" t="s">
        <v>50</v>
      </c>
      <c r="D56" t="s">
        <v>24</v>
      </c>
      <c r="E56">
        <v>0</v>
      </c>
      <c r="F56">
        <v>0</v>
      </c>
      <c r="G56">
        <v>0</v>
      </c>
      <c r="H56">
        <v>5.4550000000000001</v>
      </c>
      <c r="I56">
        <v>2.1739999999999999</v>
      </c>
      <c r="J56">
        <v>3.8220000000000001</v>
      </c>
      <c r="K56">
        <v>0.69399999999999995</v>
      </c>
      <c r="L56">
        <v>0.57299999999999995</v>
      </c>
      <c r="M56">
        <v>2.645</v>
      </c>
      <c r="N56">
        <v>4.75</v>
      </c>
      <c r="O56">
        <v>5.24</v>
      </c>
      <c r="P56">
        <v>2.4159999999999999</v>
      </c>
      <c r="Q56">
        <v>16.420999999999999</v>
      </c>
      <c r="R56">
        <v>713.46799999999996</v>
      </c>
    </row>
    <row r="57" spans="1:18" x14ac:dyDescent="0.2">
      <c r="A57" t="s">
        <v>36</v>
      </c>
      <c r="B57" t="s">
        <v>49</v>
      </c>
      <c r="C57" t="s">
        <v>50</v>
      </c>
      <c r="D57" t="s">
        <v>24</v>
      </c>
      <c r="E57">
        <v>0</v>
      </c>
      <c r="F57">
        <v>0</v>
      </c>
      <c r="G57">
        <v>0</v>
      </c>
      <c r="H57">
        <v>6.2229999999999999</v>
      </c>
      <c r="I57">
        <v>2.649</v>
      </c>
      <c r="J57">
        <v>4.3929999999999998</v>
      </c>
      <c r="K57">
        <v>1.2709999999999999</v>
      </c>
      <c r="L57">
        <v>1.085</v>
      </c>
      <c r="M57">
        <v>2.778</v>
      </c>
      <c r="N57">
        <v>4.6079999999999997</v>
      </c>
      <c r="O57">
        <v>4.6970000000000001</v>
      </c>
      <c r="P57">
        <v>3.218</v>
      </c>
      <c r="Q57">
        <v>24.195</v>
      </c>
    </row>
    <row r="58" spans="1:18" x14ac:dyDescent="0.2">
      <c r="A58" t="s">
        <v>36</v>
      </c>
      <c r="B58" t="s">
        <v>49</v>
      </c>
      <c r="C58" t="s">
        <v>50</v>
      </c>
      <c r="D58" t="s">
        <v>21</v>
      </c>
      <c r="E58">
        <v>0</v>
      </c>
      <c r="F58">
        <v>0</v>
      </c>
      <c r="G58">
        <v>0</v>
      </c>
      <c r="H58">
        <v>4.9800000000000004</v>
      </c>
      <c r="I58">
        <v>2.177</v>
      </c>
      <c r="J58">
        <v>3.722</v>
      </c>
      <c r="K58">
        <v>0.69699999999999995</v>
      </c>
      <c r="L58">
        <v>0.48199999999999998</v>
      </c>
      <c r="M58">
        <v>2.5249999999999999</v>
      </c>
      <c r="N58">
        <v>4.5990000000000002</v>
      </c>
      <c r="O58">
        <v>4.1239999999999997</v>
      </c>
      <c r="P58">
        <v>3.1230000000000002</v>
      </c>
      <c r="Q58">
        <v>20.695</v>
      </c>
    </row>
    <row r="59" spans="1:18" x14ac:dyDescent="0.2">
      <c r="A59" t="s">
        <v>36</v>
      </c>
      <c r="B59" t="s">
        <v>51</v>
      </c>
      <c r="C59" t="s">
        <v>52</v>
      </c>
      <c r="E59">
        <v>0</v>
      </c>
      <c r="F59">
        <v>0</v>
      </c>
      <c r="G59">
        <v>0</v>
      </c>
      <c r="H59">
        <v>3.7759999999999998</v>
      </c>
      <c r="I59">
        <v>1.5669999999999999</v>
      </c>
      <c r="J59">
        <v>4.68</v>
      </c>
      <c r="K59">
        <v>1.3140000000000001</v>
      </c>
      <c r="L59">
        <v>1.2330000000000001</v>
      </c>
      <c r="M59">
        <v>2.4910000000000001</v>
      </c>
      <c r="N59">
        <v>4.9189999999999996</v>
      </c>
      <c r="O59">
        <v>4.8150000000000004</v>
      </c>
      <c r="P59">
        <v>2.4729999999999999</v>
      </c>
      <c r="Q59">
        <v>15.706</v>
      </c>
    </row>
    <row r="60" spans="1:18" x14ac:dyDescent="0.2">
      <c r="A60" t="s">
        <v>36</v>
      </c>
      <c r="B60" t="s">
        <v>51</v>
      </c>
      <c r="C60" t="s">
        <v>52</v>
      </c>
      <c r="E60">
        <v>0</v>
      </c>
      <c r="F60">
        <v>0</v>
      </c>
      <c r="G60">
        <v>0</v>
      </c>
      <c r="H60">
        <v>3.8780000000000001</v>
      </c>
      <c r="I60">
        <v>1.2150000000000001</v>
      </c>
      <c r="J60">
        <v>4.6360000000000001</v>
      </c>
      <c r="K60">
        <v>1.087</v>
      </c>
      <c r="L60">
        <v>0.80800000000000005</v>
      </c>
      <c r="M60">
        <v>2.5630000000000002</v>
      </c>
      <c r="N60">
        <v>5.0410000000000004</v>
      </c>
      <c r="O60">
        <v>4.2789999999999999</v>
      </c>
      <c r="P60">
        <v>6.4939999999999998</v>
      </c>
      <c r="Q60">
        <v>19.3</v>
      </c>
    </row>
    <row r="61" spans="1:18" x14ac:dyDescent="0.2">
      <c r="A61" t="s">
        <v>36</v>
      </c>
      <c r="B61" t="s">
        <v>51</v>
      </c>
      <c r="C61" t="s">
        <v>52</v>
      </c>
      <c r="E61">
        <v>0</v>
      </c>
      <c r="F61">
        <v>0</v>
      </c>
      <c r="G61">
        <v>0</v>
      </c>
      <c r="H61">
        <v>3.746</v>
      </c>
      <c r="I61">
        <v>1.4570000000000001</v>
      </c>
      <c r="J61">
        <v>4.9660000000000002</v>
      </c>
      <c r="K61">
        <v>1.7070000000000001</v>
      </c>
      <c r="L61">
        <v>1.6180000000000001</v>
      </c>
      <c r="M61">
        <v>2.859</v>
      </c>
      <c r="N61">
        <v>4.9409999999999998</v>
      </c>
      <c r="O61">
        <v>4.9610000000000003</v>
      </c>
      <c r="P61">
        <v>3.492</v>
      </c>
      <c r="Q61">
        <v>15.236000000000001</v>
      </c>
    </row>
    <row r="62" spans="1:18" x14ac:dyDescent="0.2">
      <c r="A62" t="s">
        <v>36</v>
      </c>
      <c r="B62" t="s">
        <v>53</v>
      </c>
      <c r="C62" t="s">
        <v>54</v>
      </c>
      <c r="D62" t="s">
        <v>21</v>
      </c>
      <c r="E62">
        <v>0</v>
      </c>
      <c r="F62">
        <v>0</v>
      </c>
      <c r="G62">
        <v>0</v>
      </c>
      <c r="H62">
        <v>10.263999999999999</v>
      </c>
      <c r="I62">
        <v>4.327</v>
      </c>
      <c r="J62">
        <v>3.4039999999999999</v>
      </c>
      <c r="K62">
        <v>1.1759999999999999</v>
      </c>
      <c r="L62">
        <v>1.105</v>
      </c>
      <c r="M62">
        <v>1.7450000000000001</v>
      </c>
      <c r="N62">
        <v>4.7569999999999997</v>
      </c>
      <c r="P62">
        <v>3.593</v>
      </c>
      <c r="Q62">
        <v>21.428999999999998</v>
      </c>
      <c r="R62">
        <v>611.54600000000005</v>
      </c>
    </row>
    <row r="63" spans="1:18" x14ac:dyDescent="0.2">
      <c r="A63" t="s">
        <v>36</v>
      </c>
      <c r="B63" t="s">
        <v>53</v>
      </c>
      <c r="C63" t="s">
        <v>54</v>
      </c>
      <c r="E63">
        <v>0</v>
      </c>
      <c r="F63">
        <v>0</v>
      </c>
      <c r="G63">
        <v>0</v>
      </c>
      <c r="H63">
        <v>9.1129999999999995</v>
      </c>
      <c r="I63">
        <v>3.8319999999999999</v>
      </c>
      <c r="J63">
        <v>3.54</v>
      </c>
      <c r="K63">
        <v>1.609</v>
      </c>
      <c r="L63">
        <v>1.476</v>
      </c>
      <c r="M63">
        <v>1.4490000000000001</v>
      </c>
      <c r="N63">
        <v>4.2910000000000004</v>
      </c>
      <c r="O63">
        <v>3.8140000000000001</v>
      </c>
      <c r="P63">
        <v>2.4820000000000002</v>
      </c>
      <c r="Q63">
        <v>16.744</v>
      </c>
      <c r="R63">
        <v>655.952</v>
      </c>
    </row>
    <row r="64" spans="1:18" x14ac:dyDescent="0.2">
      <c r="A64" t="s">
        <v>36</v>
      </c>
      <c r="B64" t="s">
        <v>53</v>
      </c>
      <c r="C64" t="s">
        <v>54</v>
      </c>
      <c r="E64">
        <v>0</v>
      </c>
      <c r="F64">
        <v>0</v>
      </c>
      <c r="G64">
        <v>0</v>
      </c>
      <c r="H64">
        <v>10.68</v>
      </c>
      <c r="I64">
        <v>6.49</v>
      </c>
      <c r="J64">
        <v>4.0190000000000001</v>
      </c>
      <c r="K64">
        <v>0.96</v>
      </c>
      <c r="L64">
        <v>0.91600000000000004</v>
      </c>
      <c r="M64">
        <v>3.5640000000000001</v>
      </c>
      <c r="N64">
        <v>4.1959999999999997</v>
      </c>
      <c r="O64">
        <v>3.8759999999999999</v>
      </c>
      <c r="P64">
        <v>3.8050000000000002</v>
      </c>
      <c r="Q64">
        <v>13.739000000000001</v>
      </c>
      <c r="R64">
        <v>696.42700000000002</v>
      </c>
    </row>
    <row r="65" spans="1:18" x14ac:dyDescent="0.2">
      <c r="A65" t="s">
        <v>36</v>
      </c>
      <c r="B65" t="s">
        <v>55</v>
      </c>
      <c r="C65" t="s">
        <v>54</v>
      </c>
      <c r="D65" t="s">
        <v>24</v>
      </c>
      <c r="E65">
        <v>0</v>
      </c>
      <c r="F65">
        <v>0</v>
      </c>
      <c r="G65">
        <v>0</v>
      </c>
      <c r="H65">
        <v>7.423</v>
      </c>
      <c r="I65">
        <v>2.5110000000000001</v>
      </c>
      <c r="J65">
        <v>4.3499999999999996</v>
      </c>
      <c r="K65">
        <v>1.7789999999999999</v>
      </c>
      <c r="L65">
        <v>1.7450000000000001</v>
      </c>
      <c r="M65">
        <v>2.6749999999999998</v>
      </c>
      <c r="N65">
        <v>3.2160000000000002</v>
      </c>
      <c r="O65">
        <v>3.29</v>
      </c>
      <c r="P65">
        <v>2.6640000000000001</v>
      </c>
      <c r="Q65">
        <v>18.071999999999999</v>
      </c>
      <c r="R65">
        <v>709.48199999999997</v>
      </c>
    </row>
    <row r="66" spans="1:18" x14ac:dyDescent="0.2">
      <c r="A66" t="s">
        <v>36</v>
      </c>
      <c r="B66" t="s">
        <v>55</v>
      </c>
      <c r="C66" t="s">
        <v>54</v>
      </c>
      <c r="E66">
        <v>0</v>
      </c>
      <c r="F66">
        <v>0</v>
      </c>
      <c r="G66">
        <v>0</v>
      </c>
      <c r="H66">
        <v>5.944</v>
      </c>
      <c r="I66">
        <v>1.613</v>
      </c>
      <c r="J66">
        <v>4.7300000000000004</v>
      </c>
      <c r="K66">
        <v>1.611</v>
      </c>
      <c r="L66">
        <v>1.399</v>
      </c>
      <c r="M66">
        <v>2.806</v>
      </c>
      <c r="N66">
        <v>2.9449999999999998</v>
      </c>
      <c r="O66">
        <v>4.7119999999999997</v>
      </c>
      <c r="P66">
        <v>2.5110000000000001</v>
      </c>
      <c r="Q66">
        <v>32.643000000000001</v>
      </c>
    </row>
    <row r="67" spans="1:18" x14ac:dyDescent="0.2">
      <c r="A67" t="s">
        <v>36</v>
      </c>
      <c r="B67" t="s">
        <v>55</v>
      </c>
      <c r="C67" t="s">
        <v>54</v>
      </c>
      <c r="E67">
        <v>0</v>
      </c>
      <c r="F67">
        <v>0</v>
      </c>
      <c r="G67">
        <v>0</v>
      </c>
      <c r="H67">
        <v>7.2510000000000003</v>
      </c>
      <c r="I67">
        <v>1.913</v>
      </c>
      <c r="Q67">
        <v>12.417</v>
      </c>
    </row>
    <row r="68" spans="1:18" x14ac:dyDescent="0.2">
      <c r="A68" t="s">
        <v>36</v>
      </c>
      <c r="B68" t="s">
        <v>56</v>
      </c>
      <c r="C68" t="s">
        <v>38</v>
      </c>
      <c r="D68" t="s">
        <v>21</v>
      </c>
      <c r="E68">
        <v>0</v>
      </c>
      <c r="F68">
        <v>0</v>
      </c>
      <c r="G68">
        <v>0</v>
      </c>
      <c r="H68">
        <v>5.524</v>
      </c>
      <c r="I68">
        <v>2.5750000000000002</v>
      </c>
      <c r="J68">
        <v>3.411</v>
      </c>
      <c r="K68">
        <v>0.42299999999999999</v>
      </c>
      <c r="L68">
        <v>0.38600000000000001</v>
      </c>
      <c r="M68">
        <v>2.605</v>
      </c>
      <c r="N68">
        <v>2.6850000000000001</v>
      </c>
      <c r="O68">
        <v>2.1269999999999998</v>
      </c>
      <c r="P68">
        <v>5.625</v>
      </c>
      <c r="Q68">
        <v>13.702999999999999</v>
      </c>
      <c r="R68">
        <v>662.31899999999996</v>
      </c>
    </row>
    <row r="69" spans="1:18" x14ac:dyDescent="0.2">
      <c r="A69" t="s">
        <v>36</v>
      </c>
      <c r="B69" t="s">
        <v>56</v>
      </c>
      <c r="C69" t="s">
        <v>38</v>
      </c>
      <c r="D69" t="s">
        <v>21</v>
      </c>
      <c r="E69">
        <v>0</v>
      </c>
      <c r="F69">
        <v>0</v>
      </c>
      <c r="G69">
        <v>0</v>
      </c>
      <c r="H69">
        <v>3.6080000000000001</v>
      </c>
      <c r="I69">
        <v>1.196</v>
      </c>
      <c r="J69">
        <v>2.911</v>
      </c>
      <c r="K69">
        <v>0.88900000000000001</v>
      </c>
      <c r="L69">
        <v>0.88300000000000001</v>
      </c>
      <c r="M69">
        <v>2.3959999999999999</v>
      </c>
      <c r="N69">
        <v>3.4630000000000001</v>
      </c>
      <c r="O69">
        <v>2.8519999999999999</v>
      </c>
      <c r="P69">
        <v>5.3890000000000002</v>
      </c>
      <c r="Q69">
        <v>20.375</v>
      </c>
      <c r="R69">
        <v>581.94899999999996</v>
      </c>
    </row>
    <row r="70" spans="1:18" x14ac:dyDescent="0.2">
      <c r="A70" t="s">
        <v>36</v>
      </c>
      <c r="B70" t="s">
        <v>56</v>
      </c>
      <c r="C70" t="s">
        <v>38</v>
      </c>
      <c r="E70">
        <v>0</v>
      </c>
      <c r="F70">
        <v>0</v>
      </c>
      <c r="G70">
        <v>0</v>
      </c>
      <c r="H70">
        <v>4.9320000000000004</v>
      </c>
      <c r="I70">
        <v>1.4930000000000001</v>
      </c>
      <c r="J70">
        <v>2.96</v>
      </c>
      <c r="K70">
        <v>0.89800000000000002</v>
      </c>
      <c r="L70">
        <v>0.629</v>
      </c>
      <c r="M70">
        <v>2.238</v>
      </c>
      <c r="N70">
        <v>4.2969999999999997</v>
      </c>
      <c r="O70">
        <v>3.327</v>
      </c>
      <c r="P70">
        <v>3.17</v>
      </c>
      <c r="Q70">
        <v>12.349</v>
      </c>
    </row>
    <row r="71" spans="1:18" x14ac:dyDescent="0.2">
      <c r="A71" t="s">
        <v>36</v>
      </c>
      <c r="B71" t="s">
        <v>57</v>
      </c>
      <c r="C71" t="s">
        <v>38</v>
      </c>
      <c r="D71" t="s">
        <v>39</v>
      </c>
      <c r="E71">
        <v>0</v>
      </c>
      <c r="F71">
        <v>0</v>
      </c>
      <c r="G71">
        <v>0</v>
      </c>
      <c r="H71">
        <v>5.5949999999999998</v>
      </c>
      <c r="I71">
        <v>1.5229999999999999</v>
      </c>
      <c r="J71">
        <v>3.6030000000000002</v>
      </c>
      <c r="K71">
        <v>1.907</v>
      </c>
      <c r="L71">
        <v>1.905</v>
      </c>
      <c r="M71">
        <v>1.454</v>
      </c>
      <c r="N71">
        <v>3.7080000000000002</v>
      </c>
      <c r="O71">
        <v>3.4489999999999998</v>
      </c>
      <c r="P71">
        <v>2.1989999999999998</v>
      </c>
      <c r="Q71">
        <v>26.12</v>
      </c>
      <c r="R71">
        <v>792.803</v>
      </c>
    </row>
    <row r="72" spans="1:18" x14ac:dyDescent="0.2">
      <c r="A72" t="s">
        <v>36</v>
      </c>
      <c r="B72" t="s">
        <v>57</v>
      </c>
      <c r="C72" t="s">
        <v>38</v>
      </c>
      <c r="D72" t="s">
        <v>39</v>
      </c>
      <c r="E72">
        <v>0</v>
      </c>
      <c r="F72">
        <v>0</v>
      </c>
      <c r="G72">
        <v>0</v>
      </c>
      <c r="H72">
        <v>6.6230000000000002</v>
      </c>
      <c r="I72">
        <v>2.4950000000000001</v>
      </c>
      <c r="J72">
        <v>3.3420000000000001</v>
      </c>
      <c r="K72">
        <v>1.179</v>
      </c>
      <c r="L72">
        <v>0.95399999999999996</v>
      </c>
      <c r="M72">
        <v>2.4900000000000002</v>
      </c>
      <c r="N72">
        <v>4.032</v>
      </c>
      <c r="P72">
        <v>4.2030000000000003</v>
      </c>
      <c r="Q72">
        <v>15.401999999999999</v>
      </c>
    </row>
    <row r="73" spans="1:18" x14ac:dyDescent="0.2">
      <c r="A73" t="s">
        <v>36</v>
      </c>
      <c r="B73" t="s">
        <v>57</v>
      </c>
      <c r="C73" t="s">
        <v>38</v>
      </c>
      <c r="D73" t="s">
        <v>25</v>
      </c>
      <c r="E73">
        <v>0</v>
      </c>
      <c r="F73">
        <v>0</v>
      </c>
      <c r="G73">
        <v>0</v>
      </c>
      <c r="H73">
        <v>4.38</v>
      </c>
      <c r="I73">
        <v>1.325</v>
      </c>
      <c r="N73">
        <v>3.9380000000000002</v>
      </c>
      <c r="P73">
        <v>3.3959999999999999</v>
      </c>
      <c r="Q73">
        <v>13.666</v>
      </c>
    </row>
    <row r="74" spans="1:18" x14ac:dyDescent="0.2">
      <c r="A74" t="s">
        <v>36</v>
      </c>
      <c r="B74" t="s">
        <v>58</v>
      </c>
      <c r="C74" t="s">
        <v>38</v>
      </c>
      <c r="D74" t="s">
        <v>21</v>
      </c>
      <c r="E74">
        <v>0</v>
      </c>
      <c r="F74">
        <v>0</v>
      </c>
      <c r="G74">
        <v>0</v>
      </c>
      <c r="H74">
        <v>7.8369999999999997</v>
      </c>
      <c r="I74">
        <v>4.2949999999999999</v>
      </c>
      <c r="J74">
        <v>4.1970000000000001</v>
      </c>
      <c r="M74">
        <v>1.2729999999999999</v>
      </c>
      <c r="N74">
        <v>3.177</v>
      </c>
      <c r="O74">
        <v>4.2709999999999999</v>
      </c>
      <c r="P74">
        <v>3.6859999999999999</v>
      </c>
      <c r="Q74">
        <v>10.39</v>
      </c>
    </row>
    <row r="75" spans="1:18" x14ac:dyDescent="0.2">
      <c r="A75" t="s">
        <v>36</v>
      </c>
      <c r="B75" t="s">
        <v>58</v>
      </c>
      <c r="C75" t="s">
        <v>38</v>
      </c>
      <c r="D75" t="s">
        <v>21</v>
      </c>
      <c r="E75">
        <v>0</v>
      </c>
      <c r="F75">
        <v>0</v>
      </c>
      <c r="G75">
        <v>0</v>
      </c>
      <c r="H75">
        <v>5.8940000000000001</v>
      </c>
      <c r="I75">
        <v>3.6829999999999998</v>
      </c>
      <c r="J75">
        <v>4.8840000000000003</v>
      </c>
      <c r="K75">
        <v>1.4139999999999999</v>
      </c>
      <c r="L75">
        <v>1.1759999999999999</v>
      </c>
      <c r="M75">
        <v>2.5310000000000001</v>
      </c>
      <c r="N75">
        <v>4.1109999999999998</v>
      </c>
      <c r="O75">
        <v>3.9990000000000001</v>
      </c>
      <c r="P75">
        <v>6.633</v>
      </c>
      <c r="Q75">
        <v>10.686999999999999</v>
      </c>
    </row>
    <row r="76" spans="1:18" x14ac:dyDescent="0.2">
      <c r="A76" t="s">
        <v>36</v>
      </c>
      <c r="B76" t="s">
        <v>58</v>
      </c>
      <c r="C76" t="s">
        <v>38</v>
      </c>
      <c r="D76" t="s">
        <v>21</v>
      </c>
      <c r="E76">
        <v>0</v>
      </c>
      <c r="F76">
        <v>0</v>
      </c>
      <c r="G76">
        <v>0</v>
      </c>
      <c r="H76">
        <v>4.2770000000000001</v>
      </c>
      <c r="I76">
        <v>1.302</v>
      </c>
      <c r="J76">
        <v>4.3499999999999996</v>
      </c>
      <c r="K76">
        <v>1.845</v>
      </c>
      <c r="L76">
        <v>1.661</v>
      </c>
      <c r="M76">
        <v>2.7320000000000002</v>
      </c>
      <c r="N76">
        <v>3.9860000000000002</v>
      </c>
      <c r="O76">
        <v>4.2279999999999998</v>
      </c>
      <c r="P76">
        <v>4.4640000000000004</v>
      </c>
      <c r="Q76">
        <v>5.7110000000000003</v>
      </c>
      <c r="R76">
        <v>478.97</v>
      </c>
    </row>
    <row r="77" spans="1:18" x14ac:dyDescent="0.2">
      <c r="A77" t="s">
        <v>36</v>
      </c>
      <c r="B77" t="s">
        <v>59</v>
      </c>
      <c r="C77" t="s">
        <v>60</v>
      </c>
      <c r="D77" t="s">
        <v>21</v>
      </c>
      <c r="E77">
        <v>0</v>
      </c>
      <c r="F77">
        <v>0</v>
      </c>
      <c r="G77">
        <v>0</v>
      </c>
      <c r="H77">
        <v>5.585</v>
      </c>
      <c r="I77">
        <v>3.0939999999999999</v>
      </c>
      <c r="J77">
        <v>4.077</v>
      </c>
      <c r="K77">
        <v>1.2949999999999999</v>
      </c>
      <c r="L77">
        <v>1.0469999999999999</v>
      </c>
      <c r="M77">
        <v>2.2200000000000002</v>
      </c>
      <c r="N77">
        <v>3.7810000000000001</v>
      </c>
      <c r="O77">
        <v>4.6390000000000002</v>
      </c>
      <c r="P77">
        <v>6.68</v>
      </c>
      <c r="Q77">
        <v>8.9480000000000004</v>
      </c>
    </row>
    <row r="78" spans="1:18" x14ac:dyDescent="0.2">
      <c r="A78" t="s">
        <v>36</v>
      </c>
      <c r="B78" t="s">
        <v>59</v>
      </c>
      <c r="C78" t="s">
        <v>60</v>
      </c>
      <c r="D78" t="s">
        <v>21</v>
      </c>
      <c r="E78">
        <v>0</v>
      </c>
      <c r="F78">
        <v>0</v>
      </c>
      <c r="G78">
        <v>0</v>
      </c>
      <c r="H78">
        <v>6.8769999999999998</v>
      </c>
      <c r="I78">
        <v>3.18</v>
      </c>
      <c r="J78">
        <v>4.5990000000000002</v>
      </c>
      <c r="K78">
        <v>2.3090000000000002</v>
      </c>
      <c r="L78">
        <v>1.663</v>
      </c>
      <c r="M78">
        <v>1.492</v>
      </c>
      <c r="N78">
        <v>3.7959999999999998</v>
      </c>
      <c r="O78">
        <v>2.391</v>
      </c>
      <c r="P78">
        <v>5.4109999999999996</v>
      </c>
      <c r="Q78">
        <v>7.7619999999999996</v>
      </c>
    </row>
    <row r="79" spans="1:18" x14ac:dyDescent="0.2">
      <c r="A79" t="s">
        <v>36</v>
      </c>
      <c r="B79" t="s">
        <v>59</v>
      </c>
      <c r="C79" t="s">
        <v>60</v>
      </c>
      <c r="D79" t="s">
        <v>21</v>
      </c>
      <c r="E79">
        <v>0</v>
      </c>
      <c r="F79">
        <v>0</v>
      </c>
      <c r="G79">
        <v>0</v>
      </c>
      <c r="H79">
        <v>6.93</v>
      </c>
      <c r="I79">
        <v>2.923</v>
      </c>
      <c r="J79">
        <v>3.7719999999999998</v>
      </c>
      <c r="K79">
        <v>1.583</v>
      </c>
      <c r="L79">
        <v>1.4259999999999999</v>
      </c>
      <c r="M79">
        <v>1.522</v>
      </c>
      <c r="N79">
        <v>3.3820000000000001</v>
      </c>
      <c r="P79">
        <v>4.6139999999999999</v>
      </c>
      <c r="Q79">
        <v>9.5039999999999996</v>
      </c>
      <c r="R79">
        <v>586.10400000000004</v>
      </c>
    </row>
    <row r="80" spans="1:18" x14ac:dyDescent="0.2">
      <c r="A80" t="s">
        <v>36</v>
      </c>
      <c r="B80" t="s">
        <v>61</v>
      </c>
      <c r="C80" t="s">
        <v>60</v>
      </c>
      <c r="D80" t="s">
        <v>21</v>
      </c>
      <c r="E80">
        <v>0</v>
      </c>
      <c r="F80">
        <v>0</v>
      </c>
      <c r="G80">
        <v>0</v>
      </c>
      <c r="H80">
        <v>3.641</v>
      </c>
      <c r="I80">
        <v>1.4630000000000001</v>
      </c>
      <c r="J80">
        <v>4.1130000000000004</v>
      </c>
      <c r="K80">
        <v>1.079</v>
      </c>
      <c r="L80">
        <v>0.83699999999999997</v>
      </c>
      <c r="M80">
        <v>2.4260000000000002</v>
      </c>
      <c r="N80">
        <v>3.5110000000000001</v>
      </c>
      <c r="O80">
        <v>5.2480000000000002</v>
      </c>
      <c r="P80">
        <v>5.5609999999999999</v>
      </c>
      <c r="Q80">
        <v>11.414999999999999</v>
      </c>
      <c r="R80">
        <v>621.04100000000005</v>
      </c>
    </row>
    <row r="81" spans="1:18" x14ac:dyDescent="0.2">
      <c r="A81" t="s">
        <v>36</v>
      </c>
      <c r="B81" t="s">
        <v>61</v>
      </c>
      <c r="C81" t="s">
        <v>60</v>
      </c>
      <c r="D81" t="s">
        <v>21</v>
      </c>
      <c r="E81">
        <v>0</v>
      </c>
      <c r="F81">
        <v>0</v>
      </c>
      <c r="G81">
        <v>0</v>
      </c>
      <c r="H81">
        <v>5.4320000000000004</v>
      </c>
      <c r="I81">
        <v>2.6629999999999998</v>
      </c>
      <c r="J81">
        <v>4.2549999999999999</v>
      </c>
      <c r="K81">
        <v>1.585</v>
      </c>
      <c r="L81">
        <v>1.2509999999999999</v>
      </c>
      <c r="M81">
        <v>2.6589999999999998</v>
      </c>
      <c r="N81">
        <v>5.5010000000000003</v>
      </c>
      <c r="O81">
        <v>4.7329999999999997</v>
      </c>
      <c r="P81" t="s">
        <v>62</v>
      </c>
      <c r="Q81">
        <v>11.282</v>
      </c>
    </row>
    <row r="82" spans="1:18" x14ac:dyDescent="0.2">
      <c r="A82" t="s">
        <v>36</v>
      </c>
      <c r="B82" t="s">
        <v>61</v>
      </c>
      <c r="C82" t="s">
        <v>60</v>
      </c>
      <c r="D82" t="s">
        <v>21</v>
      </c>
      <c r="E82">
        <v>0</v>
      </c>
      <c r="F82">
        <v>0</v>
      </c>
      <c r="G82">
        <v>0</v>
      </c>
      <c r="J82">
        <v>3.9609999999999999</v>
      </c>
      <c r="K82">
        <v>1.6419999999999999</v>
      </c>
      <c r="L82">
        <v>0.91900000000000004</v>
      </c>
      <c r="M82">
        <v>1.96</v>
      </c>
      <c r="N82">
        <v>4.0129999999999999</v>
      </c>
      <c r="O82">
        <v>3.552</v>
      </c>
      <c r="P82">
        <v>3.0619999999999998</v>
      </c>
      <c r="Q82">
        <v>10.647</v>
      </c>
    </row>
    <row r="83" spans="1:18" x14ac:dyDescent="0.2">
      <c r="A83" t="s">
        <v>36</v>
      </c>
      <c r="B83" t="s">
        <v>63</v>
      </c>
      <c r="C83" t="s">
        <v>64</v>
      </c>
      <c r="D83" t="s">
        <v>21</v>
      </c>
      <c r="E83">
        <v>0</v>
      </c>
      <c r="F83">
        <v>0</v>
      </c>
      <c r="G83">
        <v>0</v>
      </c>
      <c r="H83">
        <v>4.1059999999999999</v>
      </c>
      <c r="I83">
        <v>1.405</v>
      </c>
      <c r="J83">
        <v>3.4169999999999998</v>
      </c>
      <c r="M83">
        <v>2.952</v>
      </c>
      <c r="N83">
        <v>3.8130000000000002</v>
      </c>
      <c r="O83">
        <v>3.5009999999999999</v>
      </c>
      <c r="P83">
        <v>3.41</v>
      </c>
      <c r="Q83">
        <v>13.284000000000001</v>
      </c>
      <c r="R83">
        <v>702.21600000000001</v>
      </c>
    </row>
    <row r="84" spans="1:18" x14ac:dyDescent="0.2">
      <c r="A84" t="s">
        <v>36</v>
      </c>
      <c r="B84" t="s">
        <v>63</v>
      </c>
      <c r="C84" t="s">
        <v>64</v>
      </c>
      <c r="D84" t="s">
        <v>24</v>
      </c>
      <c r="E84">
        <v>0</v>
      </c>
      <c r="F84">
        <v>0</v>
      </c>
      <c r="G84">
        <v>0</v>
      </c>
      <c r="H84">
        <v>5.2519999999999998</v>
      </c>
      <c r="I84">
        <v>2.3620000000000001</v>
      </c>
    </row>
    <row r="85" spans="1:18" x14ac:dyDescent="0.2">
      <c r="A85" t="s">
        <v>36</v>
      </c>
      <c r="B85" t="s">
        <v>63</v>
      </c>
      <c r="C85" t="s">
        <v>64</v>
      </c>
      <c r="D85" t="s">
        <v>24</v>
      </c>
      <c r="E85">
        <v>0</v>
      </c>
      <c r="F85">
        <v>0</v>
      </c>
      <c r="G85">
        <v>0</v>
      </c>
      <c r="H85">
        <v>3.008</v>
      </c>
      <c r="I85">
        <v>1.0529999999999999</v>
      </c>
    </row>
    <row r="86" spans="1:18" x14ac:dyDescent="0.2">
      <c r="A86" t="s">
        <v>36</v>
      </c>
      <c r="B86" t="s">
        <v>65</v>
      </c>
      <c r="C86" t="s">
        <v>50</v>
      </c>
      <c r="D86" t="s">
        <v>21</v>
      </c>
      <c r="E86">
        <v>0</v>
      </c>
      <c r="F86">
        <v>0</v>
      </c>
      <c r="G86">
        <v>0</v>
      </c>
      <c r="H86">
        <v>7.4390000000000001</v>
      </c>
      <c r="I86">
        <v>3.4060000000000001</v>
      </c>
      <c r="J86">
        <v>3.4870000000000001</v>
      </c>
      <c r="K86">
        <v>1.0549999999999999</v>
      </c>
      <c r="L86">
        <v>0.82099999999999995</v>
      </c>
      <c r="M86">
        <v>2.1589999999999998</v>
      </c>
      <c r="N86">
        <v>4.069</v>
      </c>
      <c r="O86">
        <v>3.4689999999999999</v>
      </c>
      <c r="P86">
        <v>2.3660000000000001</v>
      </c>
      <c r="Q86">
        <v>23.082999999999998</v>
      </c>
      <c r="R86">
        <v>401.69799999999998</v>
      </c>
    </row>
    <row r="87" spans="1:18" x14ac:dyDescent="0.2">
      <c r="A87" t="s">
        <v>36</v>
      </c>
      <c r="B87" t="s">
        <v>65</v>
      </c>
      <c r="C87" t="s">
        <v>50</v>
      </c>
      <c r="D87" t="s">
        <v>24</v>
      </c>
      <c r="E87">
        <v>0</v>
      </c>
      <c r="F87">
        <v>0</v>
      </c>
      <c r="G87">
        <v>0</v>
      </c>
      <c r="H87">
        <v>6.593</v>
      </c>
      <c r="I87">
        <v>2.2210000000000001</v>
      </c>
      <c r="J87">
        <v>2.7930000000000001</v>
      </c>
      <c r="K87">
        <v>0.84</v>
      </c>
      <c r="L87">
        <v>0.80400000000000005</v>
      </c>
      <c r="M87">
        <v>2.4329999999999998</v>
      </c>
      <c r="N87">
        <v>3.7709999999999999</v>
      </c>
      <c r="O87">
        <v>4.157</v>
      </c>
      <c r="P87">
        <v>2.6070000000000002</v>
      </c>
      <c r="Q87">
        <v>13.64</v>
      </c>
      <c r="R87">
        <v>861.70899999999995</v>
      </c>
    </row>
    <row r="88" spans="1:18" x14ac:dyDescent="0.2">
      <c r="A88" t="s">
        <v>36</v>
      </c>
      <c r="B88" t="s">
        <v>65</v>
      </c>
      <c r="C88" t="s">
        <v>50</v>
      </c>
      <c r="D88" t="s">
        <v>21</v>
      </c>
      <c r="E88">
        <v>0</v>
      </c>
      <c r="F88">
        <v>0</v>
      </c>
      <c r="G88">
        <v>0</v>
      </c>
      <c r="H88">
        <v>3.2069999999999999</v>
      </c>
      <c r="I88">
        <v>2.1389999999999998</v>
      </c>
      <c r="J88">
        <v>2.593</v>
      </c>
      <c r="K88">
        <v>0.99299999999999999</v>
      </c>
      <c r="L88">
        <v>0.88600000000000001</v>
      </c>
      <c r="M88">
        <v>1.524</v>
      </c>
      <c r="N88">
        <v>4.5149999999999997</v>
      </c>
      <c r="O88">
        <v>3.548</v>
      </c>
      <c r="P88">
        <v>2.4</v>
      </c>
      <c r="Q88">
        <v>12.63</v>
      </c>
      <c r="R88">
        <v>847.38099999999997</v>
      </c>
    </row>
    <row r="89" spans="1:18" x14ac:dyDescent="0.2">
      <c r="A89" t="s">
        <v>36</v>
      </c>
      <c r="B89" t="s">
        <v>66</v>
      </c>
      <c r="C89" t="s">
        <v>50</v>
      </c>
      <c r="D89" t="s">
        <v>21</v>
      </c>
      <c r="E89">
        <v>0</v>
      </c>
      <c r="F89">
        <v>0</v>
      </c>
      <c r="G89">
        <v>0</v>
      </c>
      <c r="J89">
        <v>3.7919999999999998</v>
      </c>
      <c r="K89">
        <v>1.593</v>
      </c>
      <c r="L89">
        <v>1.3080000000000001</v>
      </c>
      <c r="M89">
        <v>1.974</v>
      </c>
      <c r="N89">
        <v>3.4209999999999998</v>
      </c>
      <c r="O89">
        <v>3.1120000000000001</v>
      </c>
      <c r="P89">
        <v>3.6760000000000002</v>
      </c>
      <c r="Q89">
        <v>11.606</v>
      </c>
    </row>
    <row r="90" spans="1:18" x14ac:dyDescent="0.2">
      <c r="A90" t="s">
        <v>36</v>
      </c>
      <c r="B90" t="s">
        <v>66</v>
      </c>
      <c r="C90" t="s">
        <v>50</v>
      </c>
      <c r="D90" t="s">
        <v>21</v>
      </c>
      <c r="E90">
        <v>0</v>
      </c>
      <c r="F90">
        <v>0</v>
      </c>
      <c r="G90">
        <v>0</v>
      </c>
      <c r="J90">
        <v>3.01</v>
      </c>
      <c r="K90">
        <v>0.72699999999999998</v>
      </c>
      <c r="L90">
        <v>0.71199999999999997</v>
      </c>
      <c r="M90">
        <v>2.492</v>
      </c>
      <c r="N90">
        <v>3.2549999999999999</v>
      </c>
      <c r="O90">
        <v>4.6130000000000004</v>
      </c>
      <c r="P90">
        <v>2.681</v>
      </c>
      <c r="Q90">
        <v>11.928000000000001</v>
      </c>
    </row>
    <row r="91" spans="1:18" x14ac:dyDescent="0.2">
      <c r="A91" t="s">
        <v>36</v>
      </c>
      <c r="B91" t="s">
        <v>66</v>
      </c>
      <c r="C91" t="s">
        <v>50</v>
      </c>
      <c r="D91" t="s">
        <v>24</v>
      </c>
      <c r="E91">
        <v>0</v>
      </c>
      <c r="F91">
        <v>0</v>
      </c>
      <c r="G91">
        <v>0</v>
      </c>
      <c r="J91">
        <v>2.992</v>
      </c>
      <c r="K91">
        <v>1.375</v>
      </c>
      <c r="L91">
        <v>1.1919999999999999</v>
      </c>
      <c r="M91">
        <v>1.43</v>
      </c>
      <c r="N91">
        <v>2.8820000000000001</v>
      </c>
      <c r="O91">
        <v>5.83</v>
      </c>
      <c r="P91">
        <v>4.1589999999999998</v>
      </c>
      <c r="Q91">
        <v>12.566000000000001</v>
      </c>
      <c r="R91">
        <v>870.55700000000002</v>
      </c>
    </row>
    <row r="92" spans="1:18" x14ac:dyDescent="0.2">
      <c r="A92" t="s">
        <v>36</v>
      </c>
      <c r="B92" t="s">
        <v>67</v>
      </c>
      <c r="C92" t="s">
        <v>50</v>
      </c>
      <c r="D92" t="s">
        <v>21</v>
      </c>
      <c r="E92">
        <v>0</v>
      </c>
      <c r="F92">
        <v>0</v>
      </c>
      <c r="G92">
        <v>1.55</v>
      </c>
      <c r="H92">
        <v>4.5819999999999999</v>
      </c>
      <c r="I92">
        <v>1.518</v>
      </c>
    </row>
    <row r="93" spans="1:18" x14ac:dyDescent="0.2">
      <c r="A93" t="s">
        <v>36</v>
      </c>
      <c r="B93" t="s">
        <v>67</v>
      </c>
      <c r="C93" t="s">
        <v>50</v>
      </c>
      <c r="D93" t="s">
        <v>21</v>
      </c>
      <c r="E93">
        <v>0</v>
      </c>
      <c r="F93">
        <v>0</v>
      </c>
      <c r="G93">
        <v>0.93899999999999995</v>
      </c>
      <c r="H93">
        <v>3.823</v>
      </c>
      <c r="I93">
        <v>1.5740000000000001</v>
      </c>
    </row>
    <row r="94" spans="1:18" x14ac:dyDescent="0.2">
      <c r="A94" t="s">
        <v>36</v>
      </c>
      <c r="B94" t="s">
        <v>67</v>
      </c>
      <c r="C94" t="s">
        <v>50</v>
      </c>
      <c r="D94" t="s">
        <v>21</v>
      </c>
      <c r="E94">
        <v>0</v>
      </c>
      <c r="F94">
        <v>0</v>
      </c>
      <c r="G94">
        <v>0.749</v>
      </c>
      <c r="H94">
        <v>5.2590000000000003</v>
      </c>
      <c r="I94">
        <v>1.782</v>
      </c>
    </row>
    <row r="95" spans="1:18" x14ac:dyDescent="0.2">
      <c r="A95" t="s">
        <v>36</v>
      </c>
      <c r="B95" t="s">
        <v>68</v>
      </c>
      <c r="C95" t="s">
        <v>50</v>
      </c>
      <c r="D95" t="s">
        <v>21</v>
      </c>
      <c r="E95">
        <v>0</v>
      </c>
      <c r="F95">
        <v>0</v>
      </c>
      <c r="H95">
        <v>5.3470000000000004</v>
      </c>
      <c r="I95">
        <v>1.5469999999999999</v>
      </c>
      <c r="J95">
        <v>3.024</v>
      </c>
      <c r="K95">
        <v>1.0860000000000001</v>
      </c>
      <c r="L95">
        <v>1.085</v>
      </c>
      <c r="M95">
        <v>2.3769999999999998</v>
      </c>
      <c r="N95">
        <v>3.456</v>
      </c>
      <c r="O95">
        <v>2.6669999999999998</v>
      </c>
      <c r="P95">
        <v>2.222</v>
      </c>
      <c r="Q95">
        <v>19.102</v>
      </c>
    </row>
    <row r="96" spans="1:18" x14ac:dyDescent="0.2">
      <c r="A96" t="s">
        <v>36</v>
      </c>
      <c r="B96" t="s">
        <v>68</v>
      </c>
      <c r="C96" t="s">
        <v>50</v>
      </c>
      <c r="D96" t="s">
        <v>21</v>
      </c>
      <c r="E96">
        <v>0</v>
      </c>
      <c r="F96">
        <v>0</v>
      </c>
      <c r="H96">
        <v>4.7770000000000001</v>
      </c>
      <c r="I96">
        <v>1.359</v>
      </c>
      <c r="J96">
        <v>3.01</v>
      </c>
      <c r="K96">
        <v>1.498</v>
      </c>
      <c r="L96">
        <v>1.264</v>
      </c>
      <c r="M96">
        <v>1.8620000000000001</v>
      </c>
      <c r="N96">
        <v>3.8969999999999998</v>
      </c>
      <c r="O96">
        <v>2.8839999999999999</v>
      </c>
      <c r="P96">
        <v>3.8029999999999999</v>
      </c>
      <c r="Q96">
        <v>14.914</v>
      </c>
    </row>
    <row r="97" spans="1:18" x14ac:dyDescent="0.2">
      <c r="A97" t="s">
        <v>36</v>
      </c>
      <c r="B97" t="s">
        <v>68</v>
      </c>
      <c r="C97" t="s">
        <v>50</v>
      </c>
      <c r="D97" t="s">
        <v>21</v>
      </c>
      <c r="E97">
        <v>0</v>
      </c>
      <c r="F97">
        <v>0</v>
      </c>
      <c r="H97">
        <v>5.6420000000000003</v>
      </c>
      <c r="I97">
        <v>1.256</v>
      </c>
      <c r="J97">
        <v>3.7490000000000001</v>
      </c>
      <c r="K97">
        <v>0.92</v>
      </c>
      <c r="L97">
        <v>0.65400000000000003</v>
      </c>
      <c r="M97">
        <v>2.8050000000000002</v>
      </c>
      <c r="N97">
        <v>3.6920000000000002</v>
      </c>
      <c r="O97">
        <v>2.85</v>
      </c>
      <c r="P97">
        <v>2.2989999999999999</v>
      </c>
      <c r="Q97">
        <v>12.202</v>
      </c>
    </row>
    <row r="98" spans="1:18" x14ac:dyDescent="0.2">
      <c r="A98" t="s">
        <v>36</v>
      </c>
      <c r="B98" t="s">
        <v>69</v>
      </c>
      <c r="C98" t="s">
        <v>52</v>
      </c>
      <c r="D98" t="s">
        <v>21</v>
      </c>
      <c r="E98">
        <v>0</v>
      </c>
      <c r="F98">
        <v>0</v>
      </c>
      <c r="G98">
        <v>0</v>
      </c>
      <c r="H98">
        <v>7.867</v>
      </c>
      <c r="I98">
        <v>3.2109999999999999</v>
      </c>
      <c r="J98">
        <v>3.8620000000000001</v>
      </c>
      <c r="K98">
        <v>1.2170000000000001</v>
      </c>
      <c r="L98">
        <v>0.751</v>
      </c>
      <c r="M98">
        <v>2.831</v>
      </c>
      <c r="N98">
        <v>4.8099999999999996</v>
      </c>
      <c r="O98">
        <v>4.2679999999999998</v>
      </c>
      <c r="P98">
        <v>2.9119999999999999</v>
      </c>
      <c r="Q98">
        <v>12.845000000000001</v>
      </c>
      <c r="R98">
        <v>926.26900000000001</v>
      </c>
    </row>
    <row r="99" spans="1:18" x14ac:dyDescent="0.2">
      <c r="A99" t="s">
        <v>36</v>
      </c>
      <c r="B99" t="s">
        <v>69</v>
      </c>
      <c r="C99" t="s">
        <v>52</v>
      </c>
      <c r="D99" t="s">
        <v>21</v>
      </c>
      <c r="E99">
        <v>0</v>
      </c>
      <c r="F99">
        <v>0</v>
      </c>
      <c r="G99">
        <v>0</v>
      </c>
      <c r="H99">
        <v>6.2889999999999997</v>
      </c>
      <c r="I99">
        <v>1.919</v>
      </c>
      <c r="J99">
        <v>4.306</v>
      </c>
      <c r="K99">
        <v>1.889</v>
      </c>
      <c r="L99">
        <v>1.847</v>
      </c>
      <c r="M99">
        <v>2.6240000000000001</v>
      </c>
      <c r="N99">
        <v>3.9119999999999999</v>
      </c>
      <c r="O99">
        <v>3.8759999999999999</v>
      </c>
      <c r="P99">
        <v>3.2480000000000002</v>
      </c>
      <c r="Q99">
        <v>13.007</v>
      </c>
    </row>
    <row r="100" spans="1:18" x14ac:dyDescent="0.2">
      <c r="A100" t="s">
        <v>36</v>
      </c>
      <c r="B100" t="s">
        <v>69</v>
      </c>
      <c r="C100" t="s">
        <v>52</v>
      </c>
      <c r="D100" t="s">
        <v>21</v>
      </c>
      <c r="E100">
        <v>0</v>
      </c>
      <c r="F100">
        <v>0</v>
      </c>
      <c r="G100">
        <v>0</v>
      </c>
      <c r="H100">
        <v>6.2880000000000003</v>
      </c>
      <c r="I100">
        <v>1.4670000000000001</v>
      </c>
      <c r="N100">
        <v>4.6120000000000001</v>
      </c>
      <c r="O100">
        <v>4.6180000000000003</v>
      </c>
      <c r="P100">
        <v>3.7229999999999999</v>
      </c>
      <c r="Q100">
        <v>12.891999999999999</v>
      </c>
    </row>
    <row r="101" spans="1:18" x14ac:dyDescent="0.2">
      <c r="A101" t="s">
        <v>36</v>
      </c>
      <c r="B101" t="s">
        <v>70</v>
      </c>
      <c r="C101" t="s">
        <v>52</v>
      </c>
      <c r="D101" t="s">
        <v>21</v>
      </c>
      <c r="E101">
        <v>0</v>
      </c>
      <c r="F101">
        <v>0</v>
      </c>
      <c r="G101">
        <v>0</v>
      </c>
      <c r="H101">
        <v>5.3170000000000002</v>
      </c>
      <c r="I101">
        <v>2.7909999999999999</v>
      </c>
      <c r="J101">
        <v>3.0459999999999998</v>
      </c>
      <c r="K101">
        <v>1.516</v>
      </c>
      <c r="L101">
        <v>1.2829999999999999</v>
      </c>
      <c r="M101">
        <v>1.8460000000000001</v>
      </c>
      <c r="N101">
        <v>3.4910000000000001</v>
      </c>
      <c r="O101">
        <v>2.6539999999999999</v>
      </c>
      <c r="P101">
        <v>4.1159999999999997</v>
      </c>
      <c r="Q101">
        <v>18.538</v>
      </c>
    </row>
    <row r="102" spans="1:18" x14ac:dyDescent="0.2">
      <c r="A102" t="s">
        <v>36</v>
      </c>
      <c r="B102" t="s">
        <v>70</v>
      </c>
      <c r="C102" t="s">
        <v>52</v>
      </c>
      <c r="D102" t="s">
        <v>21</v>
      </c>
      <c r="E102">
        <v>0</v>
      </c>
      <c r="F102">
        <v>0</v>
      </c>
      <c r="G102">
        <v>0</v>
      </c>
      <c r="H102">
        <v>6.3490000000000002</v>
      </c>
      <c r="I102">
        <v>2.504</v>
      </c>
      <c r="J102">
        <v>3.2469999999999999</v>
      </c>
      <c r="M102">
        <v>2.3130000000000002</v>
      </c>
      <c r="N102">
        <v>2.996</v>
      </c>
      <c r="O102">
        <v>2.6240000000000001</v>
      </c>
      <c r="P102">
        <v>5.5460000000000003</v>
      </c>
      <c r="Q102">
        <v>17.846</v>
      </c>
    </row>
    <row r="103" spans="1:18" x14ac:dyDescent="0.2">
      <c r="A103" t="s">
        <v>36</v>
      </c>
      <c r="B103" t="s">
        <v>70</v>
      </c>
      <c r="C103" t="s">
        <v>52</v>
      </c>
      <c r="D103" t="s">
        <v>21</v>
      </c>
      <c r="E103">
        <v>0</v>
      </c>
      <c r="F103">
        <v>0</v>
      </c>
      <c r="G103">
        <v>0</v>
      </c>
      <c r="H103">
        <v>4.6029999999999998</v>
      </c>
      <c r="I103">
        <v>2.2570000000000001</v>
      </c>
      <c r="J103">
        <v>4.4729999999999999</v>
      </c>
      <c r="K103">
        <v>1.76</v>
      </c>
      <c r="L103">
        <v>1.694</v>
      </c>
      <c r="M103">
        <v>2.0950000000000002</v>
      </c>
      <c r="N103">
        <v>2.661</v>
      </c>
      <c r="P103">
        <v>4.63</v>
      </c>
      <c r="Q103">
        <v>15.507</v>
      </c>
    </row>
    <row r="104" spans="1:18" x14ac:dyDescent="0.2">
      <c r="A104" t="s">
        <v>36</v>
      </c>
      <c r="B104" t="s">
        <v>71</v>
      </c>
      <c r="C104" t="s">
        <v>50</v>
      </c>
      <c r="D104" t="s">
        <v>21</v>
      </c>
      <c r="E104">
        <v>0</v>
      </c>
      <c r="F104">
        <v>0</v>
      </c>
      <c r="G104">
        <v>0</v>
      </c>
      <c r="H104">
        <v>4.399</v>
      </c>
      <c r="I104">
        <v>0.92500000000000004</v>
      </c>
      <c r="J104">
        <v>3.4740000000000002</v>
      </c>
      <c r="K104">
        <v>0.96699999999999997</v>
      </c>
      <c r="M104">
        <v>1.55</v>
      </c>
      <c r="N104">
        <v>4.1070000000000002</v>
      </c>
      <c r="O104">
        <v>3.1120000000000001</v>
      </c>
      <c r="P104">
        <v>3.677</v>
      </c>
      <c r="Q104">
        <v>12.242000000000001</v>
      </c>
      <c r="R104">
        <v>888.29399999999998</v>
      </c>
    </row>
    <row r="105" spans="1:18" x14ac:dyDescent="0.2">
      <c r="A105" t="s">
        <v>36</v>
      </c>
      <c r="B105" t="s">
        <v>71</v>
      </c>
      <c r="C105" t="s">
        <v>50</v>
      </c>
      <c r="D105" t="s">
        <v>21</v>
      </c>
      <c r="E105">
        <v>0</v>
      </c>
      <c r="F105">
        <v>0</v>
      </c>
      <c r="G105">
        <v>0</v>
      </c>
      <c r="J105">
        <v>3.802</v>
      </c>
      <c r="K105">
        <v>1.173</v>
      </c>
      <c r="L105">
        <v>0.86899999999999999</v>
      </c>
      <c r="M105">
        <v>2.4039999999999999</v>
      </c>
      <c r="N105">
        <v>3.028</v>
      </c>
      <c r="O105">
        <v>3.0329999999999999</v>
      </c>
      <c r="P105">
        <v>5.3360000000000003</v>
      </c>
      <c r="Q105">
        <v>10.022</v>
      </c>
    </row>
    <row r="106" spans="1:18" x14ac:dyDescent="0.2">
      <c r="A106" t="s">
        <v>36</v>
      </c>
      <c r="B106" t="s">
        <v>71</v>
      </c>
      <c r="C106" t="s">
        <v>50</v>
      </c>
      <c r="E106">
        <v>0</v>
      </c>
      <c r="F106">
        <v>0</v>
      </c>
      <c r="G106">
        <v>0</v>
      </c>
      <c r="J106">
        <v>3.2559999999999998</v>
      </c>
      <c r="K106">
        <v>0.80600000000000005</v>
      </c>
      <c r="L106">
        <v>0.69599999999999995</v>
      </c>
      <c r="M106">
        <v>2.5329999999999999</v>
      </c>
      <c r="N106">
        <v>2.5529999999999999</v>
      </c>
      <c r="O106">
        <v>3.9359999999999999</v>
      </c>
      <c r="P106">
        <v>3.9750000000000001</v>
      </c>
      <c r="Q106">
        <v>16.29</v>
      </c>
    </row>
    <row r="107" spans="1:18" x14ac:dyDescent="0.2">
      <c r="A107" t="s">
        <v>36</v>
      </c>
      <c r="B107" t="s">
        <v>72</v>
      </c>
      <c r="C107" t="s">
        <v>50</v>
      </c>
      <c r="D107" t="s">
        <v>21</v>
      </c>
      <c r="E107">
        <v>0</v>
      </c>
      <c r="F107">
        <v>0</v>
      </c>
      <c r="G107">
        <v>0</v>
      </c>
      <c r="H107">
        <v>3.1880000000000002</v>
      </c>
      <c r="I107">
        <v>1.218</v>
      </c>
      <c r="J107">
        <v>2.6240000000000001</v>
      </c>
      <c r="K107">
        <v>0.86899999999999999</v>
      </c>
      <c r="L107">
        <v>0.61299999999999999</v>
      </c>
      <c r="M107">
        <v>1.5960000000000001</v>
      </c>
      <c r="N107">
        <v>3.83</v>
      </c>
      <c r="P107">
        <v>5.9210000000000003</v>
      </c>
      <c r="Q107">
        <v>27.062000000000001</v>
      </c>
      <c r="R107">
        <v>1012.704</v>
      </c>
    </row>
    <row r="108" spans="1:18" x14ac:dyDescent="0.2">
      <c r="A108" t="s">
        <v>36</v>
      </c>
      <c r="B108" t="s">
        <v>72</v>
      </c>
      <c r="C108" t="s">
        <v>50</v>
      </c>
      <c r="D108" t="s">
        <v>24</v>
      </c>
      <c r="E108">
        <v>0</v>
      </c>
      <c r="F108">
        <v>0</v>
      </c>
      <c r="G108">
        <v>0</v>
      </c>
      <c r="H108">
        <v>5.5990000000000002</v>
      </c>
      <c r="I108">
        <v>2.0219999999999998</v>
      </c>
      <c r="J108">
        <v>4.0030000000000001</v>
      </c>
      <c r="K108">
        <v>1.2769999999999999</v>
      </c>
      <c r="L108">
        <v>1.038</v>
      </c>
      <c r="M108">
        <v>1.6160000000000001</v>
      </c>
      <c r="N108">
        <v>4.8369999999999997</v>
      </c>
      <c r="O108">
        <v>2.855</v>
      </c>
      <c r="P108">
        <v>5.3330000000000002</v>
      </c>
      <c r="Q108">
        <v>23.222999999999999</v>
      </c>
    </row>
    <row r="109" spans="1:18" x14ac:dyDescent="0.2">
      <c r="A109" t="s">
        <v>36</v>
      </c>
      <c r="B109" t="s">
        <v>72</v>
      </c>
      <c r="C109" t="s">
        <v>50</v>
      </c>
      <c r="D109" t="s">
        <v>25</v>
      </c>
      <c r="E109">
        <v>0</v>
      </c>
      <c r="F109">
        <v>0</v>
      </c>
      <c r="G109">
        <v>0</v>
      </c>
      <c r="H109">
        <v>3.5129999999999999</v>
      </c>
      <c r="I109">
        <v>1.2450000000000001</v>
      </c>
      <c r="J109">
        <v>4.032</v>
      </c>
      <c r="K109">
        <v>0.75900000000000001</v>
      </c>
      <c r="L109">
        <v>0.53100000000000003</v>
      </c>
      <c r="M109">
        <v>2.8079999999999998</v>
      </c>
      <c r="N109">
        <v>4.5330000000000004</v>
      </c>
      <c r="O109">
        <v>1.8620000000000001</v>
      </c>
      <c r="P109">
        <v>3.5960000000000001</v>
      </c>
      <c r="Q109">
        <v>32.378999999999998</v>
      </c>
    </row>
    <row r="110" spans="1:18" x14ac:dyDescent="0.2">
      <c r="A110" t="s">
        <v>36</v>
      </c>
      <c r="B110" t="s">
        <v>73</v>
      </c>
      <c r="C110" t="s">
        <v>38</v>
      </c>
      <c r="D110" t="s">
        <v>21</v>
      </c>
      <c r="E110">
        <v>0</v>
      </c>
      <c r="F110">
        <v>0</v>
      </c>
      <c r="G110">
        <v>0</v>
      </c>
      <c r="H110">
        <v>5.6749999999999998</v>
      </c>
      <c r="I110">
        <v>1.619</v>
      </c>
      <c r="J110">
        <v>4.0570000000000004</v>
      </c>
      <c r="K110">
        <v>1.5489999999999999</v>
      </c>
      <c r="L110">
        <v>0.28899999999999998</v>
      </c>
      <c r="M110">
        <v>2.9409999999999998</v>
      </c>
      <c r="N110">
        <v>4.1539999999999999</v>
      </c>
      <c r="O110">
        <v>5.125</v>
      </c>
      <c r="P110">
        <v>3.15</v>
      </c>
      <c r="Q110">
        <v>69.971000000000004</v>
      </c>
      <c r="R110">
        <v>753.43100000000004</v>
      </c>
    </row>
    <row r="111" spans="1:18" x14ac:dyDescent="0.2">
      <c r="A111" t="s">
        <v>36</v>
      </c>
      <c r="B111" t="s">
        <v>73</v>
      </c>
      <c r="C111" t="s">
        <v>38</v>
      </c>
      <c r="D111" t="s">
        <v>21</v>
      </c>
      <c r="E111">
        <v>0</v>
      </c>
      <c r="F111">
        <v>0</v>
      </c>
      <c r="G111">
        <v>0</v>
      </c>
      <c r="H111">
        <v>5.3140000000000001</v>
      </c>
      <c r="I111">
        <v>1.2010000000000001</v>
      </c>
      <c r="J111">
        <v>4.7789999999999999</v>
      </c>
      <c r="K111">
        <v>1.5549999999999999</v>
      </c>
      <c r="L111">
        <v>1.016</v>
      </c>
      <c r="M111">
        <v>4.2089999999999996</v>
      </c>
      <c r="N111">
        <v>2.75</v>
      </c>
      <c r="O111">
        <v>3.077</v>
      </c>
      <c r="P111">
        <v>4.952</v>
      </c>
      <c r="Q111">
        <v>71.221999999999994</v>
      </c>
    </row>
    <row r="112" spans="1:18" x14ac:dyDescent="0.2">
      <c r="A112" t="s">
        <v>36</v>
      </c>
      <c r="B112" t="s">
        <v>73</v>
      </c>
      <c r="C112" t="s">
        <v>38</v>
      </c>
      <c r="D112" t="s">
        <v>21</v>
      </c>
      <c r="E112">
        <v>0</v>
      </c>
      <c r="F112">
        <v>0</v>
      </c>
      <c r="G112">
        <v>0</v>
      </c>
      <c r="J112">
        <v>3.8380000000000001</v>
      </c>
      <c r="K112">
        <v>1.595</v>
      </c>
      <c r="L112">
        <v>0.75900000000000001</v>
      </c>
      <c r="M112">
        <v>3.3359999999999999</v>
      </c>
      <c r="N112">
        <v>3.61</v>
      </c>
      <c r="O112">
        <v>4.2240000000000002</v>
      </c>
      <c r="P112">
        <v>4.1660000000000004</v>
      </c>
      <c r="Q112">
        <v>56.527000000000001</v>
      </c>
    </row>
    <row r="113" spans="1:18" x14ac:dyDescent="0.2">
      <c r="A113" t="s">
        <v>36</v>
      </c>
      <c r="B113" t="s">
        <v>73</v>
      </c>
      <c r="C113" t="s">
        <v>38</v>
      </c>
      <c r="D113" t="s">
        <v>24</v>
      </c>
      <c r="E113">
        <v>0</v>
      </c>
      <c r="F113">
        <v>0</v>
      </c>
      <c r="G113">
        <v>1</v>
      </c>
      <c r="H113">
        <v>5.1349999999999998</v>
      </c>
      <c r="I113">
        <v>1.6970000000000001</v>
      </c>
      <c r="J113">
        <v>4.1840000000000002</v>
      </c>
      <c r="K113">
        <v>1.1319999999999999</v>
      </c>
      <c r="L113">
        <v>0.62</v>
      </c>
      <c r="M113">
        <v>3.26</v>
      </c>
      <c r="N113">
        <v>3.5710000000000002</v>
      </c>
      <c r="O113">
        <v>4.1029999999999998</v>
      </c>
      <c r="P113">
        <v>5.6920000000000002</v>
      </c>
      <c r="Q113">
        <v>50.863</v>
      </c>
      <c r="R113">
        <v>652.10299999999995</v>
      </c>
    </row>
    <row r="114" spans="1:18" x14ac:dyDescent="0.2">
      <c r="A114" t="s">
        <v>36</v>
      </c>
      <c r="B114" t="s">
        <v>73</v>
      </c>
      <c r="C114" t="s">
        <v>38</v>
      </c>
      <c r="E114">
        <v>0</v>
      </c>
      <c r="F114">
        <v>0</v>
      </c>
      <c r="G114">
        <v>0.92900000000000005</v>
      </c>
      <c r="H114">
        <v>5.8819999999999997</v>
      </c>
      <c r="I114">
        <v>1.601</v>
      </c>
      <c r="J114">
        <v>4.8280000000000003</v>
      </c>
      <c r="K114">
        <v>0.63200000000000001</v>
      </c>
      <c r="L114">
        <v>0.53500000000000003</v>
      </c>
      <c r="M114">
        <v>3.5960000000000001</v>
      </c>
      <c r="N114">
        <v>3.9</v>
      </c>
      <c r="O114">
        <v>3.9660000000000002</v>
      </c>
      <c r="P114">
        <v>3.9289999999999998</v>
      </c>
      <c r="Q114">
        <v>36.975000000000001</v>
      </c>
    </row>
    <row r="115" spans="1:18" x14ac:dyDescent="0.2">
      <c r="A115" t="s">
        <v>36</v>
      </c>
      <c r="B115" t="s">
        <v>73</v>
      </c>
      <c r="C115" t="s">
        <v>38</v>
      </c>
      <c r="E115">
        <v>0</v>
      </c>
      <c r="F115">
        <v>0</v>
      </c>
      <c r="G115">
        <v>1.006</v>
      </c>
      <c r="J115">
        <v>4.0199999999999996</v>
      </c>
      <c r="K115">
        <v>0.83699999999999997</v>
      </c>
      <c r="L115">
        <v>0.745</v>
      </c>
      <c r="M115">
        <v>2.5339999999999998</v>
      </c>
      <c r="N115">
        <v>3.5329999999999999</v>
      </c>
      <c r="O115">
        <v>3.5720000000000001</v>
      </c>
      <c r="P115">
        <v>4.8570000000000002</v>
      </c>
      <c r="Q115">
        <v>51.710999999999999</v>
      </c>
    </row>
    <row r="116" spans="1:18" x14ac:dyDescent="0.2">
      <c r="A116" t="s">
        <v>36</v>
      </c>
      <c r="B116" t="s">
        <v>73</v>
      </c>
      <c r="C116" t="s">
        <v>38</v>
      </c>
      <c r="D116" t="s">
        <v>21</v>
      </c>
      <c r="E116">
        <v>0</v>
      </c>
      <c r="F116">
        <v>0</v>
      </c>
      <c r="G116">
        <v>1.0880000000000001</v>
      </c>
      <c r="H116">
        <v>6.1139999999999999</v>
      </c>
      <c r="I116">
        <v>1.258</v>
      </c>
      <c r="J116">
        <v>4.5960000000000001</v>
      </c>
      <c r="K116">
        <v>1.327</v>
      </c>
      <c r="L116">
        <v>0.81799999999999995</v>
      </c>
      <c r="M116">
        <v>3.524</v>
      </c>
      <c r="N116">
        <v>3.86</v>
      </c>
      <c r="O116">
        <v>3.7</v>
      </c>
      <c r="P116">
        <v>7.3159999999999998</v>
      </c>
      <c r="Q116">
        <v>24.658999999999999</v>
      </c>
      <c r="R116">
        <v>322.12</v>
      </c>
    </row>
    <row r="117" spans="1:18" x14ac:dyDescent="0.2">
      <c r="A117" t="s">
        <v>36</v>
      </c>
      <c r="B117" t="s">
        <v>73</v>
      </c>
      <c r="C117" t="s">
        <v>38</v>
      </c>
      <c r="E117">
        <v>0</v>
      </c>
      <c r="F117">
        <v>0</v>
      </c>
      <c r="G117">
        <v>0.90200000000000002</v>
      </c>
      <c r="H117">
        <v>3.9129999999999998</v>
      </c>
      <c r="I117">
        <v>0.92</v>
      </c>
      <c r="J117">
        <v>3.9039999999999999</v>
      </c>
      <c r="K117">
        <v>0.56299999999999994</v>
      </c>
      <c r="L117">
        <v>0.42099999999999999</v>
      </c>
      <c r="M117">
        <v>2.57</v>
      </c>
      <c r="N117">
        <v>4.8630000000000004</v>
      </c>
      <c r="O117">
        <v>2.7770000000000001</v>
      </c>
      <c r="P117">
        <v>8.7370000000000001</v>
      </c>
      <c r="Q117">
        <v>22.951000000000001</v>
      </c>
      <c r="R117">
        <v>238.65199999999999</v>
      </c>
    </row>
    <row r="118" spans="1:18" x14ac:dyDescent="0.2">
      <c r="A118" t="s">
        <v>36</v>
      </c>
      <c r="B118" t="s">
        <v>73</v>
      </c>
      <c r="C118" t="s">
        <v>38</v>
      </c>
      <c r="E118">
        <v>0</v>
      </c>
      <c r="F118">
        <v>0</v>
      </c>
      <c r="G118">
        <v>0.85399999999999998</v>
      </c>
      <c r="J118">
        <v>3.609</v>
      </c>
      <c r="M118">
        <v>2.605</v>
      </c>
      <c r="N118">
        <v>3.7519999999999998</v>
      </c>
      <c r="O118">
        <v>2.8769999999999998</v>
      </c>
      <c r="P118">
        <v>7.0609999999999999</v>
      </c>
      <c r="Q118">
        <v>23.41</v>
      </c>
      <c r="R118">
        <v>322.73</v>
      </c>
    </row>
    <row r="119" spans="1:18" x14ac:dyDescent="0.2">
      <c r="A119" t="s">
        <v>36</v>
      </c>
      <c r="B119" t="s">
        <v>74</v>
      </c>
      <c r="C119" t="s">
        <v>50</v>
      </c>
      <c r="D119" t="s">
        <v>21</v>
      </c>
      <c r="E119">
        <v>0</v>
      </c>
      <c r="F119">
        <v>0</v>
      </c>
      <c r="G119">
        <v>0.56899999999999995</v>
      </c>
      <c r="H119">
        <v>5.5659999999999998</v>
      </c>
      <c r="I119">
        <v>1.1839999999999999</v>
      </c>
      <c r="J119">
        <v>4.5030000000000001</v>
      </c>
      <c r="K119">
        <v>0.88500000000000001</v>
      </c>
      <c r="L119">
        <v>0.77700000000000002</v>
      </c>
      <c r="M119">
        <v>2.0579999999999998</v>
      </c>
      <c r="N119">
        <v>2.5920000000000001</v>
      </c>
      <c r="O119">
        <v>3.335</v>
      </c>
      <c r="P119">
        <v>4.532</v>
      </c>
      <c r="Q119">
        <v>18.622</v>
      </c>
      <c r="R119">
        <v>617.37099999999998</v>
      </c>
    </row>
    <row r="120" spans="1:18" x14ac:dyDescent="0.2">
      <c r="A120" t="s">
        <v>36</v>
      </c>
      <c r="B120" t="s">
        <v>74</v>
      </c>
      <c r="C120" t="s">
        <v>50</v>
      </c>
      <c r="D120" t="s">
        <v>21</v>
      </c>
      <c r="E120">
        <v>0</v>
      </c>
      <c r="F120">
        <v>0</v>
      </c>
      <c r="G120">
        <v>0.72299999999999998</v>
      </c>
      <c r="H120">
        <v>4.335</v>
      </c>
      <c r="I120">
        <v>1.163</v>
      </c>
      <c r="J120">
        <v>3.7</v>
      </c>
      <c r="K120">
        <v>0.95699999999999996</v>
      </c>
      <c r="L120">
        <v>0.56999999999999995</v>
      </c>
      <c r="M120">
        <v>2.2080000000000002</v>
      </c>
      <c r="N120">
        <v>3.4950000000000001</v>
      </c>
      <c r="O120">
        <v>3.5019999999999998</v>
      </c>
      <c r="P120">
        <v>4.0129999999999999</v>
      </c>
      <c r="Q120">
        <v>14.654</v>
      </c>
      <c r="R120">
        <v>457.39600000000002</v>
      </c>
    </row>
    <row r="121" spans="1:18" x14ac:dyDescent="0.2">
      <c r="A121" t="s">
        <v>36</v>
      </c>
      <c r="B121" t="s">
        <v>74</v>
      </c>
      <c r="C121" t="s">
        <v>50</v>
      </c>
      <c r="D121" t="s">
        <v>21</v>
      </c>
      <c r="E121">
        <v>0</v>
      </c>
      <c r="F121">
        <v>0</v>
      </c>
      <c r="G121">
        <v>0.63100000000000001</v>
      </c>
      <c r="H121">
        <v>6.0229999999999997</v>
      </c>
      <c r="I121">
        <v>1.339</v>
      </c>
      <c r="J121">
        <v>3.6150000000000002</v>
      </c>
      <c r="K121">
        <v>1.0609999999999999</v>
      </c>
      <c r="L121">
        <v>0.80800000000000005</v>
      </c>
      <c r="M121">
        <v>2.0019999999999998</v>
      </c>
      <c r="N121">
        <v>4.3280000000000003</v>
      </c>
      <c r="P121">
        <v>7.141</v>
      </c>
      <c r="Q121">
        <v>21.399000000000001</v>
      </c>
    </row>
    <row r="122" spans="1:18" x14ac:dyDescent="0.2">
      <c r="A122" t="s">
        <v>36</v>
      </c>
      <c r="B122" t="s">
        <v>75</v>
      </c>
      <c r="C122" t="s">
        <v>50</v>
      </c>
      <c r="D122" t="s">
        <v>21</v>
      </c>
      <c r="E122">
        <v>0</v>
      </c>
      <c r="F122">
        <v>0</v>
      </c>
      <c r="G122">
        <v>0.92100000000000004</v>
      </c>
      <c r="H122">
        <v>10.175000000000001</v>
      </c>
      <c r="I122">
        <v>3.774</v>
      </c>
      <c r="J122">
        <v>3.74</v>
      </c>
      <c r="K122">
        <v>0.85899999999999999</v>
      </c>
      <c r="L122">
        <v>0.73699999999999999</v>
      </c>
      <c r="M122">
        <v>3.0059999999999998</v>
      </c>
      <c r="N122">
        <v>3.8210000000000002</v>
      </c>
      <c r="O122">
        <v>5.0430000000000001</v>
      </c>
      <c r="P122">
        <v>5.6950000000000003</v>
      </c>
      <c r="Q122">
        <v>24.187999999999999</v>
      </c>
      <c r="R122">
        <v>840.12</v>
      </c>
    </row>
    <row r="123" spans="1:18" x14ac:dyDescent="0.2">
      <c r="A123" t="s">
        <v>36</v>
      </c>
      <c r="B123" t="s">
        <v>75</v>
      </c>
      <c r="C123" t="s">
        <v>50</v>
      </c>
      <c r="D123" t="s">
        <v>21</v>
      </c>
      <c r="E123">
        <v>0</v>
      </c>
      <c r="F123">
        <v>0</v>
      </c>
      <c r="G123">
        <v>1.2829999999999999</v>
      </c>
      <c r="H123">
        <v>4.7300000000000004</v>
      </c>
      <c r="I123">
        <v>1.123</v>
      </c>
      <c r="J123">
        <v>3.7770000000000001</v>
      </c>
      <c r="K123">
        <v>1.1639999999999999</v>
      </c>
      <c r="L123">
        <v>1.0840000000000001</v>
      </c>
      <c r="M123">
        <v>3.3540000000000001</v>
      </c>
      <c r="N123">
        <v>4.4909999999999997</v>
      </c>
      <c r="O123">
        <v>5.3280000000000003</v>
      </c>
      <c r="P123">
        <v>4.7939999999999996</v>
      </c>
      <c r="Q123">
        <v>15.36</v>
      </c>
    </row>
    <row r="124" spans="1:18" x14ac:dyDescent="0.2">
      <c r="A124" t="s">
        <v>36</v>
      </c>
      <c r="B124" t="s">
        <v>75</v>
      </c>
      <c r="C124" t="s">
        <v>50</v>
      </c>
      <c r="D124" t="s">
        <v>21</v>
      </c>
      <c r="E124">
        <v>0</v>
      </c>
      <c r="F124">
        <v>0</v>
      </c>
      <c r="G124">
        <v>1.0129999999999999</v>
      </c>
      <c r="H124">
        <v>6.6959999999999997</v>
      </c>
      <c r="I124">
        <v>2.5419999999999998</v>
      </c>
      <c r="J124">
        <v>3.984</v>
      </c>
      <c r="K124">
        <v>0.99099999999999999</v>
      </c>
      <c r="L124">
        <v>0.85399999999999998</v>
      </c>
      <c r="M124">
        <v>3.085</v>
      </c>
      <c r="N124">
        <v>3.738</v>
      </c>
      <c r="O124">
        <v>4.1159999999999997</v>
      </c>
      <c r="P124">
        <v>4.819</v>
      </c>
      <c r="Q124">
        <v>12.592000000000001</v>
      </c>
    </row>
    <row r="125" spans="1:18" x14ac:dyDescent="0.2">
      <c r="A125" t="s">
        <v>36</v>
      </c>
      <c r="B125" t="s">
        <v>76</v>
      </c>
      <c r="C125" t="s">
        <v>77</v>
      </c>
      <c r="D125" t="s">
        <v>21</v>
      </c>
      <c r="E125">
        <v>0</v>
      </c>
      <c r="F125">
        <v>0</v>
      </c>
      <c r="G125">
        <v>0.58299999999999996</v>
      </c>
      <c r="H125">
        <v>4.8810000000000002</v>
      </c>
      <c r="I125">
        <v>1.1890000000000001</v>
      </c>
      <c r="J125">
        <v>2.3919999999999999</v>
      </c>
      <c r="K125">
        <v>1.506</v>
      </c>
      <c r="L125">
        <v>0.79100000000000004</v>
      </c>
      <c r="M125">
        <v>1.7250000000000001</v>
      </c>
      <c r="N125">
        <v>3.1339999999999999</v>
      </c>
      <c r="O125">
        <v>3.6640000000000001</v>
      </c>
      <c r="P125">
        <v>4.452</v>
      </c>
      <c r="Q125">
        <v>11.879</v>
      </c>
      <c r="R125">
        <v>834.19600000000003</v>
      </c>
    </row>
    <row r="126" spans="1:18" x14ac:dyDescent="0.2">
      <c r="A126" t="s">
        <v>36</v>
      </c>
      <c r="B126" t="s">
        <v>76</v>
      </c>
      <c r="C126" t="s">
        <v>77</v>
      </c>
      <c r="D126" t="s">
        <v>21</v>
      </c>
      <c r="E126">
        <v>0</v>
      </c>
      <c r="F126">
        <v>0</v>
      </c>
      <c r="G126">
        <v>0.70099999999999996</v>
      </c>
      <c r="H126">
        <v>3.9009999999999998</v>
      </c>
      <c r="I126">
        <v>1.431</v>
      </c>
      <c r="J126">
        <v>2.5760000000000001</v>
      </c>
      <c r="K126">
        <v>0.78200000000000003</v>
      </c>
      <c r="L126">
        <v>0.76500000000000001</v>
      </c>
      <c r="M126">
        <v>1.881</v>
      </c>
      <c r="N126">
        <v>4.0369999999999999</v>
      </c>
      <c r="O126">
        <v>2.9169999999999998</v>
      </c>
      <c r="P126">
        <v>2.423</v>
      </c>
      <c r="Q126">
        <v>9.3369999999999997</v>
      </c>
    </row>
    <row r="127" spans="1:18" x14ac:dyDescent="0.2">
      <c r="A127" t="s">
        <v>36</v>
      </c>
      <c r="B127" t="s">
        <v>76</v>
      </c>
      <c r="C127" t="s">
        <v>77</v>
      </c>
      <c r="E127">
        <v>0</v>
      </c>
      <c r="F127">
        <v>0</v>
      </c>
      <c r="G127">
        <v>0.34899999999999998</v>
      </c>
      <c r="H127">
        <v>4.851</v>
      </c>
      <c r="I127">
        <v>1.774</v>
      </c>
      <c r="N127">
        <v>3.9289999999999998</v>
      </c>
      <c r="O127">
        <v>3.2690000000000001</v>
      </c>
      <c r="P127">
        <v>2.9089999999999998</v>
      </c>
      <c r="Q127">
        <v>8.2349999999999994</v>
      </c>
    </row>
    <row r="128" spans="1:18" x14ac:dyDescent="0.2">
      <c r="A128" t="s">
        <v>36</v>
      </c>
      <c r="B128" t="s">
        <v>78</v>
      </c>
      <c r="C128" t="s">
        <v>77</v>
      </c>
      <c r="D128" t="s">
        <v>21</v>
      </c>
      <c r="E128">
        <v>0</v>
      </c>
      <c r="F128">
        <v>0</v>
      </c>
      <c r="H128">
        <v>3.5979999999999999</v>
      </c>
      <c r="I128">
        <v>1.4259999999999999</v>
      </c>
      <c r="J128">
        <v>3.42</v>
      </c>
      <c r="K128">
        <v>1.044</v>
      </c>
      <c r="L128">
        <v>0.45600000000000002</v>
      </c>
      <c r="M128">
        <v>2.3439999999999999</v>
      </c>
      <c r="N128">
        <v>3.9940000000000002</v>
      </c>
      <c r="O128">
        <v>3.7069999999999999</v>
      </c>
      <c r="P128">
        <v>4.1630000000000003</v>
      </c>
      <c r="Q128">
        <v>23.713000000000001</v>
      </c>
      <c r="R128">
        <v>791.32</v>
      </c>
    </row>
    <row r="129" spans="1:18" x14ac:dyDescent="0.2">
      <c r="A129" t="s">
        <v>36</v>
      </c>
      <c r="B129" t="s">
        <v>78</v>
      </c>
      <c r="C129" t="s">
        <v>77</v>
      </c>
      <c r="D129" t="s">
        <v>21</v>
      </c>
      <c r="E129">
        <v>0</v>
      </c>
      <c r="F129">
        <v>0</v>
      </c>
      <c r="H129">
        <v>3.6040000000000001</v>
      </c>
      <c r="I129">
        <v>0.89600000000000002</v>
      </c>
      <c r="J129">
        <v>3.9529999999999998</v>
      </c>
      <c r="K129">
        <v>1.381</v>
      </c>
      <c r="L129">
        <v>1.2789999999999999</v>
      </c>
      <c r="M129">
        <v>2.1579999999999999</v>
      </c>
      <c r="N129">
        <v>3.7949999999999999</v>
      </c>
      <c r="O129">
        <v>3.5129999999999999</v>
      </c>
      <c r="P129">
        <v>3.956</v>
      </c>
      <c r="Q129">
        <v>13.515000000000001</v>
      </c>
    </row>
    <row r="130" spans="1:18" x14ac:dyDescent="0.2">
      <c r="A130" t="s">
        <v>36</v>
      </c>
      <c r="B130" t="s">
        <v>78</v>
      </c>
      <c r="C130" t="s">
        <v>77</v>
      </c>
      <c r="D130" t="s">
        <v>21</v>
      </c>
      <c r="E130">
        <v>0</v>
      </c>
      <c r="F130">
        <v>0</v>
      </c>
      <c r="H130">
        <v>4.4720000000000004</v>
      </c>
      <c r="I130">
        <v>1.077</v>
      </c>
      <c r="J130">
        <v>2.649</v>
      </c>
      <c r="K130">
        <v>1.0960000000000001</v>
      </c>
      <c r="L130">
        <v>1.0669999999999999</v>
      </c>
      <c r="M130">
        <v>2.5329999999999999</v>
      </c>
      <c r="N130">
        <v>5.45</v>
      </c>
      <c r="O130">
        <v>5.4210000000000003</v>
      </c>
      <c r="P130">
        <v>4.359</v>
      </c>
      <c r="Q130">
        <v>18.315000000000001</v>
      </c>
    </row>
    <row r="131" spans="1:18" x14ac:dyDescent="0.2">
      <c r="A131" t="s">
        <v>36</v>
      </c>
      <c r="B131" t="s">
        <v>79</v>
      </c>
      <c r="C131" t="s">
        <v>77</v>
      </c>
      <c r="D131" t="s">
        <v>21</v>
      </c>
      <c r="E131">
        <v>0</v>
      </c>
      <c r="F131">
        <v>0</v>
      </c>
      <c r="G131">
        <v>0.83699999999999997</v>
      </c>
      <c r="H131">
        <v>4.6070000000000002</v>
      </c>
      <c r="I131">
        <v>1.7330000000000001</v>
      </c>
      <c r="J131">
        <v>3.5350000000000001</v>
      </c>
      <c r="K131">
        <v>0.90900000000000003</v>
      </c>
      <c r="L131">
        <v>0.74099999999999999</v>
      </c>
      <c r="M131">
        <v>2.0819999999999999</v>
      </c>
      <c r="N131">
        <v>3.6040000000000001</v>
      </c>
      <c r="O131">
        <v>3.7440000000000002</v>
      </c>
      <c r="P131">
        <v>4.18</v>
      </c>
      <c r="Q131">
        <v>27.602</v>
      </c>
      <c r="R131">
        <v>742.31299999999999</v>
      </c>
    </row>
    <row r="132" spans="1:18" x14ac:dyDescent="0.2">
      <c r="A132" t="s">
        <v>36</v>
      </c>
      <c r="B132" t="s">
        <v>79</v>
      </c>
      <c r="C132" t="s">
        <v>77</v>
      </c>
      <c r="D132" t="s">
        <v>24</v>
      </c>
      <c r="E132">
        <v>0</v>
      </c>
      <c r="F132">
        <v>0</v>
      </c>
      <c r="G132">
        <v>0.63100000000000001</v>
      </c>
      <c r="H132">
        <v>4.7249999999999996</v>
      </c>
      <c r="I132">
        <v>1.595</v>
      </c>
      <c r="J132">
        <v>2.923</v>
      </c>
      <c r="K132">
        <v>0.93400000000000005</v>
      </c>
      <c r="L132">
        <v>0.79600000000000004</v>
      </c>
      <c r="M132">
        <v>3.2309999999999999</v>
      </c>
      <c r="N132">
        <v>2.99</v>
      </c>
      <c r="O132">
        <v>4.133</v>
      </c>
      <c r="P132">
        <v>5.6740000000000004</v>
      </c>
      <c r="Q132">
        <v>17.510000000000002</v>
      </c>
    </row>
    <row r="133" spans="1:18" x14ac:dyDescent="0.2">
      <c r="A133" t="s">
        <v>36</v>
      </c>
      <c r="B133" t="s">
        <v>79</v>
      </c>
      <c r="C133" t="s">
        <v>77</v>
      </c>
      <c r="D133" t="s">
        <v>25</v>
      </c>
      <c r="E133">
        <v>0</v>
      </c>
      <c r="F133">
        <v>0</v>
      </c>
      <c r="G133">
        <v>0.876</v>
      </c>
      <c r="H133">
        <v>4.4000000000000004</v>
      </c>
      <c r="I133">
        <v>1.534</v>
      </c>
      <c r="J133">
        <v>3.1859999999999999</v>
      </c>
      <c r="K133">
        <v>1.36</v>
      </c>
      <c r="L133">
        <v>0.69699999999999995</v>
      </c>
      <c r="M133">
        <v>1.9990000000000001</v>
      </c>
      <c r="N133">
        <v>3.3109999999999999</v>
      </c>
      <c r="O133">
        <v>3.847</v>
      </c>
      <c r="P133">
        <v>5.7759999999999998</v>
      </c>
      <c r="Q133">
        <v>15.307</v>
      </c>
    </row>
    <row r="134" spans="1:18" x14ac:dyDescent="0.2">
      <c r="A134" t="s">
        <v>36</v>
      </c>
      <c r="B134" t="s">
        <v>80</v>
      </c>
      <c r="C134" t="s">
        <v>81</v>
      </c>
      <c r="D134" t="s">
        <v>25</v>
      </c>
      <c r="E134">
        <v>0</v>
      </c>
      <c r="F134">
        <v>0</v>
      </c>
      <c r="G134">
        <v>1.4550000000000001</v>
      </c>
      <c r="H134">
        <v>4.7640000000000002</v>
      </c>
      <c r="I134">
        <v>1.0820000000000001</v>
      </c>
      <c r="J134">
        <v>3.6880000000000002</v>
      </c>
      <c r="K134">
        <v>1.0429999999999999</v>
      </c>
      <c r="L134">
        <v>0.68799999999999994</v>
      </c>
      <c r="M134">
        <v>2.6859999999999999</v>
      </c>
      <c r="N134">
        <v>4.4820000000000002</v>
      </c>
      <c r="O134">
        <v>3.9249999999999998</v>
      </c>
      <c r="P134">
        <v>2.3380000000000001</v>
      </c>
      <c r="Q134">
        <v>6.633</v>
      </c>
      <c r="R134">
        <v>438.92500000000001</v>
      </c>
    </row>
    <row r="135" spans="1:18" x14ac:dyDescent="0.2">
      <c r="A135" t="s">
        <v>36</v>
      </c>
      <c r="B135" t="s">
        <v>80</v>
      </c>
      <c r="C135" t="s">
        <v>81</v>
      </c>
      <c r="D135" t="s">
        <v>25</v>
      </c>
      <c r="E135">
        <v>0</v>
      </c>
      <c r="F135">
        <v>0</v>
      </c>
      <c r="G135">
        <v>1.077</v>
      </c>
      <c r="H135">
        <v>3.7440000000000002</v>
      </c>
      <c r="I135">
        <v>0.371</v>
      </c>
      <c r="J135">
        <v>4.4240000000000004</v>
      </c>
      <c r="K135">
        <v>1.091</v>
      </c>
      <c r="L135">
        <v>0.63</v>
      </c>
      <c r="M135">
        <v>3.0750000000000002</v>
      </c>
      <c r="N135">
        <v>4.4409999999999998</v>
      </c>
      <c r="O135">
        <v>4.4279999999999999</v>
      </c>
      <c r="P135">
        <v>1.573</v>
      </c>
      <c r="Q135">
        <v>16.478000000000002</v>
      </c>
      <c r="R135">
        <v>343.41500000000002</v>
      </c>
    </row>
    <row r="136" spans="1:18" x14ac:dyDescent="0.2">
      <c r="A136" t="s">
        <v>36</v>
      </c>
      <c r="B136" t="s">
        <v>80</v>
      </c>
      <c r="C136" t="s">
        <v>81</v>
      </c>
      <c r="D136" t="s">
        <v>25</v>
      </c>
      <c r="E136">
        <v>0</v>
      </c>
      <c r="F136">
        <v>0</v>
      </c>
      <c r="G136">
        <v>0.89900000000000002</v>
      </c>
      <c r="H136">
        <v>3.7349999999999999</v>
      </c>
      <c r="I136">
        <v>0.59499999999999997</v>
      </c>
      <c r="J136">
        <v>5.6589999999999998</v>
      </c>
      <c r="K136">
        <v>2.0110000000000001</v>
      </c>
      <c r="L136">
        <v>1.31</v>
      </c>
      <c r="M136">
        <v>2.9209999999999998</v>
      </c>
      <c r="N136">
        <v>4.83</v>
      </c>
      <c r="O136">
        <v>3.508</v>
      </c>
      <c r="P136">
        <v>2.1349999999999998</v>
      </c>
      <c r="Q136">
        <v>4.9080000000000004</v>
      </c>
    </row>
    <row r="137" spans="1:18" x14ac:dyDescent="0.2">
      <c r="A137" t="s">
        <v>36</v>
      </c>
      <c r="B137" t="s">
        <v>79</v>
      </c>
      <c r="C137" t="s">
        <v>77</v>
      </c>
      <c r="E137">
        <v>0</v>
      </c>
      <c r="F137">
        <v>0</v>
      </c>
      <c r="H137">
        <v>3.492</v>
      </c>
      <c r="I137">
        <v>0.95799999999999996</v>
      </c>
      <c r="J137">
        <v>2.4430000000000001</v>
      </c>
      <c r="K137">
        <v>1.161</v>
      </c>
      <c r="L137">
        <v>0.80300000000000005</v>
      </c>
      <c r="M137">
        <v>1.8069999999999999</v>
      </c>
      <c r="N137">
        <v>3.7639999999999998</v>
      </c>
      <c r="P137">
        <v>5.1680000000000001</v>
      </c>
      <c r="Q137">
        <v>26.728999999999999</v>
      </c>
      <c r="R137">
        <v>373.80900000000003</v>
      </c>
    </row>
    <row r="138" spans="1:18" x14ac:dyDescent="0.2">
      <c r="A138" t="s">
        <v>36</v>
      </c>
      <c r="B138" t="s">
        <v>79</v>
      </c>
      <c r="C138" t="s">
        <v>77</v>
      </c>
      <c r="E138">
        <v>0</v>
      </c>
      <c r="F138">
        <v>0</v>
      </c>
      <c r="H138">
        <v>2.48</v>
      </c>
      <c r="I138">
        <v>0.60299999999999998</v>
      </c>
      <c r="P138">
        <v>2.2160000000000002</v>
      </c>
      <c r="Q138">
        <v>14.59</v>
      </c>
      <c r="R138">
        <v>725.89599999999996</v>
      </c>
    </row>
    <row r="139" spans="1:18" x14ac:dyDescent="0.2">
      <c r="A139" t="s">
        <v>36</v>
      </c>
      <c r="B139" t="s">
        <v>79</v>
      </c>
      <c r="C139" t="s">
        <v>77</v>
      </c>
      <c r="E139">
        <v>0</v>
      </c>
      <c r="F139">
        <v>0</v>
      </c>
      <c r="H139">
        <v>2.6949999999999998</v>
      </c>
      <c r="I139">
        <v>0.73</v>
      </c>
      <c r="P139">
        <v>5.1840000000000002</v>
      </c>
      <c r="Q139">
        <v>16.916</v>
      </c>
    </row>
    <row r="140" spans="1:18" x14ac:dyDescent="0.2">
      <c r="A140" t="s">
        <v>36</v>
      </c>
      <c r="B140" t="s">
        <v>74</v>
      </c>
      <c r="C140" t="s">
        <v>50</v>
      </c>
      <c r="E140">
        <v>0</v>
      </c>
      <c r="F140">
        <v>0</v>
      </c>
      <c r="G140">
        <v>0.93700000000000006</v>
      </c>
      <c r="H140">
        <v>3.2759999999999998</v>
      </c>
      <c r="I140">
        <v>0.749</v>
      </c>
      <c r="J140">
        <v>2.694</v>
      </c>
      <c r="K140">
        <v>1.2070000000000001</v>
      </c>
      <c r="L140">
        <v>1.1080000000000001</v>
      </c>
      <c r="M140">
        <v>2.5270000000000001</v>
      </c>
      <c r="N140">
        <v>4.0540000000000003</v>
      </c>
      <c r="P140">
        <v>5.556</v>
      </c>
      <c r="Q140">
        <v>17.588000000000001</v>
      </c>
      <c r="R140">
        <v>692.99699999999996</v>
      </c>
    </row>
    <row r="141" spans="1:18" x14ac:dyDescent="0.2">
      <c r="A141" t="s">
        <v>36</v>
      </c>
      <c r="B141" t="s">
        <v>74</v>
      </c>
      <c r="C141" t="s">
        <v>50</v>
      </c>
      <c r="E141">
        <v>0</v>
      </c>
      <c r="F141">
        <v>0</v>
      </c>
      <c r="G141">
        <v>0.95199999999999996</v>
      </c>
      <c r="H141">
        <v>3.847</v>
      </c>
      <c r="I141">
        <v>1.468</v>
      </c>
      <c r="P141">
        <v>2.7330000000000001</v>
      </c>
      <c r="Q141">
        <v>21.722000000000001</v>
      </c>
      <c r="R141">
        <v>520.31100000000004</v>
      </c>
    </row>
    <row r="142" spans="1:18" x14ac:dyDescent="0.2">
      <c r="A142" t="s">
        <v>36</v>
      </c>
      <c r="B142" t="s">
        <v>74</v>
      </c>
      <c r="C142" t="s">
        <v>50</v>
      </c>
      <c r="E142">
        <v>0</v>
      </c>
      <c r="F142">
        <v>0</v>
      </c>
      <c r="G142">
        <v>0.84599999999999997</v>
      </c>
      <c r="H142">
        <v>2.653</v>
      </c>
      <c r="I142">
        <v>0.87</v>
      </c>
      <c r="P142">
        <v>3.238</v>
      </c>
      <c r="Q142">
        <v>14.788</v>
      </c>
    </row>
    <row r="143" spans="1:18" x14ac:dyDescent="0.2">
      <c r="A143" t="s">
        <v>36</v>
      </c>
      <c r="B143" t="s">
        <v>73</v>
      </c>
      <c r="C143" t="s">
        <v>38</v>
      </c>
      <c r="E143">
        <v>0</v>
      </c>
      <c r="F143">
        <v>0</v>
      </c>
      <c r="G143">
        <v>1.1140000000000001</v>
      </c>
      <c r="H143">
        <v>2.3650000000000002</v>
      </c>
      <c r="I143">
        <v>0.57899999999999996</v>
      </c>
      <c r="J143">
        <v>3</v>
      </c>
      <c r="K143">
        <v>0.60599999999999998</v>
      </c>
      <c r="L143">
        <v>0.59499999999999997</v>
      </c>
      <c r="M143">
        <v>2.2879999999999998</v>
      </c>
      <c r="N143">
        <v>3.448</v>
      </c>
      <c r="O143">
        <v>2.887</v>
      </c>
      <c r="P143">
        <v>3.7949999999999999</v>
      </c>
      <c r="Q143">
        <v>29.815999999999999</v>
      </c>
      <c r="R143">
        <v>770.83900000000006</v>
      </c>
    </row>
    <row r="144" spans="1:18" x14ac:dyDescent="0.2">
      <c r="A144" t="s">
        <v>36</v>
      </c>
      <c r="B144" t="s">
        <v>73</v>
      </c>
      <c r="C144" t="s">
        <v>38</v>
      </c>
      <c r="E144">
        <v>0</v>
      </c>
      <c r="F144">
        <v>0</v>
      </c>
      <c r="G144">
        <v>0.79500000000000004</v>
      </c>
      <c r="H144">
        <v>2.3580000000000001</v>
      </c>
      <c r="I144">
        <v>0.37</v>
      </c>
      <c r="J144">
        <v>2.5710000000000002</v>
      </c>
      <c r="K144">
        <v>2.1269999999999998</v>
      </c>
      <c r="L144">
        <v>1.9790000000000001</v>
      </c>
      <c r="M144">
        <v>2.077</v>
      </c>
      <c r="N144">
        <v>3.6619999999999999</v>
      </c>
      <c r="O144">
        <v>3.6850000000000001</v>
      </c>
      <c r="P144">
        <v>3.4620000000000002</v>
      </c>
      <c r="Q144">
        <v>3.8</v>
      </c>
    </row>
    <row r="145" spans="1:18" x14ac:dyDescent="0.2">
      <c r="A145" t="s">
        <v>36</v>
      </c>
      <c r="B145" t="s">
        <v>73</v>
      </c>
      <c r="C145" t="s">
        <v>38</v>
      </c>
      <c r="E145">
        <v>0</v>
      </c>
      <c r="F145">
        <v>0</v>
      </c>
      <c r="G145">
        <v>0.998</v>
      </c>
      <c r="H145">
        <v>3.4609999999999999</v>
      </c>
      <c r="I145">
        <v>0.70599999999999996</v>
      </c>
      <c r="J145">
        <v>3.4220000000000002</v>
      </c>
      <c r="K145">
        <v>1.488</v>
      </c>
      <c r="L145">
        <v>1.4550000000000001</v>
      </c>
      <c r="M145">
        <v>2.5</v>
      </c>
      <c r="N145">
        <v>3.4980000000000002</v>
      </c>
      <c r="P145">
        <v>5.1710000000000003</v>
      </c>
      <c r="Q145">
        <v>23.29</v>
      </c>
    </row>
    <row r="146" spans="1:18" x14ac:dyDescent="0.2">
      <c r="A146" t="s">
        <v>36</v>
      </c>
      <c r="B146" t="s">
        <v>82</v>
      </c>
    </row>
    <row r="147" spans="1:18" x14ac:dyDescent="0.2">
      <c r="A147" t="s">
        <v>36</v>
      </c>
      <c r="B147" t="s">
        <v>75</v>
      </c>
      <c r="C147" t="s">
        <v>50</v>
      </c>
      <c r="G147">
        <v>0.84499999999999997</v>
      </c>
      <c r="H147">
        <v>2.7519999999999998</v>
      </c>
      <c r="I147">
        <v>0.66400000000000003</v>
      </c>
      <c r="J147">
        <v>2.0099999999999998</v>
      </c>
      <c r="K147">
        <v>0.45100000000000001</v>
      </c>
      <c r="L147">
        <v>0.38</v>
      </c>
      <c r="M147">
        <v>1.4259999999999999</v>
      </c>
      <c r="N147">
        <v>4.2430000000000003</v>
      </c>
      <c r="O147">
        <v>4.9790000000000001</v>
      </c>
      <c r="P147">
        <v>5.7290000000000001</v>
      </c>
      <c r="Q147">
        <v>7.4320000000000004</v>
      </c>
      <c r="R147">
        <v>845.24</v>
      </c>
    </row>
    <row r="148" spans="1:18" x14ac:dyDescent="0.2">
      <c r="A148" t="s">
        <v>36</v>
      </c>
      <c r="B148" t="s">
        <v>75</v>
      </c>
      <c r="C148" t="s">
        <v>50</v>
      </c>
      <c r="G148">
        <v>1.3049999999999999</v>
      </c>
      <c r="H148">
        <v>2.1960000000000002</v>
      </c>
      <c r="I148">
        <v>0.36</v>
      </c>
      <c r="J148">
        <v>2.7829999999999999</v>
      </c>
      <c r="K148">
        <v>1.0569999999999999</v>
      </c>
      <c r="L148">
        <v>0.94099999999999995</v>
      </c>
      <c r="M148">
        <v>1.4339999999999999</v>
      </c>
      <c r="N148">
        <v>4.0940000000000003</v>
      </c>
      <c r="O148">
        <v>4.0490000000000004</v>
      </c>
      <c r="P148">
        <v>4.7919999999999998</v>
      </c>
      <c r="Q148">
        <v>23.524999999999999</v>
      </c>
    </row>
    <row r="149" spans="1:18" x14ac:dyDescent="0.2">
      <c r="A149" t="s">
        <v>36</v>
      </c>
      <c r="B149" t="s">
        <v>75</v>
      </c>
      <c r="C149" t="s">
        <v>50</v>
      </c>
      <c r="G149">
        <v>1.583</v>
      </c>
      <c r="H149">
        <v>3.7349999999999999</v>
      </c>
      <c r="I149">
        <v>0.70499999999999996</v>
      </c>
      <c r="P149">
        <v>3.8220000000000001</v>
      </c>
      <c r="Q149">
        <v>33.098999999999997</v>
      </c>
    </row>
    <row r="150" spans="1:18" x14ac:dyDescent="0.2">
      <c r="A150" t="s">
        <v>36</v>
      </c>
      <c r="B150" t="s">
        <v>83</v>
      </c>
      <c r="C150" t="s">
        <v>77</v>
      </c>
      <c r="H150">
        <v>1.645</v>
      </c>
      <c r="I150">
        <v>0.34599999999999997</v>
      </c>
      <c r="J150">
        <v>2.3719999999999999</v>
      </c>
      <c r="K150">
        <v>1.413</v>
      </c>
      <c r="L150">
        <v>1.0049999999999999</v>
      </c>
      <c r="M150">
        <v>1.302</v>
      </c>
      <c r="N150">
        <v>3.4460000000000002</v>
      </c>
      <c r="O150">
        <v>2.976</v>
      </c>
      <c r="P150">
        <v>2.37</v>
      </c>
      <c r="Q150">
        <v>17.329999999999998</v>
      </c>
      <c r="R150">
        <v>497.98599999999999</v>
      </c>
    </row>
    <row r="151" spans="1:18" x14ac:dyDescent="0.2">
      <c r="A151" t="s">
        <v>36</v>
      </c>
      <c r="B151" t="s">
        <v>83</v>
      </c>
      <c r="C151" t="s">
        <v>77</v>
      </c>
      <c r="H151">
        <v>2.4740000000000002</v>
      </c>
      <c r="I151">
        <v>0.26900000000000002</v>
      </c>
      <c r="J151">
        <v>2.9580000000000002</v>
      </c>
      <c r="K151">
        <v>1.0369999999999999</v>
      </c>
      <c r="L151">
        <v>1.147</v>
      </c>
      <c r="M151">
        <v>1.64</v>
      </c>
      <c r="N151">
        <v>3.87</v>
      </c>
      <c r="O151">
        <v>2.468</v>
      </c>
      <c r="P151">
        <v>1.1859999999999999</v>
      </c>
      <c r="Q151">
        <v>10.564</v>
      </c>
    </row>
    <row r="152" spans="1:18" x14ac:dyDescent="0.2">
      <c r="A152" t="s">
        <v>36</v>
      </c>
      <c r="B152" t="s">
        <v>83</v>
      </c>
      <c r="C152" t="s">
        <v>77</v>
      </c>
      <c r="H152">
        <v>3.7360000000000002</v>
      </c>
      <c r="I152">
        <v>0.39900000000000002</v>
      </c>
      <c r="P152">
        <v>2.3820000000000001</v>
      </c>
      <c r="Q152">
        <v>9.1880000000000006</v>
      </c>
    </row>
    <row r="153" spans="1:18" x14ac:dyDescent="0.2">
      <c r="A153" t="s">
        <v>36</v>
      </c>
      <c r="B153" t="s">
        <v>84</v>
      </c>
      <c r="C153" t="s">
        <v>50</v>
      </c>
      <c r="H153">
        <v>2.129</v>
      </c>
      <c r="I153">
        <v>1.256</v>
      </c>
      <c r="J153">
        <v>2.2450000000000001</v>
      </c>
      <c r="K153">
        <v>1.1850000000000001</v>
      </c>
      <c r="L153">
        <v>0.98299999999999998</v>
      </c>
      <c r="M153">
        <v>1.2749999999999999</v>
      </c>
      <c r="N153">
        <v>2.96</v>
      </c>
      <c r="O153">
        <v>1.6319999999999999</v>
      </c>
      <c r="P153">
        <v>4.2119999999999997</v>
      </c>
      <c r="Q153">
        <v>11.595000000000001</v>
      </c>
      <c r="R153">
        <v>590.78200000000004</v>
      </c>
    </row>
    <row r="154" spans="1:18" x14ac:dyDescent="0.2">
      <c r="A154" t="s">
        <v>36</v>
      </c>
      <c r="B154" t="s">
        <v>84</v>
      </c>
      <c r="C154" t="s">
        <v>50</v>
      </c>
      <c r="H154">
        <v>2.2229999999999999</v>
      </c>
      <c r="I154">
        <v>0.63300000000000001</v>
      </c>
      <c r="J154">
        <v>2.6379999999999999</v>
      </c>
      <c r="K154">
        <v>1.4990000000000001</v>
      </c>
      <c r="L154">
        <v>1.3280000000000001</v>
      </c>
      <c r="M154">
        <v>1.8720000000000001</v>
      </c>
      <c r="N154">
        <v>3.1869999999999998</v>
      </c>
      <c r="O154">
        <v>1.7290000000000001</v>
      </c>
      <c r="P154">
        <v>2.5939999999999999</v>
      </c>
      <c r="Q154">
        <v>10.677</v>
      </c>
    </row>
    <row r="155" spans="1:18" x14ac:dyDescent="0.2">
      <c r="A155" t="s">
        <v>36</v>
      </c>
      <c r="B155" t="s">
        <v>84</v>
      </c>
      <c r="C155" t="s">
        <v>50</v>
      </c>
      <c r="H155">
        <v>3.6379999999999999</v>
      </c>
      <c r="I155">
        <v>1.2569999999999999</v>
      </c>
      <c r="P155">
        <v>4.9649999999999999</v>
      </c>
      <c r="Q155">
        <v>7.5229999999999997</v>
      </c>
    </row>
    <row r="156" spans="1:18" x14ac:dyDescent="0.2">
      <c r="A156" t="s">
        <v>85</v>
      </c>
      <c r="B156" t="s">
        <v>86</v>
      </c>
      <c r="C156" t="s">
        <v>87</v>
      </c>
      <c r="D156" t="s">
        <v>21</v>
      </c>
      <c r="E156">
        <v>0</v>
      </c>
      <c r="F156">
        <v>0</v>
      </c>
      <c r="G156">
        <v>0</v>
      </c>
      <c r="H156">
        <v>3.9</v>
      </c>
      <c r="I156">
        <v>0.81599999999999995</v>
      </c>
      <c r="J156">
        <v>2.9159999999999999</v>
      </c>
      <c r="K156">
        <v>0.77300000000000002</v>
      </c>
      <c r="L156">
        <v>0.71499999999999997</v>
      </c>
      <c r="M156">
        <v>3.05</v>
      </c>
      <c r="N156">
        <v>3.6920000000000002</v>
      </c>
      <c r="O156">
        <v>3.1549999999999998</v>
      </c>
      <c r="P156">
        <v>5.3170000000000002</v>
      </c>
      <c r="Q156">
        <v>28.4</v>
      </c>
      <c r="R156">
        <v>589.41800000000001</v>
      </c>
    </row>
    <row r="157" spans="1:18" x14ac:dyDescent="0.2">
      <c r="A157" t="s">
        <v>85</v>
      </c>
      <c r="B157" t="s">
        <v>86</v>
      </c>
      <c r="C157" t="s">
        <v>87</v>
      </c>
      <c r="D157" t="s">
        <v>25</v>
      </c>
      <c r="E157">
        <v>0</v>
      </c>
      <c r="F157">
        <v>0</v>
      </c>
      <c r="G157">
        <v>0</v>
      </c>
      <c r="H157">
        <v>2.4409999999999998</v>
      </c>
      <c r="I157">
        <v>0.53200000000000003</v>
      </c>
      <c r="J157">
        <v>2.9649999999999999</v>
      </c>
      <c r="K157">
        <v>1.079</v>
      </c>
      <c r="L157">
        <v>0.83</v>
      </c>
      <c r="M157">
        <v>3.1179999999999999</v>
      </c>
      <c r="N157">
        <v>2.4140000000000001</v>
      </c>
      <c r="O157">
        <v>2.0499999999999998</v>
      </c>
      <c r="P157">
        <v>5.6420000000000003</v>
      </c>
      <c r="Q157">
        <v>27.811</v>
      </c>
    </row>
    <row r="158" spans="1:18" x14ac:dyDescent="0.2">
      <c r="A158" t="s">
        <v>85</v>
      </c>
      <c r="B158" t="s">
        <v>86</v>
      </c>
      <c r="C158" t="s">
        <v>87</v>
      </c>
      <c r="D158" t="s">
        <v>21</v>
      </c>
      <c r="E158">
        <v>0</v>
      </c>
      <c r="F158">
        <v>0</v>
      </c>
      <c r="G158">
        <v>0</v>
      </c>
      <c r="H158">
        <v>5.3739999999999997</v>
      </c>
      <c r="I158">
        <v>1.5580000000000001</v>
      </c>
      <c r="J158">
        <v>2.6389999999999998</v>
      </c>
      <c r="K158">
        <v>0.85499999999999998</v>
      </c>
      <c r="L158">
        <v>0.75</v>
      </c>
      <c r="M158">
        <v>2.56</v>
      </c>
      <c r="N158">
        <v>3.7120000000000002</v>
      </c>
      <c r="O158">
        <v>2.681</v>
      </c>
      <c r="P158">
        <v>4.3259999999999996</v>
      </c>
      <c r="Q158">
        <v>24.45</v>
      </c>
    </row>
    <row r="159" spans="1:18" x14ac:dyDescent="0.2">
      <c r="A159" t="s">
        <v>85</v>
      </c>
      <c r="B159" t="s">
        <v>88</v>
      </c>
      <c r="C159" t="s">
        <v>87</v>
      </c>
      <c r="D159" t="s">
        <v>24</v>
      </c>
      <c r="E159">
        <v>0</v>
      </c>
      <c r="F159">
        <v>0</v>
      </c>
      <c r="G159">
        <v>0</v>
      </c>
      <c r="H159">
        <v>5.6840000000000002</v>
      </c>
      <c r="I159">
        <v>2.399</v>
      </c>
      <c r="J159">
        <v>2.1429999999999998</v>
      </c>
      <c r="K159">
        <v>0.628</v>
      </c>
      <c r="L159">
        <v>0.53500000000000003</v>
      </c>
      <c r="M159">
        <v>2.2240000000000002</v>
      </c>
      <c r="N159">
        <v>2.7320000000000002</v>
      </c>
      <c r="O159">
        <v>3.3620000000000001</v>
      </c>
      <c r="P159">
        <v>5.5670000000000002</v>
      </c>
      <c r="Q159">
        <v>20.312999999999999</v>
      </c>
      <c r="R159">
        <v>776.40599999999995</v>
      </c>
    </row>
    <row r="160" spans="1:18" x14ac:dyDescent="0.2">
      <c r="A160" t="s">
        <v>85</v>
      </c>
      <c r="B160" t="s">
        <v>88</v>
      </c>
      <c r="C160" t="s">
        <v>87</v>
      </c>
      <c r="D160" t="s">
        <v>24</v>
      </c>
      <c r="E160">
        <v>0</v>
      </c>
      <c r="F160">
        <v>0</v>
      </c>
      <c r="G160">
        <v>0</v>
      </c>
      <c r="H160">
        <v>4.38</v>
      </c>
      <c r="I160">
        <v>1.599</v>
      </c>
      <c r="J160">
        <v>2.8119999999999998</v>
      </c>
      <c r="K160">
        <v>1.222</v>
      </c>
      <c r="L160">
        <v>1.151</v>
      </c>
      <c r="M160">
        <v>1.4870000000000001</v>
      </c>
      <c r="N160">
        <v>2.125</v>
      </c>
      <c r="O160">
        <v>3.25</v>
      </c>
      <c r="P160">
        <v>4.2210000000000001</v>
      </c>
      <c r="Q160">
        <v>21.190999999999999</v>
      </c>
      <c r="R160">
        <v>609.13800000000003</v>
      </c>
    </row>
    <row r="161" spans="1:18" x14ac:dyDescent="0.2">
      <c r="A161" t="s">
        <v>85</v>
      </c>
      <c r="B161" t="s">
        <v>88</v>
      </c>
      <c r="C161" t="s">
        <v>87</v>
      </c>
      <c r="D161" t="s">
        <v>21</v>
      </c>
      <c r="E161">
        <v>0</v>
      </c>
      <c r="F161">
        <v>0</v>
      </c>
      <c r="G161">
        <v>0</v>
      </c>
      <c r="H161">
        <v>3.1840000000000002</v>
      </c>
      <c r="I161">
        <v>0.7</v>
      </c>
      <c r="J161">
        <v>2.3199999999999998</v>
      </c>
      <c r="K161">
        <v>1.0660000000000001</v>
      </c>
      <c r="L161">
        <v>0.95</v>
      </c>
      <c r="M161">
        <v>1.1759999999999999</v>
      </c>
      <c r="N161">
        <v>3.1859999999999999</v>
      </c>
      <c r="O161">
        <v>3.0209999999999999</v>
      </c>
      <c r="P161">
        <v>2.1280000000000001</v>
      </c>
      <c r="Q161">
        <v>16.477</v>
      </c>
    </row>
    <row r="162" spans="1:18" x14ac:dyDescent="0.2">
      <c r="A162" t="s">
        <v>85</v>
      </c>
      <c r="B162" t="s">
        <v>89</v>
      </c>
      <c r="C162" t="s">
        <v>87</v>
      </c>
      <c r="D162" t="s">
        <v>24</v>
      </c>
      <c r="E162">
        <v>0</v>
      </c>
      <c r="F162">
        <v>0</v>
      </c>
      <c r="G162">
        <v>0</v>
      </c>
      <c r="H162">
        <v>2.9049999999999998</v>
      </c>
      <c r="I162">
        <v>1.204</v>
      </c>
      <c r="J162">
        <v>2.7370000000000001</v>
      </c>
      <c r="K162">
        <v>1.214</v>
      </c>
      <c r="L162">
        <v>1.1539999999999999</v>
      </c>
      <c r="M162">
        <v>2.149</v>
      </c>
      <c r="N162">
        <v>3.39</v>
      </c>
      <c r="O162">
        <v>4.2750000000000004</v>
      </c>
      <c r="P162">
        <v>5.1230000000000002</v>
      </c>
      <c r="Q162">
        <v>18.311</v>
      </c>
      <c r="R162">
        <v>515.97799999999995</v>
      </c>
    </row>
    <row r="163" spans="1:18" x14ac:dyDescent="0.2">
      <c r="A163" t="s">
        <v>85</v>
      </c>
      <c r="B163" t="s">
        <v>89</v>
      </c>
      <c r="C163" t="s">
        <v>87</v>
      </c>
      <c r="D163" t="s">
        <v>21</v>
      </c>
      <c r="E163">
        <v>0</v>
      </c>
      <c r="F163">
        <v>0</v>
      </c>
      <c r="G163">
        <v>0</v>
      </c>
      <c r="H163">
        <v>2.6349999999999998</v>
      </c>
      <c r="I163">
        <v>0.97199999999999998</v>
      </c>
      <c r="J163">
        <v>2.4470000000000001</v>
      </c>
      <c r="K163">
        <v>0.86399999999999999</v>
      </c>
      <c r="L163">
        <v>0.61199999999999999</v>
      </c>
      <c r="M163">
        <v>1.794</v>
      </c>
      <c r="N163">
        <v>3.59</v>
      </c>
      <c r="O163">
        <v>3.226</v>
      </c>
      <c r="P163">
        <v>2.7469999999999999</v>
      </c>
      <c r="Q163">
        <v>19.195</v>
      </c>
      <c r="R163">
        <v>481.68799999999999</v>
      </c>
    </row>
    <row r="164" spans="1:18" x14ac:dyDescent="0.2">
      <c r="A164" t="s">
        <v>85</v>
      </c>
      <c r="B164" t="s">
        <v>89</v>
      </c>
      <c r="C164" t="s">
        <v>87</v>
      </c>
      <c r="D164" t="s">
        <v>21</v>
      </c>
      <c r="E164">
        <v>0</v>
      </c>
      <c r="F164">
        <v>0</v>
      </c>
      <c r="G164">
        <v>0</v>
      </c>
      <c r="H164">
        <v>2.9830000000000001</v>
      </c>
      <c r="I164">
        <v>1.0629999999999999</v>
      </c>
      <c r="J164">
        <v>2.7789999999999999</v>
      </c>
      <c r="K164">
        <v>1.0329999999999999</v>
      </c>
      <c r="L164">
        <v>0.96899999999999997</v>
      </c>
      <c r="M164">
        <v>2.3769999999999998</v>
      </c>
      <c r="N164">
        <v>3.5779999999999998</v>
      </c>
      <c r="O164">
        <v>3.782</v>
      </c>
      <c r="P164">
        <v>6.1689999999999996</v>
      </c>
      <c r="Q164">
        <v>18.228999999999999</v>
      </c>
    </row>
    <row r="165" spans="1:18" x14ac:dyDescent="0.2">
      <c r="A165" t="s">
        <v>85</v>
      </c>
      <c r="B165" t="s">
        <v>90</v>
      </c>
      <c r="C165" t="s">
        <v>87</v>
      </c>
      <c r="D165" t="s">
        <v>21</v>
      </c>
      <c r="E165">
        <v>0</v>
      </c>
      <c r="F165">
        <v>0</v>
      </c>
      <c r="G165">
        <v>0</v>
      </c>
      <c r="H165">
        <v>3.9180000000000001</v>
      </c>
      <c r="I165">
        <v>1.984</v>
      </c>
      <c r="J165">
        <v>4.1109999999999998</v>
      </c>
      <c r="K165">
        <v>1.4470000000000001</v>
      </c>
      <c r="L165">
        <v>1.264</v>
      </c>
      <c r="M165">
        <v>2.0579999999999998</v>
      </c>
      <c r="N165">
        <v>3.0289999999999999</v>
      </c>
      <c r="O165">
        <v>2.431</v>
      </c>
      <c r="P165">
        <v>2.3559999999999999</v>
      </c>
      <c r="Q165">
        <v>10.217000000000001</v>
      </c>
      <c r="R165">
        <v>819.07</v>
      </c>
    </row>
    <row r="166" spans="1:18" x14ac:dyDescent="0.2">
      <c r="A166" t="s">
        <v>85</v>
      </c>
      <c r="B166" t="s">
        <v>90</v>
      </c>
      <c r="C166" t="s">
        <v>87</v>
      </c>
      <c r="D166" t="s">
        <v>21</v>
      </c>
      <c r="E166">
        <v>0</v>
      </c>
      <c r="F166">
        <v>0</v>
      </c>
      <c r="G166">
        <v>0</v>
      </c>
      <c r="H166">
        <v>3.847</v>
      </c>
      <c r="I166">
        <v>2.2429999999999999</v>
      </c>
      <c r="J166">
        <v>3.2930000000000001</v>
      </c>
      <c r="K166">
        <v>1.2769999999999999</v>
      </c>
      <c r="L166">
        <v>1.1379999999999999</v>
      </c>
      <c r="M166">
        <v>1.0860000000000001</v>
      </c>
      <c r="N166">
        <v>2.6280000000000001</v>
      </c>
      <c r="O166">
        <v>2.871</v>
      </c>
      <c r="P166">
        <v>5.8959999999999999</v>
      </c>
      <c r="Q166">
        <v>12.718</v>
      </c>
    </row>
    <row r="167" spans="1:18" x14ac:dyDescent="0.2">
      <c r="A167" t="s">
        <v>85</v>
      </c>
      <c r="B167" t="s">
        <v>90</v>
      </c>
      <c r="C167" t="s">
        <v>87</v>
      </c>
      <c r="D167" t="s">
        <v>21</v>
      </c>
      <c r="E167">
        <v>0</v>
      </c>
      <c r="F167">
        <v>0</v>
      </c>
      <c r="G167">
        <v>0</v>
      </c>
      <c r="H167">
        <v>3.956</v>
      </c>
      <c r="I167">
        <v>2.1</v>
      </c>
      <c r="J167">
        <v>3.6560000000000001</v>
      </c>
      <c r="K167">
        <v>1.651</v>
      </c>
      <c r="L167">
        <v>1.2569999999999999</v>
      </c>
      <c r="M167">
        <v>1.7090000000000001</v>
      </c>
      <c r="N167">
        <v>3.1619999999999999</v>
      </c>
      <c r="O167">
        <v>2.9580000000000002</v>
      </c>
      <c r="P167">
        <v>2.226</v>
      </c>
      <c r="Q167">
        <v>11.782999999999999</v>
      </c>
    </row>
    <row r="168" spans="1:18" x14ac:dyDescent="0.2">
      <c r="A168" t="s">
        <v>85</v>
      </c>
      <c r="B168" t="s">
        <v>91</v>
      </c>
      <c r="C168" t="s">
        <v>87</v>
      </c>
      <c r="D168" t="s">
        <v>21</v>
      </c>
      <c r="E168">
        <v>0</v>
      </c>
      <c r="F168">
        <v>0</v>
      </c>
      <c r="G168">
        <v>0</v>
      </c>
      <c r="H168">
        <v>5.2729999999999997</v>
      </c>
      <c r="I168">
        <v>1.736</v>
      </c>
      <c r="J168">
        <v>3.133</v>
      </c>
      <c r="K168">
        <v>0.70899999999999996</v>
      </c>
      <c r="L168">
        <v>0.47399999999999998</v>
      </c>
      <c r="M168">
        <v>1.9930000000000001</v>
      </c>
      <c r="N168">
        <v>3.698</v>
      </c>
      <c r="O168">
        <v>2.5750000000000002</v>
      </c>
      <c r="P168">
        <v>3.04</v>
      </c>
      <c r="Q168">
        <v>22.253</v>
      </c>
      <c r="R168">
        <v>961.61900000000003</v>
      </c>
    </row>
    <row r="169" spans="1:18" x14ac:dyDescent="0.2">
      <c r="A169" t="s">
        <v>85</v>
      </c>
      <c r="B169" t="s">
        <v>91</v>
      </c>
      <c r="C169" t="s">
        <v>87</v>
      </c>
      <c r="D169" t="s">
        <v>21</v>
      </c>
      <c r="E169">
        <v>0</v>
      </c>
      <c r="F169">
        <v>0</v>
      </c>
      <c r="G169">
        <v>0</v>
      </c>
      <c r="H169">
        <v>4.1159999999999997</v>
      </c>
      <c r="I169">
        <v>1.2789999999999999</v>
      </c>
      <c r="J169">
        <v>3.7090000000000001</v>
      </c>
      <c r="K169">
        <v>0.89600000000000002</v>
      </c>
      <c r="L169">
        <v>0.55900000000000005</v>
      </c>
      <c r="M169">
        <v>2.3919999999999999</v>
      </c>
      <c r="N169">
        <v>2.778</v>
      </c>
      <c r="O169">
        <v>3.5510000000000002</v>
      </c>
      <c r="P169">
        <v>3.6070000000000002</v>
      </c>
      <c r="Q169">
        <v>18.007999999999999</v>
      </c>
      <c r="R169">
        <v>655.32299999999998</v>
      </c>
    </row>
    <row r="170" spans="1:18" x14ac:dyDescent="0.2">
      <c r="A170" t="s">
        <v>85</v>
      </c>
      <c r="B170" t="s">
        <v>91</v>
      </c>
      <c r="C170" t="s">
        <v>87</v>
      </c>
      <c r="D170" t="s">
        <v>24</v>
      </c>
      <c r="E170">
        <v>0</v>
      </c>
      <c r="F170">
        <v>0</v>
      </c>
      <c r="G170">
        <v>0</v>
      </c>
      <c r="H170">
        <v>5.5289999999999999</v>
      </c>
      <c r="I170">
        <v>2.5499999999999998</v>
      </c>
      <c r="J170">
        <v>3.39</v>
      </c>
      <c r="K170">
        <v>0.88</v>
      </c>
      <c r="L170">
        <v>0.60799999999999998</v>
      </c>
      <c r="M170">
        <v>2.5510000000000002</v>
      </c>
      <c r="N170">
        <v>2.3730000000000002</v>
      </c>
      <c r="O170">
        <v>3.4529999999999998</v>
      </c>
      <c r="P170">
        <v>4.0049999999999999</v>
      </c>
      <c r="Q170">
        <v>21.521999999999998</v>
      </c>
    </row>
    <row r="171" spans="1:18" x14ac:dyDescent="0.2">
      <c r="A171" t="s">
        <v>85</v>
      </c>
      <c r="B171" t="s">
        <v>92</v>
      </c>
      <c r="C171" t="s">
        <v>87</v>
      </c>
      <c r="D171" t="s">
        <v>24</v>
      </c>
      <c r="E171">
        <v>0</v>
      </c>
      <c r="F171">
        <v>0</v>
      </c>
      <c r="G171">
        <v>0</v>
      </c>
      <c r="H171">
        <v>4.7240000000000002</v>
      </c>
      <c r="I171">
        <v>1.2030000000000001</v>
      </c>
      <c r="J171">
        <v>3.2109999999999999</v>
      </c>
      <c r="K171">
        <v>0.94899999999999995</v>
      </c>
      <c r="L171">
        <v>0.749</v>
      </c>
      <c r="M171">
        <v>2.4630000000000001</v>
      </c>
      <c r="N171">
        <v>2.4279999999999999</v>
      </c>
      <c r="O171">
        <v>2.7530000000000001</v>
      </c>
      <c r="P171">
        <v>1.6439999999999999</v>
      </c>
      <c r="Q171">
        <v>27.016999999999999</v>
      </c>
      <c r="R171">
        <v>936.63</v>
      </c>
    </row>
    <row r="172" spans="1:18" x14ac:dyDescent="0.2">
      <c r="A172" t="s">
        <v>85</v>
      </c>
      <c r="B172" t="s">
        <v>92</v>
      </c>
      <c r="C172" t="s">
        <v>87</v>
      </c>
      <c r="D172" t="s">
        <v>21</v>
      </c>
      <c r="E172">
        <v>0</v>
      </c>
      <c r="F172">
        <v>0</v>
      </c>
      <c r="G172">
        <v>0</v>
      </c>
      <c r="H172">
        <v>4.327</v>
      </c>
      <c r="I172">
        <v>1.194</v>
      </c>
      <c r="J172">
        <v>2.468</v>
      </c>
      <c r="K172">
        <v>0.81599999999999995</v>
      </c>
      <c r="L172">
        <v>0.77600000000000002</v>
      </c>
      <c r="M172">
        <v>1.5920000000000001</v>
      </c>
      <c r="N172">
        <v>2.4780000000000002</v>
      </c>
      <c r="O172">
        <v>2.8359999999999999</v>
      </c>
      <c r="P172">
        <v>2.681</v>
      </c>
      <c r="Q172">
        <v>20.802</v>
      </c>
      <c r="R172">
        <v>847.24</v>
      </c>
    </row>
    <row r="173" spans="1:18" x14ac:dyDescent="0.2">
      <c r="A173" t="s">
        <v>85</v>
      </c>
      <c r="B173" t="s">
        <v>92</v>
      </c>
      <c r="C173" t="s">
        <v>87</v>
      </c>
      <c r="D173" t="s">
        <v>21</v>
      </c>
      <c r="E173">
        <v>0</v>
      </c>
      <c r="F173">
        <v>0</v>
      </c>
      <c r="G173">
        <v>0</v>
      </c>
      <c r="H173">
        <v>3.581</v>
      </c>
      <c r="I173">
        <v>1.0449999999999999</v>
      </c>
      <c r="N173">
        <v>2.3050000000000002</v>
      </c>
      <c r="O173">
        <v>2.6869999999999998</v>
      </c>
      <c r="P173">
        <v>2.7050000000000001</v>
      </c>
      <c r="Q173">
        <v>25.486999999999998</v>
      </c>
      <c r="R173">
        <v>673.39300000000003</v>
      </c>
    </row>
    <row r="174" spans="1:18" x14ac:dyDescent="0.2">
      <c r="A174" t="s">
        <v>85</v>
      </c>
      <c r="B174" t="s">
        <v>93</v>
      </c>
      <c r="C174" t="s">
        <v>20</v>
      </c>
      <c r="D174" t="s">
        <v>21</v>
      </c>
      <c r="E174">
        <v>0</v>
      </c>
      <c r="F174">
        <v>0</v>
      </c>
      <c r="G174">
        <v>0</v>
      </c>
      <c r="H174">
        <v>4.3310000000000004</v>
      </c>
      <c r="I174">
        <v>1.042</v>
      </c>
      <c r="J174">
        <v>4.008</v>
      </c>
      <c r="K174">
        <v>0.97099999999999997</v>
      </c>
      <c r="M174">
        <v>1.952</v>
      </c>
      <c r="N174">
        <v>4.2839999999999998</v>
      </c>
      <c r="O174">
        <v>3.254</v>
      </c>
      <c r="P174">
        <v>5.4459999999999997</v>
      </c>
      <c r="Q174">
        <v>16.495999999999999</v>
      </c>
      <c r="R174">
        <v>892.92</v>
      </c>
    </row>
    <row r="175" spans="1:18" x14ac:dyDescent="0.2">
      <c r="A175" t="s">
        <v>85</v>
      </c>
      <c r="B175" t="s">
        <v>93</v>
      </c>
      <c r="C175" t="s">
        <v>20</v>
      </c>
      <c r="D175" t="s">
        <v>21</v>
      </c>
      <c r="E175">
        <v>0</v>
      </c>
      <c r="F175">
        <v>0</v>
      </c>
      <c r="G175">
        <v>0</v>
      </c>
      <c r="H175">
        <v>3.8330000000000002</v>
      </c>
      <c r="I175">
        <v>1.5389999999999999</v>
      </c>
      <c r="J175">
        <v>4.258</v>
      </c>
      <c r="K175">
        <v>1.617</v>
      </c>
      <c r="L175">
        <v>1.1739999999999999</v>
      </c>
      <c r="M175">
        <v>2.6509999999999998</v>
      </c>
      <c r="N175">
        <v>2.9750000000000001</v>
      </c>
      <c r="O175">
        <v>3.4590000000000001</v>
      </c>
      <c r="P175">
        <v>3.2330000000000001</v>
      </c>
      <c r="Q175">
        <v>14.372999999999999</v>
      </c>
      <c r="R175">
        <v>814.08199999999999</v>
      </c>
    </row>
    <row r="176" spans="1:18" x14ac:dyDescent="0.2">
      <c r="A176" t="s">
        <v>85</v>
      </c>
      <c r="B176" t="s">
        <v>93</v>
      </c>
      <c r="C176" t="s">
        <v>20</v>
      </c>
      <c r="D176" t="s">
        <v>21</v>
      </c>
      <c r="E176">
        <v>0</v>
      </c>
      <c r="F176">
        <v>0</v>
      </c>
      <c r="G176">
        <v>0</v>
      </c>
      <c r="H176">
        <v>3.5129999999999999</v>
      </c>
      <c r="I176">
        <v>1.516</v>
      </c>
      <c r="J176">
        <v>4.1459999999999999</v>
      </c>
      <c r="K176">
        <v>1.375</v>
      </c>
      <c r="L176">
        <v>1.1140000000000001</v>
      </c>
      <c r="M176">
        <v>2.7069999999999999</v>
      </c>
      <c r="N176">
        <v>3.657</v>
      </c>
      <c r="P176">
        <v>6.1859999999999999</v>
      </c>
      <c r="Q176">
        <v>10.852</v>
      </c>
    </row>
    <row r="177" spans="1:18" x14ac:dyDescent="0.2">
      <c r="A177" t="s">
        <v>85</v>
      </c>
      <c r="B177" t="s">
        <v>94</v>
      </c>
      <c r="C177" t="s">
        <v>50</v>
      </c>
      <c r="D177" t="s">
        <v>21</v>
      </c>
      <c r="E177">
        <v>0.871</v>
      </c>
      <c r="F177">
        <v>0.47899999999999998</v>
      </c>
      <c r="G177">
        <v>1.42</v>
      </c>
      <c r="H177">
        <v>4.3310000000000004</v>
      </c>
      <c r="I177">
        <v>1.042</v>
      </c>
      <c r="J177">
        <v>3.0339999999999998</v>
      </c>
      <c r="K177">
        <v>1.2689999999999999</v>
      </c>
      <c r="L177">
        <v>1.262</v>
      </c>
      <c r="M177">
        <v>1.2769999999999999</v>
      </c>
      <c r="N177">
        <v>2.0880000000000001</v>
      </c>
      <c r="O177">
        <v>2.5369999999999999</v>
      </c>
      <c r="P177">
        <v>1.9870000000000001</v>
      </c>
      <c r="Q177">
        <v>24.423999999999999</v>
      </c>
      <c r="R177">
        <v>578.25099999999998</v>
      </c>
    </row>
    <row r="178" spans="1:18" x14ac:dyDescent="0.2">
      <c r="A178" t="s">
        <v>85</v>
      </c>
      <c r="B178" t="s">
        <v>94</v>
      </c>
      <c r="C178" t="s">
        <v>50</v>
      </c>
      <c r="D178" t="s">
        <v>21</v>
      </c>
      <c r="H178">
        <v>3.8330000000000002</v>
      </c>
      <c r="I178">
        <v>1.5389999999999999</v>
      </c>
      <c r="J178">
        <v>2.89</v>
      </c>
      <c r="K178">
        <v>0.49399999999999999</v>
      </c>
      <c r="L178">
        <v>0.47499999999999998</v>
      </c>
      <c r="M178">
        <v>2.0790000000000002</v>
      </c>
      <c r="N178">
        <v>2.173</v>
      </c>
      <c r="P178">
        <v>2.968</v>
      </c>
      <c r="Q178">
        <v>24.018999999999998</v>
      </c>
      <c r="R178">
        <v>629.83199999999999</v>
      </c>
    </row>
    <row r="179" spans="1:18" x14ac:dyDescent="0.2">
      <c r="A179" t="s">
        <v>85</v>
      </c>
      <c r="B179" t="s">
        <v>94</v>
      </c>
      <c r="C179" t="s">
        <v>50</v>
      </c>
      <c r="H179">
        <v>3.5129999999999999</v>
      </c>
      <c r="I179">
        <v>1.516</v>
      </c>
      <c r="Q179">
        <v>24.904</v>
      </c>
    </row>
    <row r="180" spans="1:18" x14ac:dyDescent="0.2">
      <c r="A180" t="s">
        <v>85</v>
      </c>
      <c r="B180" t="s">
        <v>95</v>
      </c>
      <c r="C180" t="s">
        <v>87</v>
      </c>
      <c r="D180" t="s">
        <v>21</v>
      </c>
      <c r="E180">
        <v>0</v>
      </c>
      <c r="F180">
        <v>0</v>
      </c>
      <c r="G180">
        <v>0</v>
      </c>
      <c r="H180">
        <v>6.7249999999999996</v>
      </c>
      <c r="I180">
        <v>1.5960000000000001</v>
      </c>
    </row>
    <row r="181" spans="1:18" x14ac:dyDescent="0.2">
      <c r="A181" t="s">
        <v>85</v>
      </c>
      <c r="B181" t="s">
        <v>95</v>
      </c>
      <c r="C181" t="s">
        <v>87</v>
      </c>
      <c r="D181" t="s">
        <v>21</v>
      </c>
      <c r="E181">
        <v>0</v>
      </c>
      <c r="F181">
        <v>0</v>
      </c>
      <c r="G181">
        <v>0</v>
      </c>
      <c r="H181">
        <v>8.9190000000000005</v>
      </c>
      <c r="I181">
        <v>2.3109999999999999</v>
      </c>
    </row>
    <row r="182" spans="1:18" x14ac:dyDescent="0.2">
      <c r="A182" t="s">
        <v>85</v>
      </c>
      <c r="B182" t="s">
        <v>95</v>
      </c>
      <c r="C182" t="s">
        <v>87</v>
      </c>
      <c r="D182" t="s">
        <v>21</v>
      </c>
      <c r="E182">
        <v>0</v>
      </c>
      <c r="F182">
        <v>0</v>
      </c>
      <c r="G182">
        <v>0</v>
      </c>
      <c r="H182">
        <v>3.766</v>
      </c>
      <c r="I182">
        <v>1.3720000000000001</v>
      </c>
    </row>
    <row r="183" spans="1:18" x14ac:dyDescent="0.2">
      <c r="A183" t="s">
        <v>85</v>
      </c>
      <c r="B183" t="s">
        <v>96</v>
      </c>
      <c r="C183" t="s">
        <v>87</v>
      </c>
      <c r="D183" t="s">
        <v>39</v>
      </c>
      <c r="E183">
        <v>0</v>
      </c>
      <c r="F183">
        <v>0</v>
      </c>
      <c r="H183">
        <v>4.34</v>
      </c>
      <c r="I183">
        <v>1.712</v>
      </c>
      <c r="N183">
        <v>3.11</v>
      </c>
      <c r="O183">
        <v>4.16</v>
      </c>
      <c r="P183">
        <v>4.4470000000000001</v>
      </c>
      <c r="Q183">
        <v>30.727</v>
      </c>
      <c r="R183">
        <v>717.11599999999999</v>
      </c>
    </row>
    <row r="184" spans="1:18" x14ac:dyDescent="0.2">
      <c r="A184" t="s">
        <v>85</v>
      </c>
      <c r="B184" t="s">
        <v>96</v>
      </c>
      <c r="C184" t="s">
        <v>87</v>
      </c>
      <c r="D184" t="s">
        <v>25</v>
      </c>
      <c r="E184">
        <v>0</v>
      </c>
      <c r="F184">
        <v>0</v>
      </c>
      <c r="H184">
        <v>4.6520000000000001</v>
      </c>
      <c r="I184">
        <v>1.1659999999999999</v>
      </c>
      <c r="N184">
        <v>2.6520000000000001</v>
      </c>
      <c r="P184">
        <v>3.214</v>
      </c>
      <c r="Q184">
        <v>22.696999999999999</v>
      </c>
      <c r="R184">
        <v>769.43</v>
      </c>
    </row>
    <row r="185" spans="1:18" x14ac:dyDescent="0.2">
      <c r="A185" t="s">
        <v>85</v>
      </c>
      <c r="B185" t="s">
        <v>96</v>
      </c>
      <c r="C185" t="s">
        <v>87</v>
      </c>
      <c r="D185" t="s">
        <v>24</v>
      </c>
      <c r="E185">
        <v>0</v>
      </c>
      <c r="F185">
        <v>0</v>
      </c>
      <c r="H185">
        <v>5.3079999999999998</v>
      </c>
      <c r="I185">
        <v>0.93600000000000005</v>
      </c>
      <c r="P185">
        <v>2.6779999999999999</v>
      </c>
      <c r="Q185">
        <v>23.042000000000002</v>
      </c>
    </row>
    <row r="186" spans="1:18" x14ac:dyDescent="0.2">
      <c r="A186" t="s">
        <v>85</v>
      </c>
      <c r="B186" t="s">
        <v>97</v>
      </c>
      <c r="C186" t="s">
        <v>87</v>
      </c>
      <c r="D186" t="s">
        <v>25</v>
      </c>
      <c r="E186">
        <v>0</v>
      </c>
      <c r="F186">
        <v>0</v>
      </c>
      <c r="G186">
        <v>0.53100000000000003</v>
      </c>
      <c r="H186">
        <v>5.1840000000000002</v>
      </c>
      <c r="I186">
        <v>1.8979999999999999</v>
      </c>
      <c r="J186">
        <v>2.6760000000000002</v>
      </c>
      <c r="K186">
        <v>1.232</v>
      </c>
      <c r="L186">
        <v>1.147</v>
      </c>
      <c r="M186">
        <v>2.0299999999999998</v>
      </c>
      <c r="N186">
        <v>2.2469999999999999</v>
      </c>
      <c r="P186">
        <v>4.05</v>
      </c>
      <c r="Q186">
        <v>16.797000000000001</v>
      </c>
      <c r="R186">
        <v>636.78099999999995</v>
      </c>
    </row>
    <row r="187" spans="1:18" x14ac:dyDescent="0.2">
      <c r="A187" t="s">
        <v>85</v>
      </c>
      <c r="B187" t="s">
        <v>97</v>
      </c>
      <c r="C187" t="s">
        <v>87</v>
      </c>
      <c r="D187" t="s">
        <v>24</v>
      </c>
      <c r="E187">
        <v>0</v>
      </c>
      <c r="F187">
        <v>0</v>
      </c>
      <c r="G187">
        <v>0.48499999999999999</v>
      </c>
      <c r="H187">
        <v>4.782</v>
      </c>
      <c r="I187">
        <v>1.5349999999999999</v>
      </c>
      <c r="J187">
        <v>2.77</v>
      </c>
      <c r="K187">
        <v>1.6180000000000001</v>
      </c>
      <c r="L187">
        <v>1.6120000000000001</v>
      </c>
      <c r="M187">
        <v>1.458</v>
      </c>
      <c r="N187">
        <v>2.3140000000000001</v>
      </c>
      <c r="P187">
        <v>2.5339999999999998</v>
      </c>
      <c r="Q187">
        <v>12.669</v>
      </c>
    </row>
    <row r="188" spans="1:18" x14ac:dyDescent="0.2">
      <c r="A188" t="s">
        <v>85</v>
      </c>
      <c r="B188" t="s">
        <v>97</v>
      </c>
      <c r="C188" t="s">
        <v>87</v>
      </c>
      <c r="D188" t="s">
        <v>24</v>
      </c>
      <c r="E188">
        <v>0</v>
      </c>
      <c r="F188">
        <v>0</v>
      </c>
      <c r="G188">
        <v>0.64300000000000002</v>
      </c>
      <c r="H188">
        <v>4.9690000000000003</v>
      </c>
      <c r="I188">
        <v>1.8340000000000001</v>
      </c>
      <c r="N188">
        <v>3.3069999999999999</v>
      </c>
      <c r="P188">
        <v>2.1389999999999998</v>
      </c>
      <c r="Q188">
        <v>12.927</v>
      </c>
    </row>
    <row r="189" spans="1:18" x14ac:dyDescent="0.2">
      <c r="A189" t="s">
        <v>85</v>
      </c>
      <c r="B189" t="s">
        <v>98</v>
      </c>
      <c r="C189" t="s">
        <v>87</v>
      </c>
      <c r="D189" t="s">
        <v>21</v>
      </c>
      <c r="E189">
        <v>0</v>
      </c>
      <c r="F189">
        <v>0</v>
      </c>
      <c r="G189">
        <v>0.84299999999999997</v>
      </c>
      <c r="H189">
        <v>3.722</v>
      </c>
      <c r="I189">
        <v>1.9950000000000001</v>
      </c>
      <c r="J189">
        <v>2.3260000000000001</v>
      </c>
      <c r="K189">
        <v>1.1399999999999999</v>
      </c>
      <c r="L189">
        <v>0.73299999999999998</v>
      </c>
      <c r="M189">
        <v>1.4059999999999999</v>
      </c>
      <c r="N189">
        <v>2.4889999999999999</v>
      </c>
      <c r="O189">
        <v>2.9169999999999998</v>
      </c>
      <c r="P189">
        <v>4.1630000000000003</v>
      </c>
      <c r="Q189">
        <v>20.536000000000001</v>
      </c>
      <c r="R189">
        <v>534.34799999999996</v>
      </c>
    </row>
    <row r="190" spans="1:18" x14ac:dyDescent="0.2">
      <c r="A190" t="s">
        <v>85</v>
      </c>
      <c r="B190" t="s">
        <v>98</v>
      </c>
      <c r="C190" t="s">
        <v>87</v>
      </c>
      <c r="E190">
        <v>0</v>
      </c>
      <c r="F190">
        <v>0</v>
      </c>
      <c r="G190">
        <v>0.67500000000000004</v>
      </c>
      <c r="H190">
        <v>4.2679999999999998</v>
      </c>
      <c r="I190">
        <v>1.8460000000000001</v>
      </c>
      <c r="N190">
        <v>2.6949999999999998</v>
      </c>
      <c r="P190">
        <v>6.625</v>
      </c>
      <c r="Q190">
        <v>14.173999999999999</v>
      </c>
    </row>
    <row r="191" spans="1:18" x14ac:dyDescent="0.2">
      <c r="A191" t="s">
        <v>85</v>
      </c>
      <c r="B191" t="s">
        <v>98</v>
      </c>
      <c r="C191" t="s">
        <v>87</v>
      </c>
      <c r="E191">
        <v>0</v>
      </c>
      <c r="F191">
        <v>0</v>
      </c>
      <c r="G191">
        <v>0.41399999999999998</v>
      </c>
      <c r="H191">
        <v>4.4139999999999997</v>
      </c>
      <c r="I191">
        <v>1.621</v>
      </c>
      <c r="N191">
        <v>2.89</v>
      </c>
      <c r="P191">
        <v>4.1710000000000003</v>
      </c>
      <c r="Q191">
        <v>15.654</v>
      </c>
    </row>
    <row r="192" spans="1:18" x14ac:dyDescent="0.2">
      <c r="A192" t="s">
        <v>99</v>
      </c>
      <c r="B192" t="s">
        <v>100</v>
      </c>
      <c r="C192" t="s">
        <v>50</v>
      </c>
      <c r="D192" t="s">
        <v>21</v>
      </c>
      <c r="E192">
        <v>2.2999999999999998</v>
      </c>
      <c r="F192">
        <v>0.59</v>
      </c>
      <c r="G192">
        <v>0.6</v>
      </c>
      <c r="H192">
        <v>2.88</v>
      </c>
      <c r="I192">
        <v>6.42</v>
      </c>
      <c r="J192">
        <v>3.32</v>
      </c>
      <c r="K192">
        <v>1.21</v>
      </c>
      <c r="L192">
        <v>0.66</v>
      </c>
      <c r="M192">
        <v>2.2799999999999998</v>
      </c>
      <c r="N192">
        <v>4.34</v>
      </c>
      <c r="O192">
        <v>4.58</v>
      </c>
      <c r="P192">
        <v>1.21</v>
      </c>
      <c r="Q192">
        <v>35.14</v>
      </c>
    </row>
    <row r="193" spans="1:18" x14ac:dyDescent="0.2">
      <c r="A193" t="s">
        <v>99</v>
      </c>
      <c r="B193" t="s">
        <v>100</v>
      </c>
      <c r="C193" t="s">
        <v>50</v>
      </c>
      <c r="D193" t="s">
        <v>21</v>
      </c>
      <c r="E193">
        <v>2.2200000000000002</v>
      </c>
      <c r="F193">
        <v>0.68</v>
      </c>
      <c r="G193">
        <v>0.49</v>
      </c>
      <c r="H193">
        <v>1.66</v>
      </c>
      <c r="I193">
        <v>2.89</v>
      </c>
      <c r="J193">
        <v>3.42</v>
      </c>
      <c r="K193">
        <v>1.28</v>
      </c>
      <c r="L193">
        <v>1.22</v>
      </c>
      <c r="M193">
        <v>2.52</v>
      </c>
      <c r="N193">
        <v>3.93</v>
      </c>
      <c r="O193">
        <v>5.45</v>
      </c>
      <c r="P193">
        <v>1.73</v>
      </c>
      <c r="Q193">
        <v>25.54</v>
      </c>
    </row>
    <row r="194" spans="1:18" x14ac:dyDescent="0.2">
      <c r="A194" t="s">
        <v>99</v>
      </c>
      <c r="B194" t="s">
        <v>100</v>
      </c>
      <c r="C194" t="s">
        <v>50</v>
      </c>
      <c r="D194" t="s">
        <v>21</v>
      </c>
      <c r="E194">
        <v>1.66</v>
      </c>
      <c r="F194">
        <v>0.95</v>
      </c>
      <c r="G194">
        <v>0.44</v>
      </c>
      <c r="H194">
        <v>1.48</v>
      </c>
      <c r="I194">
        <v>6.56</v>
      </c>
      <c r="J194">
        <v>3.55</v>
      </c>
      <c r="K194">
        <v>0.91</v>
      </c>
      <c r="L194">
        <v>0.9</v>
      </c>
      <c r="M194">
        <v>1.93</v>
      </c>
      <c r="N194">
        <v>4.0999999999999996</v>
      </c>
      <c r="O194">
        <v>4.63</v>
      </c>
      <c r="P194">
        <v>2.34</v>
      </c>
      <c r="Q194">
        <v>25.84</v>
      </c>
    </row>
    <row r="195" spans="1:18" x14ac:dyDescent="0.2">
      <c r="A195" t="s">
        <v>99</v>
      </c>
      <c r="B195" t="s">
        <v>101</v>
      </c>
      <c r="C195" t="s">
        <v>50</v>
      </c>
      <c r="D195" t="s">
        <v>21</v>
      </c>
      <c r="E195">
        <v>1.56</v>
      </c>
      <c r="F195">
        <v>0.78</v>
      </c>
      <c r="G195">
        <v>0.62</v>
      </c>
      <c r="H195">
        <v>1.52</v>
      </c>
      <c r="I195">
        <v>4.6500000000000004</v>
      </c>
      <c r="J195">
        <v>2.67</v>
      </c>
      <c r="K195">
        <v>1.59</v>
      </c>
      <c r="L195">
        <v>1.35</v>
      </c>
      <c r="M195">
        <v>2.2599999999999998</v>
      </c>
      <c r="N195">
        <v>2.99</v>
      </c>
      <c r="O195">
        <v>3.68</v>
      </c>
      <c r="P195">
        <v>1.77</v>
      </c>
      <c r="Q195">
        <v>16.559999999999999</v>
      </c>
      <c r="R195">
        <v>66.7</v>
      </c>
    </row>
    <row r="196" spans="1:18" x14ac:dyDescent="0.2">
      <c r="A196" t="s">
        <v>99</v>
      </c>
      <c r="B196" t="s">
        <v>101</v>
      </c>
      <c r="C196" t="s">
        <v>50</v>
      </c>
      <c r="D196" t="s">
        <v>21</v>
      </c>
      <c r="E196">
        <v>2.2799999999999998</v>
      </c>
      <c r="F196">
        <v>0.79</v>
      </c>
      <c r="G196">
        <v>0.4</v>
      </c>
      <c r="H196">
        <v>2.52</v>
      </c>
      <c r="I196">
        <v>6.38</v>
      </c>
      <c r="J196">
        <v>3.82</v>
      </c>
      <c r="K196">
        <v>1.07</v>
      </c>
      <c r="L196">
        <v>0.79</v>
      </c>
      <c r="M196">
        <v>1.72</v>
      </c>
      <c r="N196">
        <v>3.43</v>
      </c>
      <c r="O196">
        <v>3.05</v>
      </c>
      <c r="P196">
        <v>3.14</v>
      </c>
      <c r="Q196">
        <v>19.850000000000001</v>
      </c>
    </row>
    <row r="197" spans="1:18" x14ac:dyDescent="0.2">
      <c r="A197" t="s">
        <v>99</v>
      </c>
      <c r="B197" t="s">
        <v>101</v>
      </c>
      <c r="C197" t="s">
        <v>50</v>
      </c>
      <c r="D197" t="s">
        <v>21</v>
      </c>
      <c r="E197">
        <v>1.86</v>
      </c>
      <c r="F197">
        <v>0.68</v>
      </c>
      <c r="G197">
        <v>0.49</v>
      </c>
      <c r="H197">
        <v>1.43</v>
      </c>
      <c r="I197">
        <v>3.59</v>
      </c>
      <c r="J197">
        <v>3.91</v>
      </c>
      <c r="K197">
        <v>1.57</v>
      </c>
      <c r="L197">
        <v>1.02</v>
      </c>
      <c r="M197">
        <v>2.58</v>
      </c>
      <c r="N197">
        <v>3.09</v>
      </c>
      <c r="O197">
        <v>2.74</v>
      </c>
      <c r="P197">
        <v>2.0499999999999998</v>
      </c>
      <c r="Q197">
        <v>15.28</v>
      </c>
    </row>
    <row r="198" spans="1:18" x14ac:dyDescent="0.2">
      <c r="A198" t="s">
        <v>99</v>
      </c>
      <c r="B198" t="s">
        <v>102</v>
      </c>
      <c r="C198" t="s">
        <v>50</v>
      </c>
      <c r="D198" t="s">
        <v>25</v>
      </c>
      <c r="E198">
        <v>1.46</v>
      </c>
      <c r="F198">
        <v>0.98</v>
      </c>
      <c r="G198">
        <v>1.28</v>
      </c>
      <c r="H198">
        <v>0.88</v>
      </c>
      <c r="I198">
        <v>2.52</v>
      </c>
      <c r="J198">
        <v>3.8</v>
      </c>
      <c r="K198">
        <v>1.75</v>
      </c>
      <c r="L198">
        <v>0.89</v>
      </c>
      <c r="M198">
        <v>2.7</v>
      </c>
      <c r="N198">
        <v>4.22</v>
      </c>
      <c r="O198">
        <v>4.51</v>
      </c>
      <c r="P198">
        <v>2.64</v>
      </c>
      <c r="Q198">
        <v>8.34</v>
      </c>
    </row>
    <row r="199" spans="1:18" x14ac:dyDescent="0.2">
      <c r="A199" t="s">
        <v>99</v>
      </c>
      <c r="B199" t="s">
        <v>102</v>
      </c>
      <c r="C199" t="s">
        <v>50</v>
      </c>
      <c r="D199" t="s">
        <v>25</v>
      </c>
      <c r="E199">
        <v>1.48</v>
      </c>
      <c r="F199">
        <v>0.68</v>
      </c>
      <c r="G199">
        <v>1.1000000000000001</v>
      </c>
      <c r="H199">
        <v>1.31</v>
      </c>
      <c r="I199">
        <v>3.1</v>
      </c>
      <c r="J199">
        <v>3.83</v>
      </c>
      <c r="K199">
        <v>0.76</v>
      </c>
      <c r="L199">
        <v>0.51</v>
      </c>
      <c r="M199">
        <v>2.74</v>
      </c>
      <c r="N199">
        <v>3.92</v>
      </c>
      <c r="O199">
        <v>3.77</v>
      </c>
      <c r="P199">
        <v>2.35</v>
      </c>
      <c r="Q199">
        <v>21.47</v>
      </c>
    </row>
    <row r="200" spans="1:18" x14ac:dyDescent="0.2">
      <c r="A200" t="s">
        <v>99</v>
      </c>
      <c r="B200" t="s">
        <v>102</v>
      </c>
      <c r="C200" t="s">
        <v>50</v>
      </c>
      <c r="D200" t="s">
        <v>25</v>
      </c>
      <c r="E200">
        <v>2.76</v>
      </c>
      <c r="F200">
        <v>1.04</v>
      </c>
      <c r="G200">
        <v>0.69</v>
      </c>
      <c r="H200">
        <v>1.2</v>
      </c>
      <c r="I200">
        <v>3.24</v>
      </c>
      <c r="J200">
        <v>3.5</v>
      </c>
      <c r="K200">
        <v>1.31</v>
      </c>
      <c r="L200">
        <v>0.74</v>
      </c>
      <c r="M200">
        <v>2.67</v>
      </c>
      <c r="N200">
        <v>4.3600000000000003</v>
      </c>
      <c r="O200">
        <v>4.3600000000000003</v>
      </c>
      <c r="P200">
        <v>3.7</v>
      </c>
      <c r="Q200">
        <v>17.63</v>
      </c>
    </row>
    <row r="201" spans="1:18" x14ac:dyDescent="0.2">
      <c r="A201" t="s">
        <v>99</v>
      </c>
      <c r="B201" t="s">
        <v>103</v>
      </c>
      <c r="C201" t="s">
        <v>50</v>
      </c>
      <c r="D201" t="s">
        <v>25</v>
      </c>
      <c r="E201">
        <v>1.27</v>
      </c>
      <c r="F201">
        <v>0.55000000000000004</v>
      </c>
      <c r="G201">
        <v>0.9</v>
      </c>
      <c r="H201">
        <v>3.73</v>
      </c>
      <c r="I201">
        <v>6.66</v>
      </c>
      <c r="J201">
        <v>3.86</v>
      </c>
      <c r="K201">
        <v>1.1100000000000001</v>
      </c>
      <c r="L201">
        <v>0.87</v>
      </c>
      <c r="M201">
        <v>2.71</v>
      </c>
      <c r="N201">
        <v>4.28</v>
      </c>
      <c r="O201">
        <v>5.38</v>
      </c>
      <c r="P201">
        <v>4.9800000000000004</v>
      </c>
      <c r="Q201">
        <v>28.2</v>
      </c>
      <c r="R201">
        <v>84.596000000000004</v>
      </c>
    </row>
    <row r="202" spans="1:18" x14ac:dyDescent="0.2">
      <c r="A202" t="s">
        <v>99</v>
      </c>
      <c r="B202" t="s">
        <v>103</v>
      </c>
      <c r="C202" t="s">
        <v>50</v>
      </c>
      <c r="D202" t="s">
        <v>25</v>
      </c>
      <c r="E202">
        <v>0.98</v>
      </c>
      <c r="F202">
        <v>0.41</v>
      </c>
      <c r="G202">
        <v>0.6</v>
      </c>
      <c r="H202">
        <v>2.98</v>
      </c>
      <c r="I202">
        <v>5.46</v>
      </c>
      <c r="J202">
        <v>3.91</v>
      </c>
      <c r="K202">
        <v>1.4</v>
      </c>
      <c r="L202">
        <v>0.95</v>
      </c>
      <c r="M202">
        <v>3.35</v>
      </c>
      <c r="N202">
        <v>4.24</v>
      </c>
      <c r="O202">
        <v>5.59</v>
      </c>
      <c r="P202">
        <v>4.49</v>
      </c>
      <c r="Q202">
        <v>20.420000000000002</v>
      </c>
    </row>
    <row r="203" spans="1:18" x14ac:dyDescent="0.2">
      <c r="A203" t="s">
        <v>99</v>
      </c>
      <c r="B203" t="s">
        <v>103</v>
      </c>
      <c r="C203" t="s">
        <v>50</v>
      </c>
      <c r="D203" t="s">
        <v>25</v>
      </c>
      <c r="E203">
        <v>0.99</v>
      </c>
      <c r="F203">
        <v>0.43</v>
      </c>
      <c r="G203">
        <v>0.82</v>
      </c>
      <c r="H203">
        <v>2.88</v>
      </c>
      <c r="I203">
        <v>5.03</v>
      </c>
      <c r="J203">
        <v>3.77</v>
      </c>
      <c r="K203">
        <v>1.23</v>
      </c>
      <c r="L203">
        <v>1.21</v>
      </c>
      <c r="M203">
        <v>3.06</v>
      </c>
      <c r="N203">
        <v>4</v>
      </c>
      <c r="O203">
        <v>4.1100000000000003</v>
      </c>
      <c r="P203">
        <v>4.28</v>
      </c>
      <c r="Q203">
        <v>20.27</v>
      </c>
    </row>
    <row r="204" spans="1:18" x14ac:dyDescent="0.2">
      <c r="A204" t="s">
        <v>104</v>
      </c>
      <c r="B204" t="s">
        <v>105</v>
      </c>
      <c r="C204" t="s">
        <v>44</v>
      </c>
      <c r="D204" t="s">
        <v>21</v>
      </c>
      <c r="E204">
        <v>1.5469999999999999</v>
      </c>
      <c r="F204">
        <v>0.68300000000000005</v>
      </c>
      <c r="G204">
        <v>0</v>
      </c>
      <c r="H204">
        <v>4.7539999999999996</v>
      </c>
      <c r="I204">
        <v>1.913</v>
      </c>
      <c r="J204">
        <v>4.1710000000000003</v>
      </c>
      <c r="M204">
        <v>2.3610000000000002</v>
      </c>
      <c r="N204">
        <v>2.7229999999999999</v>
      </c>
      <c r="O204">
        <v>4.0670000000000002</v>
      </c>
      <c r="P204">
        <v>7.7149999999999999</v>
      </c>
      <c r="Q204">
        <v>9.8740000000000006</v>
      </c>
      <c r="R204">
        <v>448.35599999999999</v>
      </c>
    </row>
    <row r="205" spans="1:18" x14ac:dyDescent="0.2">
      <c r="A205" t="s">
        <v>104</v>
      </c>
      <c r="B205" t="s">
        <v>105</v>
      </c>
      <c r="C205" t="s">
        <v>44</v>
      </c>
      <c r="D205" t="s">
        <v>21</v>
      </c>
      <c r="E205">
        <v>2.2599999999999998</v>
      </c>
      <c r="F205">
        <v>0.61699999999999999</v>
      </c>
      <c r="G205">
        <v>0</v>
      </c>
    </row>
    <row r="206" spans="1:18" x14ac:dyDescent="0.2">
      <c r="A206" t="s">
        <v>104</v>
      </c>
      <c r="B206" t="s">
        <v>105</v>
      </c>
      <c r="C206" t="s">
        <v>44</v>
      </c>
      <c r="D206" t="s">
        <v>21</v>
      </c>
      <c r="E206">
        <v>1.649</v>
      </c>
      <c r="F206">
        <v>0.53800000000000003</v>
      </c>
      <c r="G206">
        <v>0</v>
      </c>
    </row>
    <row r="207" spans="1:18" x14ac:dyDescent="0.2">
      <c r="A207" t="s">
        <v>104</v>
      </c>
      <c r="B207" t="s">
        <v>106</v>
      </c>
      <c r="C207" t="s">
        <v>107</v>
      </c>
      <c r="D207" t="s">
        <v>21</v>
      </c>
      <c r="E207">
        <v>1.0169999999999999</v>
      </c>
      <c r="F207">
        <v>0.64</v>
      </c>
      <c r="G207">
        <v>0</v>
      </c>
      <c r="H207">
        <v>4.4279999999999999</v>
      </c>
      <c r="I207">
        <v>1.4</v>
      </c>
      <c r="J207">
        <v>6.0860000000000003</v>
      </c>
      <c r="K207">
        <v>2.6989999999999998</v>
      </c>
      <c r="L207">
        <v>1.246</v>
      </c>
      <c r="M207">
        <v>2.181</v>
      </c>
      <c r="N207">
        <v>2.1509999999999998</v>
      </c>
      <c r="O207">
        <v>2.0739999999999998</v>
      </c>
      <c r="P207">
        <v>2.444</v>
      </c>
      <c r="Q207">
        <v>6.7210000000000001</v>
      </c>
      <c r="R207">
        <v>515.17600000000004</v>
      </c>
    </row>
    <row r="208" spans="1:18" x14ac:dyDescent="0.2">
      <c r="A208" t="s">
        <v>104</v>
      </c>
      <c r="B208" t="s">
        <v>106</v>
      </c>
      <c r="C208" t="s">
        <v>107</v>
      </c>
      <c r="D208" t="s">
        <v>21</v>
      </c>
      <c r="E208">
        <v>1.0620000000000001</v>
      </c>
      <c r="F208">
        <v>0.72699999999999998</v>
      </c>
      <c r="G208">
        <v>0</v>
      </c>
      <c r="H208">
        <v>4.4960000000000004</v>
      </c>
      <c r="I208">
        <v>1.3460000000000001</v>
      </c>
      <c r="N208">
        <v>1.9079999999999999</v>
      </c>
      <c r="O208">
        <v>1.266</v>
      </c>
      <c r="P208">
        <v>3.7170000000000001</v>
      </c>
      <c r="Q208">
        <v>6.0880000000000001</v>
      </c>
    </row>
    <row r="209" spans="1:18" x14ac:dyDescent="0.2">
      <c r="A209" t="s">
        <v>104</v>
      </c>
      <c r="B209" t="s">
        <v>106</v>
      </c>
      <c r="C209" t="s">
        <v>107</v>
      </c>
      <c r="D209" t="s">
        <v>21</v>
      </c>
      <c r="E209">
        <v>1.494</v>
      </c>
      <c r="F209">
        <v>0.98099999999999998</v>
      </c>
      <c r="G209">
        <v>0</v>
      </c>
      <c r="H209">
        <v>4.952</v>
      </c>
      <c r="I209">
        <v>1.651</v>
      </c>
      <c r="N209">
        <v>2.16</v>
      </c>
      <c r="P209">
        <v>2.109</v>
      </c>
      <c r="Q209">
        <v>12.161</v>
      </c>
    </row>
    <row r="210" spans="1:18" x14ac:dyDescent="0.2">
      <c r="A210" t="s">
        <v>104</v>
      </c>
      <c r="B210" t="s">
        <v>108</v>
      </c>
      <c r="C210" t="s">
        <v>107</v>
      </c>
      <c r="D210" t="s">
        <v>21</v>
      </c>
      <c r="E210">
        <v>2.2189999999999999</v>
      </c>
      <c r="F210">
        <v>0.81799999999999995</v>
      </c>
      <c r="G210">
        <v>0</v>
      </c>
      <c r="H210">
        <v>9.51</v>
      </c>
      <c r="I210">
        <v>3.4409999999999998</v>
      </c>
      <c r="N210">
        <v>3.351</v>
      </c>
      <c r="P210">
        <v>1.161</v>
      </c>
      <c r="Q210">
        <v>13.968999999999999</v>
      </c>
      <c r="R210">
        <v>743.21500000000003</v>
      </c>
    </row>
    <row r="211" spans="1:18" x14ac:dyDescent="0.2">
      <c r="A211" t="s">
        <v>104</v>
      </c>
      <c r="B211" t="s">
        <v>108</v>
      </c>
      <c r="C211" t="s">
        <v>107</v>
      </c>
      <c r="D211" t="s">
        <v>21</v>
      </c>
      <c r="E211">
        <v>1.835</v>
      </c>
      <c r="F211">
        <v>0.82899999999999996</v>
      </c>
      <c r="G211">
        <v>0</v>
      </c>
      <c r="H211">
        <v>9.1310000000000002</v>
      </c>
      <c r="I211">
        <v>2.694</v>
      </c>
      <c r="P211">
        <v>1.3380000000000001</v>
      </c>
      <c r="Q211">
        <v>13.032</v>
      </c>
    </row>
    <row r="212" spans="1:18" x14ac:dyDescent="0.2">
      <c r="A212" t="s">
        <v>104</v>
      </c>
      <c r="B212" t="s">
        <v>108</v>
      </c>
      <c r="C212" t="s">
        <v>107</v>
      </c>
      <c r="D212" t="s">
        <v>21</v>
      </c>
      <c r="E212">
        <v>1.8779999999999999</v>
      </c>
      <c r="F212">
        <v>0.82699999999999996</v>
      </c>
      <c r="G212">
        <v>0</v>
      </c>
      <c r="H212">
        <v>9.2110000000000003</v>
      </c>
      <c r="I212">
        <v>1.899</v>
      </c>
      <c r="P212">
        <v>1.7629999999999999</v>
      </c>
      <c r="Q212">
        <v>5.5659999999999998</v>
      </c>
    </row>
    <row r="213" spans="1:18" x14ac:dyDescent="0.2">
      <c r="A213" t="s">
        <v>104</v>
      </c>
      <c r="B213" t="s">
        <v>109</v>
      </c>
      <c r="C213" t="s">
        <v>107</v>
      </c>
      <c r="D213" t="s">
        <v>21</v>
      </c>
      <c r="E213">
        <v>1.276</v>
      </c>
      <c r="F213">
        <v>0.72</v>
      </c>
      <c r="G213">
        <v>0</v>
      </c>
      <c r="H213">
        <v>6.5439999999999996</v>
      </c>
      <c r="I213">
        <v>2.5950000000000002</v>
      </c>
      <c r="J213">
        <v>9.8119999999999994</v>
      </c>
      <c r="K213">
        <v>4.8330000000000002</v>
      </c>
      <c r="L213">
        <v>3.423</v>
      </c>
      <c r="M213">
        <v>2.637</v>
      </c>
      <c r="N213">
        <v>2.524</v>
      </c>
      <c r="O213">
        <v>1.929</v>
      </c>
      <c r="P213">
        <v>3.637</v>
      </c>
      <c r="Q213">
        <v>4.343</v>
      </c>
      <c r="R213">
        <v>652.39400000000001</v>
      </c>
    </row>
    <row r="214" spans="1:18" x14ac:dyDescent="0.2">
      <c r="A214" t="s">
        <v>104</v>
      </c>
      <c r="B214" t="s">
        <v>109</v>
      </c>
      <c r="C214" t="s">
        <v>107</v>
      </c>
      <c r="D214" t="s">
        <v>21</v>
      </c>
      <c r="E214">
        <v>1.1970000000000001</v>
      </c>
      <c r="F214">
        <v>0.81399999999999995</v>
      </c>
      <c r="G214">
        <v>0</v>
      </c>
      <c r="N214">
        <v>1.2310000000000001</v>
      </c>
      <c r="P214">
        <v>4.0199999999999996</v>
      </c>
      <c r="Q214">
        <v>2.5059999999999998</v>
      </c>
    </row>
    <row r="215" spans="1:18" x14ac:dyDescent="0.2">
      <c r="A215" t="s">
        <v>104</v>
      </c>
      <c r="B215" t="s">
        <v>109</v>
      </c>
      <c r="C215" t="s">
        <v>107</v>
      </c>
      <c r="D215" t="s">
        <v>21</v>
      </c>
      <c r="E215">
        <v>1.1359999999999999</v>
      </c>
      <c r="F215">
        <v>0.68899999999999995</v>
      </c>
      <c r="G215">
        <v>0</v>
      </c>
      <c r="N215">
        <v>1.6859999999999999</v>
      </c>
      <c r="P215">
        <v>3.2879999999999998</v>
      </c>
      <c r="Q215">
        <v>3.3839999999999999</v>
      </c>
    </row>
    <row r="216" spans="1:18" x14ac:dyDescent="0.2">
      <c r="A216" t="s">
        <v>104</v>
      </c>
      <c r="B216" t="s">
        <v>110</v>
      </c>
      <c r="C216" t="s">
        <v>81</v>
      </c>
      <c r="D216" t="s">
        <v>21</v>
      </c>
      <c r="E216">
        <v>1.4279999999999999</v>
      </c>
      <c r="F216">
        <v>0.71799999999999997</v>
      </c>
      <c r="G216">
        <v>0</v>
      </c>
      <c r="H216">
        <v>9.8460000000000001</v>
      </c>
      <c r="I216">
        <v>6.625</v>
      </c>
      <c r="N216">
        <v>2.33</v>
      </c>
      <c r="O216">
        <v>2.4220000000000002</v>
      </c>
      <c r="P216">
        <v>1.835</v>
      </c>
      <c r="Q216">
        <v>9.5830000000000002</v>
      </c>
      <c r="R216">
        <v>751.31200000000001</v>
      </c>
    </row>
    <row r="217" spans="1:18" x14ac:dyDescent="0.2">
      <c r="A217" t="s">
        <v>104</v>
      </c>
      <c r="B217" t="s">
        <v>110</v>
      </c>
      <c r="C217" t="s">
        <v>81</v>
      </c>
      <c r="D217" t="s">
        <v>21</v>
      </c>
      <c r="E217">
        <v>1.2130000000000001</v>
      </c>
      <c r="F217">
        <v>0.65800000000000003</v>
      </c>
      <c r="G217">
        <v>0</v>
      </c>
      <c r="H217">
        <v>9.8699999999999992</v>
      </c>
      <c r="I217">
        <v>5.4710000000000001</v>
      </c>
      <c r="N217">
        <v>2.2629999999999999</v>
      </c>
      <c r="O217">
        <v>2.734</v>
      </c>
      <c r="P217">
        <v>1.5089999999999999</v>
      </c>
      <c r="Q217">
        <v>8.4969999999999999</v>
      </c>
      <c r="R217">
        <v>662.45799999999997</v>
      </c>
    </row>
    <row r="218" spans="1:18" x14ac:dyDescent="0.2">
      <c r="A218" t="s">
        <v>104</v>
      </c>
      <c r="B218" t="s">
        <v>110</v>
      </c>
      <c r="C218" t="s">
        <v>81</v>
      </c>
      <c r="D218" t="s">
        <v>21</v>
      </c>
      <c r="E218">
        <v>1.3220000000000001</v>
      </c>
      <c r="F218">
        <v>0.53200000000000003</v>
      </c>
      <c r="G218">
        <v>0</v>
      </c>
      <c r="H218">
        <v>9.0809999999999995</v>
      </c>
      <c r="I218">
        <v>2.9580000000000002</v>
      </c>
      <c r="N218">
        <v>2.0430000000000001</v>
      </c>
      <c r="P218">
        <v>1.417</v>
      </c>
      <c r="Q218">
        <v>14.193</v>
      </c>
    </row>
    <row r="219" spans="1:18" x14ac:dyDescent="0.2">
      <c r="A219" t="s">
        <v>104</v>
      </c>
      <c r="B219" t="s">
        <v>111</v>
      </c>
      <c r="C219" t="s">
        <v>112</v>
      </c>
      <c r="D219" t="s">
        <v>21</v>
      </c>
      <c r="E219">
        <v>1.4830000000000001</v>
      </c>
      <c r="F219">
        <v>0.71</v>
      </c>
      <c r="G219">
        <v>0</v>
      </c>
      <c r="H219">
        <v>4.585</v>
      </c>
      <c r="I219">
        <v>2.7749999999999999</v>
      </c>
      <c r="N219">
        <v>2.036</v>
      </c>
      <c r="O219">
        <v>1.673</v>
      </c>
      <c r="P219">
        <v>0.85499999999999998</v>
      </c>
      <c r="Q219">
        <v>9.7029999999999994</v>
      </c>
      <c r="R219">
        <v>538.41499999999996</v>
      </c>
    </row>
    <row r="220" spans="1:18" x14ac:dyDescent="0.2">
      <c r="A220" t="s">
        <v>104</v>
      </c>
      <c r="B220" t="s">
        <v>111</v>
      </c>
      <c r="C220" t="s">
        <v>112</v>
      </c>
      <c r="D220" t="s">
        <v>21</v>
      </c>
      <c r="E220">
        <v>1.337</v>
      </c>
      <c r="F220">
        <v>0.77400000000000002</v>
      </c>
      <c r="G220">
        <v>0</v>
      </c>
      <c r="H220">
        <v>2.823</v>
      </c>
      <c r="I220">
        <v>1.659</v>
      </c>
      <c r="N220">
        <v>2.1419999999999999</v>
      </c>
      <c r="O220">
        <v>1.7689999999999999</v>
      </c>
      <c r="P220">
        <v>1.847</v>
      </c>
      <c r="Q220">
        <v>12.912000000000001</v>
      </c>
    </row>
    <row r="221" spans="1:18" x14ac:dyDescent="0.2">
      <c r="A221" t="s">
        <v>104</v>
      </c>
      <c r="B221" t="s">
        <v>111</v>
      </c>
      <c r="C221" t="s">
        <v>112</v>
      </c>
      <c r="D221" t="s">
        <v>21</v>
      </c>
      <c r="E221">
        <v>1.367</v>
      </c>
      <c r="F221">
        <v>0.53400000000000003</v>
      </c>
      <c r="G221">
        <v>0</v>
      </c>
      <c r="H221">
        <v>2.855</v>
      </c>
      <c r="I221">
        <v>1.855</v>
      </c>
      <c r="N221">
        <v>1.1259999999999999</v>
      </c>
      <c r="P221">
        <v>2.044</v>
      </c>
      <c r="Q221">
        <v>5.8620000000000001</v>
      </c>
    </row>
    <row r="222" spans="1:18" x14ac:dyDescent="0.2">
      <c r="A222" t="s">
        <v>104</v>
      </c>
      <c r="B222" t="s">
        <v>113</v>
      </c>
      <c r="C222" t="s">
        <v>112</v>
      </c>
      <c r="D222" t="s">
        <v>21</v>
      </c>
      <c r="E222">
        <v>1.786</v>
      </c>
      <c r="F222">
        <v>0.68100000000000005</v>
      </c>
      <c r="G222">
        <v>0</v>
      </c>
      <c r="H222">
        <v>6.8540000000000001</v>
      </c>
      <c r="I222">
        <v>1.681</v>
      </c>
      <c r="N222">
        <v>1.827</v>
      </c>
      <c r="O222">
        <v>1.601</v>
      </c>
      <c r="P222">
        <v>1.5049999999999999</v>
      </c>
      <c r="Q222">
        <v>21.292999999999999</v>
      </c>
      <c r="R222">
        <v>860.53399999999999</v>
      </c>
    </row>
    <row r="223" spans="1:18" x14ac:dyDescent="0.2">
      <c r="A223" t="s">
        <v>104</v>
      </c>
      <c r="B223" t="s">
        <v>113</v>
      </c>
      <c r="C223" t="s">
        <v>112</v>
      </c>
      <c r="D223" t="s">
        <v>21</v>
      </c>
      <c r="E223">
        <v>1.9410000000000001</v>
      </c>
      <c r="F223">
        <v>0.51400000000000001</v>
      </c>
      <c r="G223">
        <v>0</v>
      </c>
      <c r="H223">
        <v>4.8170000000000002</v>
      </c>
      <c r="I223">
        <v>2.67</v>
      </c>
      <c r="N223">
        <v>1.177</v>
      </c>
      <c r="P223">
        <v>3.3</v>
      </c>
      <c r="Q223">
        <v>19.725999999999999</v>
      </c>
    </row>
    <row r="224" spans="1:18" x14ac:dyDescent="0.2">
      <c r="A224" t="s">
        <v>104</v>
      </c>
      <c r="B224" t="s">
        <v>113</v>
      </c>
      <c r="C224" t="s">
        <v>112</v>
      </c>
      <c r="D224" t="s">
        <v>21</v>
      </c>
      <c r="E224">
        <v>1.3260000000000001</v>
      </c>
      <c r="F224">
        <v>0.85799999999999998</v>
      </c>
      <c r="G224">
        <v>0</v>
      </c>
      <c r="H224">
        <v>4.4950000000000001</v>
      </c>
      <c r="I224">
        <v>1.4410000000000001</v>
      </c>
      <c r="N224">
        <v>1.8680000000000001</v>
      </c>
      <c r="P224">
        <v>3.1379999999999999</v>
      </c>
      <c r="Q224">
        <v>16.718</v>
      </c>
    </row>
    <row r="225" spans="1:18" x14ac:dyDescent="0.2">
      <c r="A225" t="s">
        <v>104</v>
      </c>
      <c r="B225" t="s">
        <v>114</v>
      </c>
      <c r="C225" t="s">
        <v>112</v>
      </c>
      <c r="D225" t="s">
        <v>21</v>
      </c>
      <c r="E225">
        <v>2.3610000000000002</v>
      </c>
      <c r="F225">
        <v>1.113</v>
      </c>
      <c r="G225">
        <v>0</v>
      </c>
      <c r="H225">
        <v>5.31</v>
      </c>
      <c r="I225">
        <v>1.62</v>
      </c>
      <c r="J225">
        <v>8.0730000000000004</v>
      </c>
      <c r="K225">
        <v>4.1500000000000004</v>
      </c>
      <c r="L225">
        <v>3.2589999999999999</v>
      </c>
      <c r="M225">
        <v>2.3420000000000001</v>
      </c>
      <c r="N225">
        <v>1.679</v>
      </c>
      <c r="O225">
        <v>0.81</v>
      </c>
      <c r="P225">
        <v>4.9859999999999998</v>
      </c>
      <c r="Q225">
        <v>11.977</v>
      </c>
      <c r="R225">
        <v>630.35900000000004</v>
      </c>
    </row>
    <row r="226" spans="1:18" x14ac:dyDescent="0.2">
      <c r="A226" t="s">
        <v>104</v>
      </c>
      <c r="B226" t="s">
        <v>114</v>
      </c>
      <c r="C226" t="s">
        <v>112</v>
      </c>
      <c r="D226" t="s">
        <v>21</v>
      </c>
      <c r="E226">
        <v>1.7869999999999999</v>
      </c>
      <c r="F226">
        <v>0.97199999999999998</v>
      </c>
      <c r="G226">
        <v>0</v>
      </c>
      <c r="H226">
        <v>6.0449999999999999</v>
      </c>
      <c r="I226">
        <v>2.2189999999999999</v>
      </c>
      <c r="J226">
        <v>6.3079999999999998</v>
      </c>
      <c r="K226">
        <v>3.5230000000000001</v>
      </c>
      <c r="L226">
        <v>2.944</v>
      </c>
      <c r="M226">
        <v>2.2149999999999999</v>
      </c>
      <c r="N226">
        <v>1.837</v>
      </c>
      <c r="P226">
        <v>2.4529999999999998</v>
      </c>
      <c r="Q226">
        <v>5.8860000000000001</v>
      </c>
      <c r="R226">
        <v>527.72199999999998</v>
      </c>
    </row>
    <row r="227" spans="1:18" x14ac:dyDescent="0.2">
      <c r="A227" t="s">
        <v>104</v>
      </c>
      <c r="B227" t="s">
        <v>114</v>
      </c>
      <c r="C227" t="s">
        <v>112</v>
      </c>
      <c r="D227" t="s">
        <v>21</v>
      </c>
      <c r="E227">
        <v>1.6879999999999999</v>
      </c>
      <c r="F227">
        <v>1.034</v>
      </c>
      <c r="G227">
        <v>0</v>
      </c>
      <c r="H227">
        <v>6.298</v>
      </c>
      <c r="I227">
        <v>2.3839999999999999</v>
      </c>
      <c r="J227">
        <v>8.4440000000000008</v>
      </c>
      <c r="K227">
        <v>2.2440000000000002</v>
      </c>
      <c r="L227">
        <v>1.9730000000000001</v>
      </c>
      <c r="M227">
        <v>2.3730000000000002</v>
      </c>
      <c r="N227">
        <v>2.3069999999999999</v>
      </c>
      <c r="P227">
        <v>3.1760000000000002</v>
      </c>
      <c r="Q227">
        <v>14.425000000000001</v>
      </c>
    </row>
    <row r="228" spans="1:18" x14ac:dyDescent="0.2">
      <c r="A228" t="s">
        <v>104</v>
      </c>
      <c r="B228" t="s">
        <v>115</v>
      </c>
      <c r="C228" t="s">
        <v>116</v>
      </c>
      <c r="D228" t="s">
        <v>21</v>
      </c>
      <c r="E228">
        <v>1.5940000000000001</v>
      </c>
      <c r="F228">
        <v>0.74299999999999999</v>
      </c>
      <c r="G228">
        <v>0</v>
      </c>
      <c r="H228">
        <v>4.2279999999999998</v>
      </c>
      <c r="I228">
        <v>2.605</v>
      </c>
      <c r="N228">
        <v>1.423</v>
      </c>
      <c r="P228">
        <v>1.5149999999999999</v>
      </c>
      <c r="R228">
        <v>489.58199999999999</v>
      </c>
    </row>
    <row r="229" spans="1:18" x14ac:dyDescent="0.2">
      <c r="A229" t="s">
        <v>104</v>
      </c>
      <c r="B229" t="s">
        <v>115</v>
      </c>
      <c r="C229" t="s">
        <v>116</v>
      </c>
      <c r="D229" t="s">
        <v>21</v>
      </c>
      <c r="E229">
        <v>1.254</v>
      </c>
      <c r="F229">
        <v>0.97</v>
      </c>
      <c r="G229">
        <v>0</v>
      </c>
      <c r="H229">
        <v>3.4319999999999999</v>
      </c>
      <c r="I229">
        <v>1.7390000000000001</v>
      </c>
      <c r="N229">
        <v>2.137</v>
      </c>
      <c r="P229">
        <v>2.423</v>
      </c>
      <c r="R229">
        <v>474.596</v>
      </c>
    </row>
    <row r="230" spans="1:18" x14ac:dyDescent="0.2">
      <c r="A230" t="s">
        <v>104</v>
      </c>
      <c r="B230" t="s">
        <v>115</v>
      </c>
      <c r="C230" t="s">
        <v>116</v>
      </c>
      <c r="D230" t="s">
        <v>21</v>
      </c>
      <c r="E230">
        <v>1.653</v>
      </c>
      <c r="F230">
        <v>0.73499999999999999</v>
      </c>
      <c r="G230">
        <v>0</v>
      </c>
      <c r="H230">
        <v>3.9180000000000001</v>
      </c>
      <c r="I230">
        <v>1.349</v>
      </c>
      <c r="N230">
        <v>1.875</v>
      </c>
      <c r="P230">
        <v>1.921</v>
      </c>
    </row>
    <row r="231" spans="1:18" x14ac:dyDescent="0.2">
      <c r="A231" t="s">
        <v>104</v>
      </c>
      <c r="B231" t="s">
        <v>117</v>
      </c>
      <c r="C231" t="s">
        <v>116</v>
      </c>
      <c r="D231" t="s">
        <v>21</v>
      </c>
      <c r="E231">
        <v>1.5089999999999999</v>
      </c>
      <c r="F231">
        <v>0.94899999999999995</v>
      </c>
      <c r="G231">
        <v>0</v>
      </c>
      <c r="H231">
        <v>4.726</v>
      </c>
      <c r="I231">
        <v>2.4119999999999999</v>
      </c>
      <c r="N231">
        <v>2.8250000000000002</v>
      </c>
      <c r="O231">
        <v>3.0670000000000002</v>
      </c>
      <c r="P231">
        <v>2.64</v>
      </c>
      <c r="Q231">
        <v>10.125</v>
      </c>
      <c r="R231">
        <v>520.35199999999998</v>
      </c>
    </row>
    <row r="232" spans="1:18" x14ac:dyDescent="0.2">
      <c r="A232" t="s">
        <v>104</v>
      </c>
      <c r="B232" t="s">
        <v>117</v>
      </c>
      <c r="C232" t="s">
        <v>116</v>
      </c>
      <c r="D232" t="s">
        <v>21</v>
      </c>
      <c r="E232">
        <v>1.522</v>
      </c>
      <c r="F232">
        <v>0.76400000000000001</v>
      </c>
      <c r="G232">
        <v>0</v>
      </c>
      <c r="H232">
        <v>4.274</v>
      </c>
      <c r="I232">
        <v>2.198</v>
      </c>
      <c r="N232">
        <v>2.0640000000000001</v>
      </c>
      <c r="P232">
        <v>2.867</v>
      </c>
      <c r="Q232">
        <v>13.656000000000001</v>
      </c>
    </row>
    <row r="233" spans="1:18" x14ac:dyDescent="0.2">
      <c r="A233" t="s">
        <v>104</v>
      </c>
      <c r="B233" t="s">
        <v>117</v>
      </c>
      <c r="C233" t="s">
        <v>116</v>
      </c>
      <c r="D233" t="s">
        <v>21</v>
      </c>
      <c r="E233">
        <v>1.2569999999999999</v>
      </c>
      <c r="F233">
        <v>0.78100000000000003</v>
      </c>
      <c r="G233">
        <v>0</v>
      </c>
      <c r="H233">
        <v>3.464</v>
      </c>
      <c r="I233">
        <v>1.4119999999999999</v>
      </c>
      <c r="P233">
        <v>2.1850000000000001</v>
      </c>
      <c r="Q233">
        <v>10.816000000000001</v>
      </c>
    </row>
    <row r="234" spans="1:18" x14ac:dyDescent="0.2">
      <c r="A234" t="s">
        <v>104</v>
      </c>
      <c r="B234" t="s">
        <v>118</v>
      </c>
      <c r="C234" t="s">
        <v>119</v>
      </c>
      <c r="D234" t="s">
        <v>21</v>
      </c>
      <c r="E234">
        <v>1.071</v>
      </c>
      <c r="F234">
        <v>0.92300000000000004</v>
      </c>
      <c r="G234">
        <v>0</v>
      </c>
      <c r="H234">
        <v>6.5359999999999996</v>
      </c>
      <c r="I234">
        <v>2.2970000000000002</v>
      </c>
      <c r="J234">
        <v>6.9640000000000004</v>
      </c>
      <c r="K234">
        <v>1.853</v>
      </c>
      <c r="L234">
        <v>1.1930000000000001</v>
      </c>
      <c r="M234">
        <v>2.7080000000000002</v>
      </c>
      <c r="N234">
        <v>4.2679999999999998</v>
      </c>
      <c r="O234">
        <v>2.181</v>
      </c>
      <c r="P234">
        <v>2.6749999999999998</v>
      </c>
      <c r="Q234">
        <v>8.9719999999999995</v>
      </c>
      <c r="R234">
        <v>864.03399999999999</v>
      </c>
    </row>
    <row r="235" spans="1:18" x14ac:dyDescent="0.2">
      <c r="A235" t="s">
        <v>104</v>
      </c>
      <c r="B235" t="s">
        <v>118</v>
      </c>
      <c r="C235" t="s">
        <v>119</v>
      </c>
      <c r="D235" t="s">
        <v>21</v>
      </c>
      <c r="E235">
        <v>1.363</v>
      </c>
      <c r="F235">
        <v>0.57299999999999995</v>
      </c>
      <c r="G235">
        <v>0</v>
      </c>
      <c r="H235">
        <v>4.0179999999999998</v>
      </c>
      <c r="I235">
        <v>1.7470000000000001</v>
      </c>
      <c r="N235">
        <v>2.782</v>
      </c>
      <c r="O235">
        <v>3.12</v>
      </c>
      <c r="P235">
        <v>2.617</v>
      </c>
      <c r="Q235">
        <v>7.6920000000000002</v>
      </c>
      <c r="R235">
        <v>874.66700000000003</v>
      </c>
    </row>
    <row r="236" spans="1:18" x14ac:dyDescent="0.2">
      <c r="A236" t="s">
        <v>104</v>
      </c>
      <c r="B236" t="s">
        <v>118</v>
      </c>
      <c r="C236" t="s">
        <v>119</v>
      </c>
      <c r="D236" t="s">
        <v>21</v>
      </c>
      <c r="E236">
        <v>0.97799999999999998</v>
      </c>
      <c r="F236">
        <v>0.82399999999999995</v>
      </c>
      <c r="G236">
        <v>0</v>
      </c>
      <c r="H236">
        <v>5.2670000000000003</v>
      </c>
      <c r="I236">
        <v>2.84</v>
      </c>
      <c r="N236">
        <v>3.399</v>
      </c>
      <c r="O236">
        <v>2.8140000000000001</v>
      </c>
      <c r="P236">
        <v>3.7879999999999998</v>
      </c>
      <c r="Q236">
        <v>20.135999999999999</v>
      </c>
      <c r="R236">
        <v>843.173</v>
      </c>
    </row>
    <row r="237" spans="1:18" x14ac:dyDescent="0.2">
      <c r="A237" t="s">
        <v>104</v>
      </c>
      <c r="B237" t="s">
        <v>120</v>
      </c>
      <c r="C237" t="s">
        <v>119</v>
      </c>
      <c r="D237" t="s">
        <v>21</v>
      </c>
      <c r="E237">
        <v>1.1279999999999999</v>
      </c>
      <c r="F237">
        <v>0.878</v>
      </c>
      <c r="G237">
        <v>0</v>
      </c>
      <c r="H237">
        <v>4.4379999999999997</v>
      </c>
      <c r="I237">
        <v>3.35</v>
      </c>
      <c r="N237">
        <v>1.196</v>
      </c>
      <c r="P237">
        <v>2.2789999999999999</v>
      </c>
      <c r="Q237">
        <v>13.215999999999999</v>
      </c>
      <c r="R237">
        <v>380.75099999999998</v>
      </c>
    </row>
    <row r="238" spans="1:18" x14ac:dyDescent="0.2">
      <c r="A238" t="s">
        <v>104</v>
      </c>
      <c r="B238" t="s">
        <v>120</v>
      </c>
      <c r="C238" t="s">
        <v>119</v>
      </c>
      <c r="D238" t="s">
        <v>21</v>
      </c>
      <c r="E238">
        <v>1.1120000000000001</v>
      </c>
      <c r="F238">
        <v>0.77500000000000002</v>
      </c>
      <c r="G238">
        <v>0</v>
      </c>
      <c r="H238">
        <v>4.2300000000000004</v>
      </c>
      <c r="I238">
        <v>2.7090000000000001</v>
      </c>
      <c r="N238">
        <v>2.2509999999999999</v>
      </c>
      <c r="P238">
        <v>2.5630000000000002</v>
      </c>
      <c r="Q238">
        <v>14.215999999999999</v>
      </c>
    </row>
    <row r="239" spans="1:18" x14ac:dyDescent="0.2">
      <c r="A239" t="s">
        <v>104</v>
      </c>
      <c r="B239" t="s">
        <v>120</v>
      </c>
      <c r="C239" t="s">
        <v>119</v>
      </c>
      <c r="D239" t="s">
        <v>21</v>
      </c>
      <c r="E239">
        <v>1.3440000000000001</v>
      </c>
      <c r="F239">
        <v>0.70099999999999996</v>
      </c>
      <c r="G239">
        <v>0</v>
      </c>
      <c r="H239">
        <v>3.323</v>
      </c>
      <c r="I239">
        <v>2.1819999999999999</v>
      </c>
      <c r="N239">
        <v>2.2909999999999999</v>
      </c>
      <c r="P239">
        <v>2.4020000000000001</v>
      </c>
      <c r="Q239">
        <v>12.407</v>
      </c>
    </row>
    <row r="240" spans="1:18" x14ac:dyDescent="0.2">
      <c r="A240" t="s">
        <v>104</v>
      </c>
      <c r="B240" t="s">
        <v>121</v>
      </c>
      <c r="C240" t="s">
        <v>44</v>
      </c>
      <c r="D240" t="s">
        <v>21</v>
      </c>
      <c r="E240">
        <v>1.21</v>
      </c>
      <c r="F240">
        <v>0.6</v>
      </c>
      <c r="G240">
        <v>0</v>
      </c>
      <c r="H240">
        <v>2.4830000000000001</v>
      </c>
      <c r="I240">
        <v>1.0720000000000001</v>
      </c>
      <c r="P240">
        <v>1.853</v>
      </c>
      <c r="Q240">
        <v>9.8629999999999995</v>
      </c>
      <c r="R240">
        <v>751.52300000000002</v>
      </c>
    </row>
    <row r="241" spans="1:18" x14ac:dyDescent="0.2">
      <c r="A241" t="s">
        <v>104</v>
      </c>
      <c r="B241" t="s">
        <v>121</v>
      </c>
      <c r="C241" t="s">
        <v>44</v>
      </c>
      <c r="D241" t="s">
        <v>21</v>
      </c>
      <c r="E241">
        <v>1.427</v>
      </c>
      <c r="F241">
        <v>0.71399999999999997</v>
      </c>
      <c r="G241">
        <v>0</v>
      </c>
      <c r="H241">
        <v>4.9980000000000002</v>
      </c>
      <c r="I241">
        <v>3.1629999999999998</v>
      </c>
      <c r="P241">
        <v>3.8039999999999998</v>
      </c>
      <c r="Q241">
        <v>7.8849999999999998</v>
      </c>
    </row>
    <row r="242" spans="1:18" x14ac:dyDescent="0.2">
      <c r="A242" t="s">
        <v>104</v>
      </c>
      <c r="B242" t="s">
        <v>121</v>
      </c>
      <c r="C242" t="s">
        <v>44</v>
      </c>
      <c r="D242" t="s">
        <v>21</v>
      </c>
      <c r="E242">
        <v>1.21</v>
      </c>
      <c r="F242">
        <v>0.77800000000000002</v>
      </c>
      <c r="G242">
        <v>0</v>
      </c>
      <c r="H242">
        <v>3.5489999999999999</v>
      </c>
      <c r="I242">
        <v>1.544</v>
      </c>
      <c r="P242">
        <v>1.6</v>
      </c>
      <c r="Q242">
        <v>6.3049999999999997</v>
      </c>
    </row>
    <row r="243" spans="1:18" x14ac:dyDescent="0.2">
      <c r="A243" t="s">
        <v>104</v>
      </c>
      <c r="B243" t="s">
        <v>122</v>
      </c>
      <c r="C243" t="s">
        <v>123</v>
      </c>
      <c r="D243" t="s">
        <v>21</v>
      </c>
      <c r="E243">
        <v>1.429</v>
      </c>
      <c r="F243">
        <v>0.76700000000000002</v>
      </c>
      <c r="G243">
        <v>0</v>
      </c>
      <c r="H243">
        <v>5.133</v>
      </c>
      <c r="I243">
        <v>2.629</v>
      </c>
      <c r="J243">
        <v>6.1079999999999997</v>
      </c>
      <c r="K243">
        <v>2.7280000000000002</v>
      </c>
      <c r="L243">
        <v>2.0659999999999998</v>
      </c>
      <c r="M243">
        <v>3.3279999999999998</v>
      </c>
      <c r="N243">
        <v>1.9910000000000001</v>
      </c>
      <c r="O243">
        <v>1.639</v>
      </c>
      <c r="P243">
        <v>2.8039999999999998</v>
      </c>
      <c r="Q243">
        <v>25.577999999999999</v>
      </c>
      <c r="R243">
        <v>634.13300000000004</v>
      </c>
    </row>
    <row r="244" spans="1:18" x14ac:dyDescent="0.2">
      <c r="A244" t="s">
        <v>104</v>
      </c>
      <c r="B244" t="s">
        <v>122</v>
      </c>
      <c r="C244" t="s">
        <v>123</v>
      </c>
      <c r="D244" t="s">
        <v>21</v>
      </c>
      <c r="E244">
        <v>1.2889999999999999</v>
      </c>
      <c r="F244">
        <v>0.89</v>
      </c>
      <c r="G244">
        <v>0</v>
      </c>
      <c r="H244">
        <v>4.7149999999999999</v>
      </c>
      <c r="I244">
        <v>2.5259999999999998</v>
      </c>
      <c r="N244">
        <v>2.1539999999999999</v>
      </c>
      <c r="P244">
        <v>2.778</v>
      </c>
      <c r="Q244">
        <v>16.385999999999999</v>
      </c>
      <c r="R244">
        <v>459.46699999999998</v>
      </c>
    </row>
    <row r="245" spans="1:18" x14ac:dyDescent="0.2">
      <c r="A245" t="s">
        <v>104</v>
      </c>
      <c r="B245" t="s">
        <v>122</v>
      </c>
      <c r="C245" t="s">
        <v>123</v>
      </c>
      <c r="D245" t="s">
        <v>21</v>
      </c>
      <c r="E245">
        <v>1.6990000000000001</v>
      </c>
      <c r="F245">
        <v>0.92400000000000004</v>
      </c>
      <c r="G245">
        <v>0</v>
      </c>
      <c r="H245">
        <v>4.0270000000000001</v>
      </c>
      <c r="I245">
        <v>2.113</v>
      </c>
      <c r="N245">
        <v>2.5840000000000001</v>
      </c>
      <c r="P245">
        <v>2.0489999999999999</v>
      </c>
    </row>
    <row r="246" spans="1:18" x14ac:dyDescent="0.2">
      <c r="A246" t="s">
        <v>104</v>
      </c>
      <c r="B246" t="s">
        <v>124</v>
      </c>
      <c r="C246" t="s">
        <v>123</v>
      </c>
      <c r="D246" t="s">
        <v>21</v>
      </c>
      <c r="E246">
        <v>2.1360000000000001</v>
      </c>
      <c r="F246">
        <v>1.2450000000000001</v>
      </c>
      <c r="G246">
        <v>0</v>
      </c>
      <c r="H246">
        <v>5.907</v>
      </c>
      <c r="I246">
        <v>2.56</v>
      </c>
      <c r="J246">
        <v>5.0549999999999997</v>
      </c>
      <c r="K246">
        <v>2.0390000000000001</v>
      </c>
      <c r="L246">
        <v>1.0620000000000001</v>
      </c>
      <c r="M246">
        <v>2.657</v>
      </c>
      <c r="N246">
        <v>3.0630000000000002</v>
      </c>
      <c r="O246">
        <v>2.9249999999999998</v>
      </c>
      <c r="P246">
        <v>5.0570000000000004</v>
      </c>
      <c r="Q246">
        <v>10.571</v>
      </c>
      <c r="R246">
        <v>680</v>
      </c>
    </row>
    <row r="247" spans="1:18" x14ac:dyDescent="0.2">
      <c r="A247" t="s">
        <v>104</v>
      </c>
      <c r="B247" t="s">
        <v>124</v>
      </c>
      <c r="C247" t="s">
        <v>123</v>
      </c>
      <c r="D247" t="s">
        <v>21</v>
      </c>
      <c r="E247">
        <v>2.069</v>
      </c>
      <c r="F247">
        <v>1.1359999999999999</v>
      </c>
      <c r="G247">
        <v>0</v>
      </c>
      <c r="H247">
        <v>7.82</v>
      </c>
      <c r="I247">
        <v>2.774</v>
      </c>
      <c r="J247">
        <v>5.45</v>
      </c>
      <c r="K247">
        <v>2.4580000000000002</v>
      </c>
      <c r="L247">
        <v>0.72599999999999998</v>
      </c>
      <c r="M247">
        <v>3.3450000000000002</v>
      </c>
      <c r="N247">
        <v>2.2240000000000002</v>
      </c>
      <c r="O247">
        <v>2.4289999999999998</v>
      </c>
      <c r="P247">
        <v>2.649</v>
      </c>
      <c r="Q247">
        <v>7.81</v>
      </c>
      <c r="R247">
        <v>676.71699999999998</v>
      </c>
    </row>
    <row r="248" spans="1:18" x14ac:dyDescent="0.2">
      <c r="A248" t="s">
        <v>104</v>
      </c>
      <c r="B248" t="s">
        <v>124</v>
      </c>
      <c r="C248" t="s">
        <v>123</v>
      </c>
      <c r="D248" t="s">
        <v>21</v>
      </c>
      <c r="E248">
        <v>1.5760000000000001</v>
      </c>
      <c r="F248">
        <v>1.19</v>
      </c>
      <c r="G248">
        <v>0</v>
      </c>
      <c r="H248">
        <v>4.8760000000000003</v>
      </c>
      <c r="I248">
        <v>2.2869999999999999</v>
      </c>
      <c r="J248">
        <v>5.0730000000000004</v>
      </c>
      <c r="K248">
        <v>2.0830000000000002</v>
      </c>
      <c r="L248">
        <v>1.101</v>
      </c>
      <c r="M248">
        <v>2.843</v>
      </c>
      <c r="N248">
        <v>1.802</v>
      </c>
      <c r="O248">
        <v>2.5659999999999998</v>
      </c>
      <c r="P248">
        <v>2.855</v>
      </c>
      <c r="Q248">
        <v>9.6590000000000007</v>
      </c>
    </row>
    <row r="249" spans="1:18" x14ac:dyDescent="0.2">
      <c r="A249" t="s">
        <v>104</v>
      </c>
      <c r="B249" t="s">
        <v>125</v>
      </c>
      <c r="C249" t="s">
        <v>123</v>
      </c>
      <c r="D249" t="s">
        <v>21</v>
      </c>
      <c r="E249">
        <v>1.5289999999999999</v>
      </c>
      <c r="F249">
        <v>1.232</v>
      </c>
      <c r="G249">
        <v>0</v>
      </c>
      <c r="H249">
        <v>3.8919999999999999</v>
      </c>
      <c r="I249">
        <v>2.3370000000000002</v>
      </c>
      <c r="O249">
        <v>3.3370000000000002</v>
      </c>
      <c r="P249">
        <v>5.1040000000000001</v>
      </c>
      <c r="Q249">
        <v>9.1890000000000001</v>
      </c>
      <c r="R249">
        <v>826.35900000000004</v>
      </c>
    </row>
    <row r="250" spans="1:18" x14ac:dyDescent="0.2">
      <c r="A250" t="s">
        <v>104</v>
      </c>
      <c r="B250" t="s">
        <v>125</v>
      </c>
      <c r="C250" t="s">
        <v>123</v>
      </c>
      <c r="D250" t="s">
        <v>21</v>
      </c>
      <c r="E250">
        <v>1.552</v>
      </c>
      <c r="F250">
        <v>1.0780000000000001</v>
      </c>
      <c r="G250">
        <v>0</v>
      </c>
      <c r="H250">
        <v>5.9109999999999996</v>
      </c>
      <c r="I250">
        <v>3.3010000000000002</v>
      </c>
      <c r="O250">
        <v>3.4550000000000001</v>
      </c>
      <c r="P250">
        <v>1.673</v>
      </c>
      <c r="Q250">
        <v>8.3439999999999994</v>
      </c>
    </row>
    <row r="251" spans="1:18" x14ac:dyDescent="0.2">
      <c r="A251" t="s">
        <v>104</v>
      </c>
      <c r="B251" t="s">
        <v>125</v>
      </c>
      <c r="C251" t="s">
        <v>123</v>
      </c>
      <c r="D251" t="s">
        <v>21</v>
      </c>
      <c r="E251">
        <v>1.4019999999999999</v>
      </c>
      <c r="F251">
        <v>0.71899999999999997</v>
      </c>
      <c r="G251">
        <v>0</v>
      </c>
      <c r="H251">
        <v>6.5629999999999997</v>
      </c>
      <c r="I251">
        <v>3.3580000000000001</v>
      </c>
      <c r="P251">
        <v>5.0789999999999997</v>
      </c>
      <c r="Q251">
        <v>11.856999999999999</v>
      </c>
    </row>
    <row r="252" spans="1:18" x14ac:dyDescent="0.2">
      <c r="A252" t="s">
        <v>104</v>
      </c>
      <c r="B252" t="s">
        <v>126</v>
      </c>
      <c r="C252" t="s">
        <v>123</v>
      </c>
      <c r="E252">
        <v>0.999</v>
      </c>
      <c r="F252">
        <v>0.60699999999999998</v>
      </c>
      <c r="H252">
        <v>2.911</v>
      </c>
      <c r="I252">
        <v>0.72199999999999998</v>
      </c>
      <c r="J252">
        <v>4.7160000000000002</v>
      </c>
      <c r="K252">
        <v>3.05</v>
      </c>
      <c r="L252">
        <v>2.5880000000000001</v>
      </c>
      <c r="M252">
        <v>1.7370000000000001</v>
      </c>
      <c r="N252">
        <v>2.7450000000000001</v>
      </c>
      <c r="O252">
        <v>2.3570000000000002</v>
      </c>
      <c r="P252">
        <v>2.5350000000000001</v>
      </c>
      <c r="Q252">
        <v>20.856000000000002</v>
      </c>
      <c r="R252">
        <v>703.54499999999996</v>
      </c>
    </row>
    <row r="253" spans="1:18" x14ac:dyDescent="0.2">
      <c r="A253" t="s">
        <v>104</v>
      </c>
      <c r="B253" t="s">
        <v>126</v>
      </c>
      <c r="C253" t="s">
        <v>123</v>
      </c>
      <c r="E253">
        <v>0.92100000000000004</v>
      </c>
      <c r="F253">
        <v>0.7</v>
      </c>
      <c r="H253">
        <v>2.9079999999999999</v>
      </c>
      <c r="I253">
        <v>0.33800000000000002</v>
      </c>
      <c r="J253">
        <v>7.3840000000000003</v>
      </c>
      <c r="K253">
        <v>3.6760000000000002</v>
      </c>
      <c r="L253">
        <v>1.865</v>
      </c>
      <c r="M253">
        <v>2.3719999999999999</v>
      </c>
      <c r="N253">
        <v>2.7509999999999999</v>
      </c>
      <c r="O253">
        <v>2.2069999999999999</v>
      </c>
      <c r="P253">
        <v>1.91</v>
      </c>
      <c r="Q253">
        <v>17.189</v>
      </c>
    </row>
    <row r="254" spans="1:18" x14ac:dyDescent="0.2">
      <c r="A254" t="s">
        <v>104</v>
      </c>
      <c r="B254" t="s">
        <v>126</v>
      </c>
      <c r="C254" t="s">
        <v>123</v>
      </c>
      <c r="E254">
        <v>0.80400000000000005</v>
      </c>
      <c r="F254">
        <v>0.75800000000000001</v>
      </c>
      <c r="H254">
        <v>3.45</v>
      </c>
      <c r="I254">
        <v>0.877</v>
      </c>
      <c r="J254">
        <v>6.7370000000000001</v>
      </c>
      <c r="K254">
        <v>2.036</v>
      </c>
      <c r="L254">
        <v>1.5049999999999999</v>
      </c>
      <c r="M254">
        <v>2.121</v>
      </c>
      <c r="N254">
        <v>2.5179999999999998</v>
      </c>
      <c r="O254">
        <v>2.5129999999999999</v>
      </c>
      <c r="P254">
        <v>2.5649999999999999</v>
      </c>
      <c r="Q254">
        <v>13.689</v>
      </c>
    </row>
    <row r="255" spans="1:18" x14ac:dyDescent="0.2">
      <c r="A255" t="s">
        <v>127</v>
      </c>
      <c r="B255" t="s">
        <v>128</v>
      </c>
      <c r="C255" t="s">
        <v>129</v>
      </c>
      <c r="D255" t="s">
        <v>21</v>
      </c>
      <c r="E255">
        <v>1.79</v>
      </c>
      <c r="F255">
        <v>1.04</v>
      </c>
      <c r="G255">
        <v>0.73</v>
      </c>
      <c r="H255">
        <v>2.86</v>
      </c>
      <c r="I255">
        <v>4.97</v>
      </c>
      <c r="J255">
        <v>9.51</v>
      </c>
      <c r="K255">
        <v>4.28</v>
      </c>
      <c r="L255">
        <v>2.44</v>
      </c>
      <c r="M255">
        <v>4.7</v>
      </c>
      <c r="N255">
        <v>1.58</v>
      </c>
      <c r="O255">
        <v>1.57</v>
      </c>
      <c r="P255">
        <v>1.79</v>
      </c>
      <c r="Q255">
        <v>14.27</v>
      </c>
    </row>
    <row r="256" spans="1:18" x14ac:dyDescent="0.2">
      <c r="A256" t="s">
        <v>127</v>
      </c>
      <c r="B256" t="s">
        <v>128</v>
      </c>
      <c r="C256" t="s">
        <v>129</v>
      </c>
      <c r="D256" t="s">
        <v>21</v>
      </c>
      <c r="E256">
        <v>2.34</v>
      </c>
      <c r="F256">
        <v>0.88</v>
      </c>
      <c r="G256">
        <v>0.61</v>
      </c>
      <c r="H256">
        <v>1.1499999999999999</v>
      </c>
      <c r="I256">
        <v>2.58</v>
      </c>
      <c r="J256">
        <v>9.3699999999999992</v>
      </c>
      <c r="K256">
        <v>3.26</v>
      </c>
      <c r="L256">
        <v>1.31</v>
      </c>
      <c r="M256">
        <v>4.99</v>
      </c>
      <c r="N256">
        <v>1.1499999999999999</v>
      </c>
      <c r="O256">
        <v>0.99</v>
      </c>
      <c r="P256">
        <v>3.84</v>
      </c>
      <c r="Q256">
        <v>11.29</v>
      </c>
    </row>
    <row r="257" spans="1:18" x14ac:dyDescent="0.2">
      <c r="A257" t="s">
        <v>127</v>
      </c>
      <c r="B257" t="s">
        <v>128</v>
      </c>
      <c r="C257" t="s">
        <v>129</v>
      </c>
      <c r="D257" t="s">
        <v>21</v>
      </c>
      <c r="E257">
        <v>2.57</v>
      </c>
      <c r="F257">
        <v>1.22</v>
      </c>
      <c r="G257">
        <v>0.45</v>
      </c>
      <c r="H257">
        <v>1.28</v>
      </c>
      <c r="I257">
        <v>2.0299999999999998</v>
      </c>
      <c r="J257">
        <v>9.5500000000000007</v>
      </c>
      <c r="K257">
        <v>1.8</v>
      </c>
      <c r="L257">
        <v>0.78</v>
      </c>
      <c r="M257">
        <v>5.0599999999999996</v>
      </c>
      <c r="N257">
        <v>2.17</v>
      </c>
      <c r="O257">
        <v>0</v>
      </c>
      <c r="P257">
        <v>2.69</v>
      </c>
      <c r="Q257">
        <v>10.14</v>
      </c>
    </row>
    <row r="258" spans="1:18" x14ac:dyDescent="0.2">
      <c r="A258" t="s">
        <v>130</v>
      </c>
      <c r="B258" t="s">
        <v>131</v>
      </c>
      <c r="C258" t="s">
        <v>54</v>
      </c>
      <c r="D258" t="s">
        <v>21</v>
      </c>
      <c r="E258">
        <v>0.60899999999999999</v>
      </c>
      <c r="F258">
        <v>0.434</v>
      </c>
      <c r="G258">
        <v>0</v>
      </c>
      <c r="H258">
        <v>4.6289999999999996</v>
      </c>
      <c r="I258">
        <v>2.0990000000000002</v>
      </c>
      <c r="J258">
        <v>3.9369999999999998</v>
      </c>
      <c r="K258">
        <v>2.0470000000000002</v>
      </c>
      <c r="L258">
        <v>1.6779999999999999</v>
      </c>
      <c r="M258">
        <v>2.1970000000000001</v>
      </c>
      <c r="N258">
        <v>3.5030000000000001</v>
      </c>
      <c r="O258">
        <v>4.1989999999999998</v>
      </c>
      <c r="P258">
        <v>7.3449999999999998</v>
      </c>
      <c r="Q258">
        <v>31.937000000000001</v>
      </c>
      <c r="R258">
        <v>701.47400000000005</v>
      </c>
    </row>
    <row r="259" spans="1:18" x14ac:dyDescent="0.2">
      <c r="A259" t="s">
        <v>130</v>
      </c>
      <c r="B259" t="s">
        <v>131</v>
      </c>
      <c r="C259" t="s">
        <v>54</v>
      </c>
      <c r="D259" t="s">
        <v>21</v>
      </c>
      <c r="E259">
        <v>0.68100000000000005</v>
      </c>
      <c r="F259">
        <v>0.502</v>
      </c>
      <c r="G259">
        <v>0</v>
      </c>
      <c r="H259">
        <v>5.157</v>
      </c>
      <c r="I259">
        <v>2.379</v>
      </c>
      <c r="J259">
        <v>3.9569999999999999</v>
      </c>
      <c r="K259">
        <v>1.512</v>
      </c>
      <c r="L259">
        <v>0.78300000000000003</v>
      </c>
      <c r="M259">
        <v>2.6429999999999998</v>
      </c>
      <c r="N259">
        <v>3.6549999999999998</v>
      </c>
      <c r="P259">
        <v>3.6150000000000002</v>
      </c>
      <c r="Q259">
        <v>22.692</v>
      </c>
      <c r="R259">
        <v>525.048</v>
      </c>
    </row>
    <row r="260" spans="1:18" x14ac:dyDescent="0.2">
      <c r="A260" t="s">
        <v>130</v>
      </c>
      <c r="B260" t="s">
        <v>131</v>
      </c>
      <c r="C260" t="s">
        <v>54</v>
      </c>
      <c r="D260" t="s">
        <v>21</v>
      </c>
      <c r="E260">
        <v>0.86299999999999999</v>
      </c>
      <c r="F260">
        <v>0.504</v>
      </c>
      <c r="G260">
        <v>0</v>
      </c>
      <c r="H260">
        <v>3.5129999999999999</v>
      </c>
      <c r="I260">
        <v>1.702</v>
      </c>
      <c r="J260">
        <v>3.7170000000000001</v>
      </c>
      <c r="K260">
        <v>1.4750000000000001</v>
      </c>
      <c r="L260">
        <v>1.2</v>
      </c>
      <c r="M260">
        <v>2.5630000000000002</v>
      </c>
      <c r="N260">
        <v>2.3149999999999999</v>
      </c>
      <c r="O260">
        <v>3.15</v>
      </c>
      <c r="P260">
        <v>3.0710000000000002</v>
      </c>
      <c r="Q260">
        <v>15.907999999999999</v>
      </c>
    </row>
    <row r="261" spans="1:18" x14ac:dyDescent="0.2">
      <c r="A261" t="s">
        <v>130</v>
      </c>
      <c r="B261" t="s">
        <v>132</v>
      </c>
      <c r="C261" t="s">
        <v>54</v>
      </c>
      <c r="D261" t="s">
        <v>21</v>
      </c>
      <c r="E261">
        <v>1.556</v>
      </c>
      <c r="F261">
        <v>0.81899999999999995</v>
      </c>
      <c r="G261">
        <v>0</v>
      </c>
      <c r="H261">
        <v>7.2229999999999999</v>
      </c>
      <c r="I261">
        <v>1.444</v>
      </c>
      <c r="J261">
        <v>3.677</v>
      </c>
      <c r="K261">
        <v>1.9610000000000001</v>
      </c>
      <c r="L261">
        <v>1.58</v>
      </c>
      <c r="M261">
        <v>1.4590000000000001</v>
      </c>
      <c r="N261">
        <v>4.5599999999999996</v>
      </c>
      <c r="O261">
        <v>5.1070000000000002</v>
      </c>
      <c r="P261">
        <v>1.86</v>
      </c>
      <c r="Q261">
        <v>8.157</v>
      </c>
      <c r="R261">
        <v>567.13300000000004</v>
      </c>
    </row>
    <row r="262" spans="1:18" x14ac:dyDescent="0.2">
      <c r="A262" t="s">
        <v>130</v>
      </c>
      <c r="B262" t="s">
        <v>132</v>
      </c>
      <c r="C262" t="s">
        <v>54</v>
      </c>
      <c r="D262" t="s">
        <v>21</v>
      </c>
      <c r="E262">
        <v>1.5129999999999999</v>
      </c>
      <c r="F262">
        <v>0.76600000000000001</v>
      </c>
      <c r="G262">
        <v>0</v>
      </c>
      <c r="H262">
        <v>6.6349999999999998</v>
      </c>
      <c r="I262">
        <v>1.6870000000000001</v>
      </c>
      <c r="J262">
        <v>3.6459999999999999</v>
      </c>
      <c r="K262">
        <v>1.3440000000000001</v>
      </c>
      <c r="L262">
        <v>1.1739999999999999</v>
      </c>
      <c r="M262">
        <v>1.1830000000000001</v>
      </c>
      <c r="N262">
        <v>3.2269999999999999</v>
      </c>
      <c r="O262">
        <v>2.1960000000000002</v>
      </c>
      <c r="P262">
        <v>1.4690000000000001</v>
      </c>
      <c r="Q262">
        <v>7.0579999999999998</v>
      </c>
    </row>
    <row r="263" spans="1:18" x14ac:dyDescent="0.2">
      <c r="A263" t="s">
        <v>130</v>
      </c>
      <c r="B263" t="s">
        <v>132</v>
      </c>
      <c r="C263" t="s">
        <v>54</v>
      </c>
      <c r="D263" t="s">
        <v>21</v>
      </c>
      <c r="E263">
        <v>1.196</v>
      </c>
      <c r="F263">
        <v>0.84499999999999997</v>
      </c>
      <c r="G263">
        <v>0</v>
      </c>
      <c r="H263">
        <v>3.5129999999999999</v>
      </c>
      <c r="I263">
        <v>1.3029999999999999</v>
      </c>
      <c r="J263">
        <v>4.1580000000000004</v>
      </c>
      <c r="K263">
        <v>1.4710000000000001</v>
      </c>
      <c r="L263">
        <v>1.23</v>
      </c>
      <c r="M263">
        <v>1.72</v>
      </c>
      <c r="N263">
        <v>5.2190000000000003</v>
      </c>
      <c r="O263">
        <v>3.254</v>
      </c>
      <c r="P263">
        <v>1.5980000000000001</v>
      </c>
      <c r="Q263">
        <v>8.4</v>
      </c>
    </row>
    <row r="264" spans="1:18" x14ac:dyDescent="0.2">
      <c r="A264" t="s">
        <v>130</v>
      </c>
      <c r="B264" t="s">
        <v>133</v>
      </c>
      <c r="C264" t="s">
        <v>54</v>
      </c>
      <c r="D264" t="s">
        <v>21</v>
      </c>
      <c r="E264">
        <v>1.0369999999999999</v>
      </c>
      <c r="F264">
        <v>0.33300000000000002</v>
      </c>
      <c r="G264">
        <v>0</v>
      </c>
      <c r="H264">
        <v>4.7110000000000003</v>
      </c>
      <c r="I264">
        <v>2.12</v>
      </c>
      <c r="J264">
        <v>3.7589999999999999</v>
      </c>
      <c r="K264">
        <v>1.353</v>
      </c>
      <c r="L264">
        <v>1.35</v>
      </c>
      <c r="M264">
        <v>2.57</v>
      </c>
      <c r="N264">
        <v>3.0819999999999999</v>
      </c>
      <c r="O264">
        <v>4.0789999999999997</v>
      </c>
      <c r="P264">
        <v>1.522</v>
      </c>
      <c r="Q264">
        <v>9.5389999999999997</v>
      </c>
      <c r="R264">
        <v>557.82399999999996</v>
      </c>
    </row>
    <row r="265" spans="1:18" x14ac:dyDescent="0.2">
      <c r="A265" t="s">
        <v>130</v>
      </c>
      <c r="B265" t="s">
        <v>133</v>
      </c>
      <c r="C265" t="s">
        <v>54</v>
      </c>
      <c r="D265" t="s">
        <v>21</v>
      </c>
      <c r="E265">
        <v>1.0900000000000001</v>
      </c>
      <c r="F265">
        <v>0.439</v>
      </c>
      <c r="G265">
        <v>0</v>
      </c>
      <c r="H265">
        <v>5.3970000000000002</v>
      </c>
      <c r="I265">
        <v>2.1960000000000002</v>
      </c>
      <c r="J265">
        <v>3.5910000000000002</v>
      </c>
      <c r="K265">
        <v>1.522</v>
      </c>
      <c r="L265">
        <v>1.3260000000000001</v>
      </c>
      <c r="M265">
        <v>2.1539999999999999</v>
      </c>
      <c r="N265">
        <v>3.552</v>
      </c>
      <c r="O265">
        <v>2.8340000000000001</v>
      </c>
      <c r="P265">
        <v>1.177</v>
      </c>
      <c r="Q265">
        <v>11.337999999999999</v>
      </c>
    </row>
    <row r="266" spans="1:18" x14ac:dyDescent="0.2">
      <c r="A266" t="s">
        <v>130</v>
      </c>
      <c r="B266" t="s">
        <v>133</v>
      </c>
      <c r="C266" t="s">
        <v>54</v>
      </c>
      <c r="D266" t="s">
        <v>21</v>
      </c>
      <c r="E266">
        <v>1.0369999999999999</v>
      </c>
      <c r="F266">
        <v>0.60799999999999998</v>
      </c>
      <c r="G266">
        <v>0</v>
      </c>
      <c r="H266">
        <v>3.5129999999999999</v>
      </c>
      <c r="I266">
        <v>1.0940000000000001</v>
      </c>
      <c r="J266">
        <v>3.9670000000000001</v>
      </c>
      <c r="K266">
        <v>1.629</v>
      </c>
      <c r="L266">
        <v>1.534</v>
      </c>
      <c r="M266">
        <v>2.133</v>
      </c>
      <c r="N266">
        <v>5.1120000000000001</v>
      </c>
      <c r="O266">
        <v>2.819</v>
      </c>
      <c r="P266">
        <v>1.377</v>
      </c>
      <c r="Q266">
        <v>7.4740000000000002</v>
      </c>
    </row>
    <row r="267" spans="1:18" x14ac:dyDescent="0.2">
      <c r="A267" t="s">
        <v>130</v>
      </c>
      <c r="B267" t="s">
        <v>134</v>
      </c>
      <c r="C267" t="s">
        <v>107</v>
      </c>
      <c r="D267" t="s">
        <v>21</v>
      </c>
      <c r="E267">
        <v>0.996</v>
      </c>
      <c r="F267">
        <v>0.503</v>
      </c>
      <c r="G267">
        <v>0</v>
      </c>
      <c r="H267">
        <v>5.0179999999999998</v>
      </c>
      <c r="I267">
        <v>1.8340000000000001</v>
      </c>
      <c r="J267">
        <v>3.7320000000000002</v>
      </c>
      <c r="K267">
        <v>1.4530000000000001</v>
      </c>
      <c r="L267">
        <v>1.1379999999999999</v>
      </c>
      <c r="M267">
        <v>2.2010000000000001</v>
      </c>
      <c r="N267">
        <v>2.67</v>
      </c>
      <c r="O267">
        <v>2.2200000000000002</v>
      </c>
      <c r="P267">
        <v>1.657</v>
      </c>
      <c r="Q267">
        <v>35.667999999999999</v>
      </c>
      <c r="R267">
        <v>831.83900000000006</v>
      </c>
    </row>
    <row r="268" spans="1:18" x14ac:dyDescent="0.2">
      <c r="A268" t="s">
        <v>130</v>
      </c>
      <c r="B268" t="s">
        <v>134</v>
      </c>
      <c r="C268" t="s">
        <v>107</v>
      </c>
      <c r="D268" t="s">
        <v>21</v>
      </c>
      <c r="E268">
        <v>0.93799999999999994</v>
      </c>
      <c r="F268">
        <v>0.83</v>
      </c>
      <c r="G268">
        <v>0</v>
      </c>
      <c r="H268">
        <v>6.8810000000000002</v>
      </c>
      <c r="I268">
        <v>2.6669999999999998</v>
      </c>
      <c r="J268">
        <v>3.7109999999999999</v>
      </c>
      <c r="K268">
        <v>1.343</v>
      </c>
      <c r="L268">
        <v>1.1140000000000001</v>
      </c>
      <c r="M268">
        <v>2.234</v>
      </c>
      <c r="N268">
        <v>2.218</v>
      </c>
      <c r="O268">
        <v>2.3410000000000002</v>
      </c>
      <c r="P268">
        <v>2.0819999999999999</v>
      </c>
      <c r="Q268">
        <v>29.280999999999999</v>
      </c>
      <c r="R268">
        <v>776.70600000000002</v>
      </c>
    </row>
    <row r="269" spans="1:18" x14ac:dyDescent="0.2">
      <c r="A269" t="s">
        <v>130</v>
      </c>
      <c r="B269" t="s">
        <v>134</v>
      </c>
      <c r="C269" t="s">
        <v>107</v>
      </c>
      <c r="D269" t="s">
        <v>21</v>
      </c>
      <c r="E269">
        <v>0.95399999999999996</v>
      </c>
      <c r="F269">
        <v>0.45</v>
      </c>
      <c r="G269">
        <v>0</v>
      </c>
      <c r="H269">
        <v>3.5129999999999999</v>
      </c>
      <c r="I269">
        <v>2.8980000000000001</v>
      </c>
      <c r="N269">
        <v>2.5640000000000001</v>
      </c>
      <c r="P269">
        <v>1.738</v>
      </c>
      <c r="Q269">
        <v>21.696000000000002</v>
      </c>
    </row>
    <row r="270" spans="1:18" x14ac:dyDescent="0.2">
      <c r="A270" t="s">
        <v>130</v>
      </c>
      <c r="B270" t="s">
        <v>135</v>
      </c>
      <c r="C270" t="s">
        <v>107</v>
      </c>
      <c r="D270" t="s">
        <v>21</v>
      </c>
      <c r="E270">
        <v>1.484</v>
      </c>
      <c r="F270">
        <v>0.95799999999999996</v>
      </c>
      <c r="G270">
        <v>0</v>
      </c>
      <c r="H270">
        <v>2.794</v>
      </c>
      <c r="I270">
        <v>0.83899999999999997</v>
      </c>
      <c r="P270">
        <v>5.0709999999999997</v>
      </c>
      <c r="Q270">
        <v>16.716000000000001</v>
      </c>
    </row>
    <row r="271" spans="1:18" x14ac:dyDescent="0.2">
      <c r="A271" t="s">
        <v>130</v>
      </c>
      <c r="B271" t="s">
        <v>135</v>
      </c>
      <c r="C271" t="s">
        <v>107</v>
      </c>
      <c r="D271" t="s">
        <v>21</v>
      </c>
      <c r="E271">
        <v>1.377</v>
      </c>
      <c r="F271">
        <v>0.74399999999999999</v>
      </c>
      <c r="G271">
        <v>0</v>
      </c>
      <c r="H271">
        <v>2.9660000000000002</v>
      </c>
      <c r="I271">
        <v>1.0649999999999999</v>
      </c>
      <c r="P271">
        <v>4.0069999999999997</v>
      </c>
    </row>
    <row r="272" spans="1:18" x14ac:dyDescent="0.2">
      <c r="A272" t="s">
        <v>130</v>
      </c>
      <c r="B272" t="s">
        <v>135</v>
      </c>
      <c r="C272" t="s">
        <v>107</v>
      </c>
      <c r="D272" t="s">
        <v>21</v>
      </c>
      <c r="E272">
        <v>1.359</v>
      </c>
      <c r="F272">
        <v>0.53900000000000003</v>
      </c>
      <c r="G272">
        <v>0</v>
      </c>
      <c r="H272">
        <v>3.5129999999999999</v>
      </c>
      <c r="I272">
        <v>1.014</v>
      </c>
      <c r="P272">
        <v>3.5419999999999998</v>
      </c>
    </row>
    <row r="273" spans="1:18" x14ac:dyDescent="0.2">
      <c r="A273" t="s">
        <v>130</v>
      </c>
      <c r="B273" t="s">
        <v>136</v>
      </c>
      <c r="C273" t="s">
        <v>107</v>
      </c>
      <c r="D273" t="s">
        <v>21</v>
      </c>
      <c r="E273">
        <v>1.411</v>
      </c>
      <c r="F273">
        <v>0.68899999999999995</v>
      </c>
      <c r="G273">
        <v>0</v>
      </c>
      <c r="H273">
        <v>6.4749999999999996</v>
      </c>
      <c r="I273">
        <v>2.343</v>
      </c>
    </row>
    <row r="274" spans="1:18" x14ac:dyDescent="0.2">
      <c r="A274" t="s">
        <v>130</v>
      </c>
      <c r="B274" t="s">
        <v>136</v>
      </c>
      <c r="C274" t="s">
        <v>107</v>
      </c>
      <c r="D274" t="s">
        <v>21</v>
      </c>
      <c r="E274">
        <v>1.2689999999999999</v>
      </c>
      <c r="F274">
        <v>0.63800000000000001</v>
      </c>
      <c r="G274">
        <v>0</v>
      </c>
      <c r="H274">
        <v>4.5289999999999999</v>
      </c>
      <c r="I274">
        <v>1.121</v>
      </c>
    </row>
    <row r="275" spans="1:18" x14ac:dyDescent="0.2">
      <c r="A275" t="s">
        <v>130</v>
      </c>
      <c r="B275" t="s">
        <v>136</v>
      </c>
      <c r="C275" t="s">
        <v>107</v>
      </c>
      <c r="D275" t="s">
        <v>21</v>
      </c>
      <c r="E275">
        <v>1.579</v>
      </c>
      <c r="F275">
        <v>0.46</v>
      </c>
      <c r="G275">
        <v>0</v>
      </c>
      <c r="H275">
        <v>7.3570000000000002</v>
      </c>
      <c r="I275">
        <v>2.04</v>
      </c>
    </row>
    <row r="276" spans="1:18" x14ac:dyDescent="0.2">
      <c r="A276" t="s">
        <v>130</v>
      </c>
      <c r="B276" t="s">
        <v>137</v>
      </c>
      <c r="C276" t="s">
        <v>81</v>
      </c>
      <c r="D276" t="s">
        <v>21</v>
      </c>
      <c r="E276">
        <v>1.514</v>
      </c>
      <c r="F276">
        <v>0.79200000000000004</v>
      </c>
      <c r="G276">
        <v>0</v>
      </c>
      <c r="H276">
        <v>5.2640000000000002</v>
      </c>
      <c r="I276">
        <v>4.0439999999999996</v>
      </c>
      <c r="J276">
        <v>4.1219999999999999</v>
      </c>
      <c r="K276">
        <v>1.399</v>
      </c>
      <c r="L276">
        <v>1.0920000000000001</v>
      </c>
      <c r="M276">
        <v>2.9009999999999998</v>
      </c>
      <c r="N276">
        <v>3</v>
      </c>
      <c r="O276">
        <v>4.766</v>
      </c>
      <c r="P276">
        <v>3.4670000000000001</v>
      </c>
      <c r="Q276">
        <v>15.698</v>
      </c>
      <c r="R276">
        <v>629.75199999999995</v>
      </c>
    </row>
    <row r="277" spans="1:18" x14ac:dyDescent="0.2">
      <c r="A277" t="s">
        <v>130</v>
      </c>
      <c r="B277" t="s">
        <v>137</v>
      </c>
      <c r="C277" t="s">
        <v>81</v>
      </c>
      <c r="D277" t="s">
        <v>21</v>
      </c>
      <c r="E277">
        <v>1.323</v>
      </c>
      <c r="F277">
        <v>0.92700000000000005</v>
      </c>
      <c r="G277">
        <v>0</v>
      </c>
      <c r="H277">
        <v>5.6669999999999998</v>
      </c>
      <c r="I277">
        <v>2.7909999999999999</v>
      </c>
      <c r="J277">
        <v>3.7069999999999999</v>
      </c>
      <c r="K277">
        <v>1.139</v>
      </c>
      <c r="L277">
        <v>0.67600000000000005</v>
      </c>
      <c r="M277">
        <v>2.3370000000000002</v>
      </c>
      <c r="N277">
        <v>3.9239999999999999</v>
      </c>
      <c r="O277">
        <v>4.9660000000000002</v>
      </c>
      <c r="P277">
        <v>3.24</v>
      </c>
      <c r="Q277">
        <v>17.619</v>
      </c>
    </row>
    <row r="278" spans="1:18" x14ac:dyDescent="0.2">
      <c r="A278" t="s">
        <v>130</v>
      </c>
      <c r="B278" t="s">
        <v>137</v>
      </c>
      <c r="C278" t="s">
        <v>81</v>
      </c>
      <c r="D278" t="s">
        <v>21</v>
      </c>
      <c r="E278">
        <v>1.5289999999999999</v>
      </c>
      <c r="F278">
        <v>0.99399999999999999</v>
      </c>
      <c r="G278">
        <v>0</v>
      </c>
      <c r="H278">
        <v>6.9710000000000001</v>
      </c>
      <c r="I278">
        <v>3.3849999999999998</v>
      </c>
      <c r="J278">
        <v>3.5920000000000001</v>
      </c>
      <c r="K278">
        <v>0.82299999999999995</v>
      </c>
      <c r="L278">
        <v>0.79300000000000004</v>
      </c>
      <c r="M278">
        <v>3.0840000000000001</v>
      </c>
      <c r="N278">
        <v>3.6659999999999999</v>
      </c>
      <c r="O278">
        <v>4.0490000000000004</v>
      </c>
      <c r="P278">
        <v>2.8250000000000002</v>
      </c>
      <c r="Q278">
        <v>22.266999999999999</v>
      </c>
    </row>
    <row r="279" spans="1:18" x14ac:dyDescent="0.2">
      <c r="A279" t="s">
        <v>130</v>
      </c>
      <c r="B279" t="s">
        <v>138</v>
      </c>
      <c r="C279" t="s">
        <v>81</v>
      </c>
      <c r="D279" t="s">
        <v>21</v>
      </c>
      <c r="E279">
        <v>1.504</v>
      </c>
      <c r="F279">
        <v>0.70699999999999996</v>
      </c>
      <c r="G279">
        <v>0</v>
      </c>
      <c r="H279">
        <v>7.6349999999999998</v>
      </c>
      <c r="I279">
        <v>2.7719999999999998</v>
      </c>
      <c r="J279">
        <v>4.9850000000000003</v>
      </c>
      <c r="K279">
        <v>1.1459999999999999</v>
      </c>
      <c r="L279">
        <v>1.1439999999999999</v>
      </c>
      <c r="M279">
        <v>3.1019999999999999</v>
      </c>
      <c r="N279">
        <v>3.42</v>
      </c>
      <c r="O279">
        <v>5.0389999999999997</v>
      </c>
      <c r="P279">
        <v>4.0949999999999998</v>
      </c>
      <c r="Q279">
        <v>12.566000000000001</v>
      </c>
      <c r="R279">
        <v>627.89099999999996</v>
      </c>
    </row>
    <row r="280" spans="1:18" x14ac:dyDescent="0.2">
      <c r="A280" t="s">
        <v>130</v>
      </c>
      <c r="B280" t="s">
        <v>138</v>
      </c>
      <c r="C280" t="s">
        <v>81</v>
      </c>
      <c r="D280" t="s">
        <v>21</v>
      </c>
      <c r="E280">
        <v>1.853</v>
      </c>
      <c r="F280">
        <v>0.89200000000000002</v>
      </c>
      <c r="G280">
        <v>0</v>
      </c>
      <c r="H280">
        <v>8.1329999999999991</v>
      </c>
      <c r="I280">
        <v>2.3780000000000001</v>
      </c>
      <c r="J280">
        <v>4.4189999999999996</v>
      </c>
      <c r="K280">
        <v>1.306</v>
      </c>
      <c r="L280">
        <v>0.81899999999999995</v>
      </c>
      <c r="M280">
        <v>3.1960000000000002</v>
      </c>
      <c r="N280">
        <v>2.9350000000000001</v>
      </c>
      <c r="O280">
        <v>5.3470000000000004</v>
      </c>
      <c r="P280">
        <v>4.2220000000000004</v>
      </c>
      <c r="Q280">
        <v>9.6319999999999997</v>
      </c>
      <c r="R280">
        <v>679.41099999999994</v>
      </c>
    </row>
    <row r="281" spans="1:18" x14ac:dyDescent="0.2">
      <c r="A281" t="s">
        <v>130</v>
      </c>
      <c r="B281" t="s">
        <v>138</v>
      </c>
      <c r="C281" t="s">
        <v>81</v>
      </c>
      <c r="D281" t="s">
        <v>21</v>
      </c>
      <c r="E281">
        <v>1.333</v>
      </c>
      <c r="F281">
        <v>0.85199999999999998</v>
      </c>
      <c r="G281">
        <v>0</v>
      </c>
      <c r="H281">
        <v>6.9470000000000001</v>
      </c>
      <c r="I281">
        <v>2.6269999999999998</v>
      </c>
      <c r="J281">
        <v>4.6749999999999998</v>
      </c>
      <c r="K281">
        <v>1.153</v>
      </c>
      <c r="L281">
        <v>0.78500000000000003</v>
      </c>
      <c r="M281">
        <v>2.8109999999999999</v>
      </c>
      <c r="N281">
        <v>2.7759999999999998</v>
      </c>
      <c r="O281">
        <v>4.1120000000000001</v>
      </c>
      <c r="P281">
        <v>8.1720000000000006</v>
      </c>
      <c r="Q281">
        <v>10.941000000000001</v>
      </c>
    </row>
    <row r="282" spans="1:18" x14ac:dyDescent="0.2">
      <c r="A282" t="s">
        <v>130</v>
      </c>
      <c r="B282" t="s">
        <v>139</v>
      </c>
      <c r="C282" t="s">
        <v>81</v>
      </c>
      <c r="D282" t="s">
        <v>21</v>
      </c>
      <c r="E282">
        <v>1.4079999999999999</v>
      </c>
      <c r="F282">
        <v>0.629</v>
      </c>
      <c r="G282">
        <v>0</v>
      </c>
      <c r="H282">
        <v>6.6959999999999997</v>
      </c>
      <c r="I282">
        <v>1.9219999999999999</v>
      </c>
      <c r="J282">
        <v>3.68</v>
      </c>
      <c r="K282">
        <v>0.93</v>
      </c>
      <c r="L282">
        <v>0.58099999999999996</v>
      </c>
      <c r="M282">
        <v>3.2389999999999999</v>
      </c>
      <c r="N282">
        <v>3.7509999999999999</v>
      </c>
      <c r="O282">
        <v>4.0529999999999999</v>
      </c>
      <c r="P282">
        <v>2.4500000000000002</v>
      </c>
      <c r="Q282">
        <v>41.173000000000002</v>
      </c>
      <c r="R282">
        <v>859.02800000000002</v>
      </c>
    </row>
    <row r="283" spans="1:18" x14ac:dyDescent="0.2">
      <c r="A283" t="s">
        <v>130</v>
      </c>
      <c r="B283" t="s">
        <v>139</v>
      </c>
      <c r="C283" t="s">
        <v>81</v>
      </c>
      <c r="D283" t="s">
        <v>21</v>
      </c>
      <c r="E283">
        <v>1.1930000000000001</v>
      </c>
      <c r="F283">
        <v>0.61499999999999999</v>
      </c>
      <c r="G283">
        <v>0</v>
      </c>
      <c r="H283">
        <v>7.2350000000000003</v>
      </c>
      <c r="I283">
        <v>1.9570000000000001</v>
      </c>
      <c r="J283">
        <v>4.3449999999999998</v>
      </c>
      <c r="K283">
        <v>2.181</v>
      </c>
      <c r="L283">
        <v>2.1579999999999999</v>
      </c>
      <c r="M283">
        <v>2.133</v>
      </c>
      <c r="N283">
        <v>3.4009999999999998</v>
      </c>
      <c r="O283">
        <v>4.7720000000000002</v>
      </c>
      <c r="P283">
        <v>3.5049999999999999</v>
      </c>
      <c r="Q283">
        <v>16.625</v>
      </c>
    </row>
    <row r="284" spans="1:18" x14ac:dyDescent="0.2">
      <c r="A284" t="s">
        <v>130</v>
      </c>
      <c r="B284" t="s">
        <v>139</v>
      </c>
      <c r="C284" t="s">
        <v>81</v>
      </c>
      <c r="D284" t="s">
        <v>21</v>
      </c>
      <c r="E284">
        <v>1.274</v>
      </c>
      <c r="F284">
        <v>0.879</v>
      </c>
      <c r="G284">
        <v>0</v>
      </c>
      <c r="H284">
        <v>6.4489999999999998</v>
      </c>
      <c r="I284">
        <v>2.0310000000000001</v>
      </c>
      <c r="J284">
        <v>3.7040000000000002</v>
      </c>
      <c r="K284">
        <v>2.2570000000000001</v>
      </c>
      <c r="L284">
        <v>1.992</v>
      </c>
      <c r="M284">
        <v>2.5640000000000001</v>
      </c>
      <c r="N284">
        <v>3.766</v>
      </c>
      <c r="O284">
        <v>4.077</v>
      </c>
      <c r="P284">
        <v>3.0750000000000002</v>
      </c>
      <c r="Q284">
        <v>32.503</v>
      </c>
    </row>
    <row r="285" spans="1:18" x14ac:dyDescent="0.2">
      <c r="A285" t="s">
        <v>130</v>
      </c>
      <c r="B285" t="s">
        <v>140</v>
      </c>
      <c r="C285" t="s">
        <v>38</v>
      </c>
      <c r="D285" t="s">
        <v>21</v>
      </c>
      <c r="E285">
        <v>3.278</v>
      </c>
      <c r="F285">
        <v>1.083</v>
      </c>
      <c r="G285">
        <v>0</v>
      </c>
      <c r="H285">
        <v>6.9109999999999996</v>
      </c>
      <c r="I285">
        <v>2.569</v>
      </c>
      <c r="J285">
        <v>2.9510000000000001</v>
      </c>
      <c r="K285">
        <v>0.83199999999999996</v>
      </c>
      <c r="L285">
        <v>0.66100000000000003</v>
      </c>
      <c r="M285">
        <v>2.71</v>
      </c>
      <c r="N285">
        <v>2.8980000000000001</v>
      </c>
      <c r="O285">
        <v>3.419</v>
      </c>
      <c r="P285">
        <v>6.6740000000000004</v>
      </c>
      <c r="Q285">
        <v>24.638000000000002</v>
      </c>
      <c r="R285">
        <v>877.44200000000001</v>
      </c>
    </row>
    <row r="286" spans="1:18" x14ac:dyDescent="0.2">
      <c r="A286" t="s">
        <v>130</v>
      </c>
      <c r="B286" t="s">
        <v>140</v>
      </c>
      <c r="C286" t="s">
        <v>38</v>
      </c>
      <c r="D286" t="s">
        <v>21</v>
      </c>
      <c r="E286">
        <v>3.07</v>
      </c>
      <c r="F286">
        <v>1.006</v>
      </c>
      <c r="G286">
        <v>0</v>
      </c>
      <c r="H286">
        <v>5.4580000000000002</v>
      </c>
      <c r="I286">
        <v>1.9390000000000001</v>
      </c>
      <c r="J286">
        <v>3.2269999999999999</v>
      </c>
      <c r="K286">
        <v>0.98499999999999999</v>
      </c>
      <c r="L286">
        <v>0.90900000000000003</v>
      </c>
      <c r="M286">
        <v>1.845</v>
      </c>
      <c r="N286">
        <v>2.8660000000000001</v>
      </c>
      <c r="O286">
        <v>3.2970000000000002</v>
      </c>
      <c r="P286">
        <v>3.5390000000000001</v>
      </c>
      <c r="Q286">
        <v>32.659999999999997</v>
      </c>
    </row>
    <row r="287" spans="1:18" x14ac:dyDescent="0.2">
      <c r="A287" t="s">
        <v>130</v>
      </c>
      <c r="B287" t="s">
        <v>140</v>
      </c>
      <c r="C287" t="s">
        <v>38</v>
      </c>
      <c r="D287" t="s">
        <v>21</v>
      </c>
      <c r="E287">
        <v>2.9969999999999999</v>
      </c>
      <c r="F287">
        <v>0.94499999999999995</v>
      </c>
      <c r="G287">
        <v>0</v>
      </c>
      <c r="H287">
        <v>6.8540000000000001</v>
      </c>
      <c r="I287">
        <v>2.0289999999999999</v>
      </c>
      <c r="J287">
        <v>3.0640000000000001</v>
      </c>
      <c r="K287">
        <v>1.3080000000000001</v>
      </c>
      <c r="L287">
        <v>1.242</v>
      </c>
      <c r="M287">
        <v>1.8540000000000001</v>
      </c>
      <c r="N287">
        <v>2.9329999999999998</v>
      </c>
      <c r="O287">
        <v>2.4630000000000001</v>
      </c>
      <c r="P287">
        <v>6.2779999999999996</v>
      </c>
      <c r="Q287">
        <v>24.472999999999999</v>
      </c>
    </row>
    <row r="288" spans="1:18" x14ac:dyDescent="0.2">
      <c r="A288" t="s">
        <v>130</v>
      </c>
      <c r="B288" t="s">
        <v>141</v>
      </c>
      <c r="C288" t="s">
        <v>38</v>
      </c>
      <c r="D288" t="s">
        <v>21</v>
      </c>
      <c r="E288">
        <v>1.452</v>
      </c>
      <c r="F288">
        <v>1.165</v>
      </c>
      <c r="G288">
        <v>0</v>
      </c>
      <c r="H288">
        <v>4.4850000000000003</v>
      </c>
      <c r="I288">
        <v>1.3089999999999999</v>
      </c>
      <c r="J288">
        <v>2.8069999999999999</v>
      </c>
      <c r="K288">
        <v>1.113</v>
      </c>
      <c r="L288">
        <v>0.74199999999999999</v>
      </c>
      <c r="M288">
        <v>2.008</v>
      </c>
      <c r="N288">
        <v>2.8260000000000001</v>
      </c>
      <c r="O288">
        <v>3.4359999999999999</v>
      </c>
      <c r="P288">
        <v>5.7039999999999997</v>
      </c>
      <c r="Q288">
        <v>25.117000000000001</v>
      </c>
      <c r="R288">
        <v>522.52700000000004</v>
      </c>
    </row>
    <row r="289" spans="1:18" x14ac:dyDescent="0.2">
      <c r="A289" t="s">
        <v>130</v>
      </c>
      <c r="B289" t="s">
        <v>141</v>
      </c>
      <c r="C289" t="s">
        <v>38</v>
      </c>
      <c r="D289" t="s">
        <v>21</v>
      </c>
      <c r="E289">
        <v>1.835</v>
      </c>
      <c r="F289">
        <v>1.276</v>
      </c>
      <c r="G289">
        <v>0</v>
      </c>
      <c r="H289">
        <v>4.6970000000000001</v>
      </c>
      <c r="I289">
        <v>2.6</v>
      </c>
      <c r="J289">
        <v>2.9020000000000001</v>
      </c>
      <c r="K289">
        <v>1.3380000000000001</v>
      </c>
      <c r="L289">
        <v>0.95499999999999996</v>
      </c>
      <c r="M289">
        <v>1.379</v>
      </c>
      <c r="N289">
        <v>2.8479999999999999</v>
      </c>
      <c r="O289">
        <v>2.149</v>
      </c>
      <c r="P289">
        <v>4.8109999999999999</v>
      </c>
      <c r="Q289">
        <v>21.363</v>
      </c>
      <c r="R289">
        <v>711.61500000000001</v>
      </c>
    </row>
    <row r="290" spans="1:18" x14ac:dyDescent="0.2">
      <c r="A290" t="s">
        <v>130</v>
      </c>
      <c r="B290" t="s">
        <v>141</v>
      </c>
      <c r="C290" t="s">
        <v>38</v>
      </c>
      <c r="D290" t="s">
        <v>21</v>
      </c>
      <c r="E290">
        <v>1.4590000000000001</v>
      </c>
      <c r="F290">
        <v>0.83199999999999996</v>
      </c>
      <c r="G290">
        <v>0</v>
      </c>
      <c r="H290">
        <v>4.4210000000000003</v>
      </c>
      <c r="I290">
        <v>1.9330000000000001</v>
      </c>
      <c r="J290">
        <v>3.43</v>
      </c>
      <c r="K290">
        <v>1.198</v>
      </c>
      <c r="L290">
        <v>1.1000000000000001</v>
      </c>
      <c r="M290">
        <v>2.089</v>
      </c>
      <c r="N290">
        <v>3.1379999999999999</v>
      </c>
      <c r="O290">
        <v>4.93</v>
      </c>
      <c r="P290">
        <v>4.2889999999999997</v>
      </c>
      <c r="Q290">
        <v>17.055</v>
      </c>
    </row>
    <row r="291" spans="1:18" x14ac:dyDescent="0.2">
      <c r="A291" t="s">
        <v>130</v>
      </c>
      <c r="B291" t="s">
        <v>142</v>
      </c>
      <c r="C291" t="s">
        <v>38</v>
      </c>
      <c r="D291" t="s">
        <v>21</v>
      </c>
      <c r="E291">
        <v>1.873</v>
      </c>
      <c r="F291">
        <v>0.84099999999999997</v>
      </c>
      <c r="G291">
        <v>0.89900000000000002</v>
      </c>
      <c r="H291">
        <v>3.3820000000000001</v>
      </c>
      <c r="I291">
        <v>1.242</v>
      </c>
      <c r="J291">
        <v>4.0129999999999999</v>
      </c>
      <c r="K291">
        <v>0.83299999999999996</v>
      </c>
      <c r="L291">
        <v>0.68200000000000005</v>
      </c>
      <c r="M291">
        <v>2.238</v>
      </c>
      <c r="N291">
        <v>3.1560000000000001</v>
      </c>
      <c r="O291">
        <v>2.5339999999999998</v>
      </c>
      <c r="P291">
        <v>3.8050000000000002</v>
      </c>
      <c r="Q291">
        <v>16.451000000000001</v>
      </c>
      <c r="R291">
        <v>557.09799999999996</v>
      </c>
    </row>
    <row r="292" spans="1:18" x14ac:dyDescent="0.2">
      <c r="A292" t="s">
        <v>130</v>
      </c>
      <c r="B292" t="s">
        <v>142</v>
      </c>
      <c r="C292" t="s">
        <v>38</v>
      </c>
      <c r="D292" t="s">
        <v>21</v>
      </c>
      <c r="E292">
        <v>2.738</v>
      </c>
      <c r="F292">
        <v>0.57399999999999995</v>
      </c>
      <c r="G292">
        <v>0.93</v>
      </c>
      <c r="H292">
        <v>5.4320000000000004</v>
      </c>
      <c r="I292">
        <v>1.385</v>
      </c>
      <c r="J292">
        <v>3.0840000000000001</v>
      </c>
      <c r="K292">
        <v>0.748</v>
      </c>
      <c r="L292">
        <v>0.73499999999999999</v>
      </c>
      <c r="M292">
        <v>1.9159999999999999</v>
      </c>
      <c r="N292">
        <v>3.597</v>
      </c>
      <c r="O292">
        <v>2.7370000000000001</v>
      </c>
      <c r="P292">
        <v>6.6239999999999997</v>
      </c>
      <c r="Q292">
        <v>18.143000000000001</v>
      </c>
    </row>
    <row r="293" spans="1:18" x14ac:dyDescent="0.2">
      <c r="A293" t="s">
        <v>130</v>
      </c>
      <c r="B293" t="s">
        <v>142</v>
      </c>
      <c r="C293" t="s">
        <v>38</v>
      </c>
      <c r="D293" t="s">
        <v>21</v>
      </c>
      <c r="E293">
        <v>1.718</v>
      </c>
      <c r="F293">
        <v>0.65900000000000003</v>
      </c>
      <c r="G293">
        <v>0.91500000000000004</v>
      </c>
      <c r="H293">
        <v>7.03</v>
      </c>
      <c r="I293">
        <v>2.0569999999999999</v>
      </c>
      <c r="J293">
        <v>3.105</v>
      </c>
      <c r="K293">
        <v>0.875</v>
      </c>
      <c r="L293">
        <v>0.86299999999999999</v>
      </c>
      <c r="M293">
        <v>1.7430000000000001</v>
      </c>
      <c r="N293">
        <v>3.8479999999999999</v>
      </c>
      <c r="O293">
        <v>2.2069999999999999</v>
      </c>
      <c r="P293">
        <v>7.4379999999999997</v>
      </c>
      <c r="Q293">
        <v>10.856999999999999</v>
      </c>
    </row>
    <row r="294" spans="1:18" x14ac:dyDescent="0.2">
      <c r="A294" t="s">
        <v>130</v>
      </c>
      <c r="B294" t="s">
        <v>143</v>
      </c>
      <c r="C294" t="s">
        <v>119</v>
      </c>
      <c r="D294" t="s">
        <v>21</v>
      </c>
      <c r="E294">
        <v>1.4279999999999999</v>
      </c>
      <c r="F294">
        <v>0.755</v>
      </c>
      <c r="G294">
        <v>0</v>
      </c>
      <c r="H294">
        <v>3.1859999999999999</v>
      </c>
      <c r="I294">
        <v>0.92900000000000005</v>
      </c>
      <c r="J294">
        <v>3.94</v>
      </c>
      <c r="K294">
        <v>1.214</v>
      </c>
      <c r="L294">
        <v>0.82399999999999995</v>
      </c>
      <c r="M294">
        <v>2.0230000000000001</v>
      </c>
      <c r="N294">
        <v>4.1929999999999996</v>
      </c>
      <c r="O294">
        <v>3.3370000000000002</v>
      </c>
      <c r="P294">
        <v>4.0819999999999999</v>
      </c>
      <c r="Q294">
        <v>9.99</v>
      </c>
      <c r="R294">
        <v>658.16099999999994</v>
      </c>
    </row>
    <row r="295" spans="1:18" x14ac:dyDescent="0.2">
      <c r="A295" t="s">
        <v>130</v>
      </c>
      <c r="B295" t="s">
        <v>143</v>
      </c>
      <c r="C295" t="s">
        <v>119</v>
      </c>
      <c r="D295" t="s">
        <v>21</v>
      </c>
      <c r="E295">
        <v>1.742</v>
      </c>
      <c r="F295">
        <v>0.32300000000000001</v>
      </c>
      <c r="G295">
        <v>0</v>
      </c>
      <c r="H295">
        <v>7.1529999999999996</v>
      </c>
      <c r="I295">
        <v>2.4350000000000001</v>
      </c>
      <c r="J295">
        <v>3.8969999999999998</v>
      </c>
      <c r="K295">
        <v>1.381</v>
      </c>
      <c r="L295">
        <v>1.1319999999999999</v>
      </c>
      <c r="M295">
        <v>1.909</v>
      </c>
      <c r="N295">
        <v>4.2149999999999999</v>
      </c>
      <c r="O295">
        <v>4.3620000000000001</v>
      </c>
      <c r="P295">
        <v>5.8259999999999996</v>
      </c>
      <c r="Q295">
        <v>14.856999999999999</v>
      </c>
    </row>
    <row r="296" spans="1:18" x14ac:dyDescent="0.2">
      <c r="A296" t="s">
        <v>130</v>
      </c>
      <c r="B296" t="s">
        <v>143</v>
      </c>
      <c r="C296" t="s">
        <v>119</v>
      </c>
      <c r="D296" t="s">
        <v>21</v>
      </c>
      <c r="E296">
        <v>2.1</v>
      </c>
      <c r="F296">
        <v>0.53700000000000003</v>
      </c>
      <c r="G296">
        <v>0</v>
      </c>
      <c r="H296">
        <v>4.62</v>
      </c>
      <c r="I296">
        <v>1.2929999999999999</v>
      </c>
      <c r="J296">
        <v>4.0759999999999996</v>
      </c>
      <c r="K296">
        <v>1.456</v>
      </c>
      <c r="L296">
        <v>1.2150000000000001</v>
      </c>
      <c r="M296">
        <v>2.0049999999999999</v>
      </c>
      <c r="N296">
        <v>2.637</v>
      </c>
      <c r="O296">
        <v>4.6840000000000002</v>
      </c>
      <c r="P296">
        <v>6.4729999999999999</v>
      </c>
      <c r="Q296">
        <v>24.419</v>
      </c>
    </row>
    <row r="297" spans="1:18" x14ac:dyDescent="0.2">
      <c r="A297" t="s">
        <v>130</v>
      </c>
      <c r="B297" t="s">
        <v>144</v>
      </c>
      <c r="C297" t="s">
        <v>119</v>
      </c>
      <c r="D297" t="s">
        <v>21</v>
      </c>
      <c r="E297">
        <v>1.167</v>
      </c>
      <c r="F297">
        <v>0.55100000000000005</v>
      </c>
      <c r="G297">
        <v>0</v>
      </c>
      <c r="H297">
        <v>5.3849999999999998</v>
      </c>
      <c r="I297">
        <v>1.4630000000000001</v>
      </c>
      <c r="J297">
        <v>4.3250000000000002</v>
      </c>
      <c r="K297">
        <v>1.349</v>
      </c>
      <c r="L297">
        <v>1.0329999999999999</v>
      </c>
      <c r="M297">
        <v>1.9379999999999999</v>
      </c>
      <c r="N297">
        <v>3.2629999999999999</v>
      </c>
      <c r="O297">
        <v>3.2360000000000002</v>
      </c>
      <c r="P297">
        <v>7.4349999999999996</v>
      </c>
      <c r="Q297">
        <v>16.916</v>
      </c>
      <c r="R297">
        <v>781.95600000000002</v>
      </c>
    </row>
    <row r="298" spans="1:18" x14ac:dyDescent="0.2">
      <c r="A298" t="s">
        <v>130</v>
      </c>
      <c r="B298" t="s">
        <v>144</v>
      </c>
      <c r="C298" t="s">
        <v>119</v>
      </c>
      <c r="D298" t="s">
        <v>21</v>
      </c>
      <c r="E298">
        <v>1.569</v>
      </c>
      <c r="F298">
        <v>0.81499999999999995</v>
      </c>
      <c r="G298">
        <v>0</v>
      </c>
      <c r="H298">
        <v>4.3710000000000004</v>
      </c>
      <c r="I298">
        <v>1.917</v>
      </c>
      <c r="J298">
        <v>3.6179999999999999</v>
      </c>
      <c r="K298">
        <v>0.69499999999999995</v>
      </c>
      <c r="L298">
        <v>0.54600000000000004</v>
      </c>
      <c r="M298">
        <v>2.1349999999999998</v>
      </c>
      <c r="N298">
        <v>3.9079999999999999</v>
      </c>
      <c r="O298">
        <v>4.149</v>
      </c>
      <c r="P298">
        <v>3.806</v>
      </c>
      <c r="Q298">
        <v>8.6359999999999992</v>
      </c>
      <c r="R298">
        <v>730.74400000000003</v>
      </c>
    </row>
    <row r="299" spans="1:18" x14ac:dyDescent="0.2">
      <c r="A299" t="s">
        <v>130</v>
      </c>
      <c r="B299" t="s">
        <v>144</v>
      </c>
      <c r="C299" t="s">
        <v>119</v>
      </c>
      <c r="D299" t="s">
        <v>21</v>
      </c>
      <c r="E299">
        <v>1.385</v>
      </c>
      <c r="F299">
        <v>0.82799999999999996</v>
      </c>
      <c r="G299">
        <v>0</v>
      </c>
      <c r="H299">
        <v>4.7720000000000002</v>
      </c>
      <c r="I299">
        <v>1.611</v>
      </c>
      <c r="N299">
        <v>4.9459999999999997</v>
      </c>
      <c r="O299">
        <v>3.8740000000000001</v>
      </c>
      <c r="P299">
        <v>3.5209999999999999</v>
      </c>
      <c r="Q299">
        <v>13.015000000000001</v>
      </c>
    </row>
    <row r="300" spans="1:18" x14ac:dyDescent="0.2">
      <c r="A300" t="s">
        <v>130</v>
      </c>
      <c r="B300" t="s">
        <v>145</v>
      </c>
      <c r="C300" t="s">
        <v>119</v>
      </c>
      <c r="D300" t="s">
        <v>21</v>
      </c>
      <c r="E300">
        <v>1.712</v>
      </c>
      <c r="F300">
        <v>0.70299999999999996</v>
      </c>
      <c r="G300">
        <v>0</v>
      </c>
      <c r="H300">
        <v>4.3140000000000001</v>
      </c>
      <c r="I300">
        <v>2.1389999999999998</v>
      </c>
      <c r="J300">
        <v>5.1619999999999999</v>
      </c>
      <c r="K300">
        <v>2.4420000000000002</v>
      </c>
      <c r="L300">
        <v>1.8080000000000001</v>
      </c>
      <c r="M300">
        <v>2.8610000000000002</v>
      </c>
      <c r="N300">
        <v>3.4220000000000002</v>
      </c>
      <c r="O300">
        <v>2.9409999999999998</v>
      </c>
      <c r="P300">
        <v>4.9020000000000001</v>
      </c>
      <c r="Q300">
        <v>17.943000000000001</v>
      </c>
      <c r="R300">
        <v>1052.3879999999999</v>
      </c>
    </row>
    <row r="301" spans="1:18" x14ac:dyDescent="0.2">
      <c r="A301" t="s">
        <v>130</v>
      </c>
      <c r="B301" t="s">
        <v>145</v>
      </c>
      <c r="C301" t="s">
        <v>119</v>
      </c>
      <c r="D301" t="s">
        <v>21</v>
      </c>
      <c r="E301">
        <v>1.927</v>
      </c>
      <c r="F301">
        <v>0.61399999999999999</v>
      </c>
      <c r="G301">
        <v>0</v>
      </c>
      <c r="H301">
        <v>5.1029999999999998</v>
      </c>
      <c r="I301">
        <v>2.6379999999999999</v>
      </c>
      <c r="J301">
        <v>4.798</v>
      </c>
      <c r="K301">
        <v>2.274</v>
      </c>
      <c r="L301">
        <v>2.0760000000000001</v>
      </c>
      <c r="M301">
        <v>1.851</v>
      </c>
      <c r="N301">
        <v>4.4450000000000003</v>
      </c>
      <c r="O301">
        <v>2.5779999999999998</v>
      </c>
      <c r="P301">
        <v>5.7080000000000002</v>
      </c>
      <c r="Q301">
        <v>20.942</v>
      </c>
    </row>
    <row r="302" spans="1:18" x14ac:dyDescent="0.2">
      <c r="A302" t="s">
        <v>130</v>
      </c>
      <c r="B302" t="s">
        <v>145</v>
      </c>
      <c r="C302" t="s">
        <v>119</v>
      </c>
      <c r="D302" t="s">
        <v>21</v>
      </c>
      <c r="E302">
        <v>2.14</v>
      </c>
      <c r="F302">
        <v>0.73599999999999999</v>
      </c>
      <c r="G302">
        <v>0</v>
      </c>
      <c r="H302">
        <v>3.6539999999999999</v>
      </c>
      <c r="I302">
        <v>2.1059999999999999</v>
      </c>
      <c r="J302">
        <v>5.726</v>
      </c>
      <c r="K302">
        <v>0.85599999999999998</v>
      </c>
      <c r="L302">
        <v>0.44400000000000001</v>
      </c>
      <c r="M302">
        <v>4.2869999999999999</v>
      </c>
      <c r="N302">
        <v>5.0439999999999996</v>
      </c>
      <c r="O302">
        <v>3.867</v>
      </c>
      <c r="P302">
        <v>4.476</v>
      </c>
      <c r="Q302">
        <v>17.86</v>
      </c>
    </row>
    <row r="303" spans="1:18" x14ac:dyDescent="0.2">
      <c r="A303" t="s">
        <v>130</v>
      </c>
      <c r="B303" t="s">
        <v>146</v>
      </c>
      <c r="C303" t="s">
        <v>44</v>
      </c>
      <c r="D303" t="s">
        <v>21</v>
      </c>
      <c r="E303">
        <v>1.151</v>
      </c>
      <c r="F303">
        <v>0.71699999999999997</v>
      </c>
      <c r="G303">
        <v>0</v>
      </c>
      <c r="H303">
        <v>4.3140000000000001</v>
      </c>
      <c r="I303">
        <v>2.1389999999999998</v>
      </c>
      <c r="J303">
        <v>4.0259999999999998</v>
      </c>
      <c r="M303">
        <v>2.9140000000000001</v>
      </c>
      <c r="N303">
        <v>3.2669999999999999</v>
      </c>
      <c r="O303">
        <v>4.367</v>
      </c>
      <c r="P303">
        <v>1.4970000000000001</v>
      </c>
      <c r="Q303">
        <v>12.853999999999999</v>
      </c>
      <c r="R303">
        <v>644.80700000000002</v>
      </c>
    </row>
    <row r="304" spans="1:18" x14ac:dyDescent="0.2">
      <c r="A304" t="s">
        <v>130</v>
      </c>
      <c r="B304" t="s">
        <v>146</v>
      </c>
      <c r="C304" t="s">
        <v>44</v>
      </c>
      <c r="D304" t="s">
        <v>21</v>
      </c>
      <c r="E304">
        <v>1.2929999999999999</v>
      </c>
      <c r="F304">
        <v>0.69199999999999995</v>
      </c>
      <c r="G304">
        <v>0</v>
      </c>
      <c r="H304">
        <v>5.1029999999999998</v>
      </c>
      <c r="I304">
        <v>2.6379999999999999</v>
      </c>
      <c r="J304">
        <v>3.79</v>
      </c>
      <c r="K304">
        <v>1.5609999999999999</v>
      </c>
      <c r="L304">
        <v>1.5049999999999999</v>
      </c>
      <c r="M304">
        <v>2.1120000000000001</v>
      </c>
      <c r="N304">
        <v>3.9510000000000001</v>
      </c>
      <c r="O304">
        <v>4.1680000000000001</v>
      </c>
      <c r="P304">
        <v>2.1019999999999999</v>
      </c>
      <c r="Q304">
        <v>17.837</v>
      </c>
    </row>
    <row r="305" spans="1:18" x14ac:dyDescent="0.2">
      <c r="A305" t="s">
        <v>130</v>
      </c>
      <c r="B305" t="s">
        <v>146</v>
      </c>
      <c r="C305" t="s">
        <v>44</v>
      </c>
      <c r="D305" t="s">
        <v>21</v>
      </c>
      <c r="E305">
        <v>1.167</v>
      </c>
      <c r="F305">
        <v>0.75600000000000001</v>
      </c>
      <c r="G305">
        <v>0</v>
      </c>
      <c r="H305">
        <v>4.3419999999999996</v>
      </c>
      <c r="I305">
        <v>1.2529999999999999</v>
      </c>
      <c r="N305">
        <v>3.3140000000000001</v>
      </c>
      <c r="P305">
        <v>1.8009999999999999</v>
      </c>
      <c r="Q305">
        <v>11.88</v>
      </c>
    </row>
    <row r="306" spans="1:18" x14ac:dyDescent="0.2">
      <c r="A306" t="s">
        <v>130</v>
      </c>
      <c r="B306" t="s">
        <v>147</v>
      </c>
      <c r="C306" t="s">
        <v>50</v>
      </c>
      <c r="D306" t="s">
        <v>21</v>
      </c>
      <c r="E306">
        <v>1.3959999999999999</v>
      </c>
      <c r="F306">
        <v>0.67300000000000004</v>
      </c>
      <c r="G306">
        <v>1.03</v>
      </c>
      <c r="H306">
        <v>7.3929999999999998</v>
      </c>
      <c r="I306">
        <v>2.2789999999999999</v>
      </c>
      <c r="J306">
        <v>4.1500000000000004</v>
      </c>
      <c r="K306">
        <v>0.97499999999999998</v>
      </c>
      <c r="L306">
        <v>0.91400000000000003</v>
      </c>
      <c r="M306">
        <v>3.3180000000000001</v>
      </c>
      <c r="N306">
        <v>3.4039999999999999</v>
      </c>
      <c r="O306">
        <v>3.339</v>
      </c>
      <c r="P306">
        <v>6.3479999999999999</v>
      </c>
      <c r="Q306">
        <v>14.391</v>
      </c>
      <c r="R306">
        <v>723.64400000000001</v>
      </c>
    </row>
    <row r="307" spans="1:18" x14ac:dyDescent="0.2">
      <c r="A307" t="s">
        <v>130</v>
      </c>
      <c r="B307" t="s">
        <v>147</v>
      </c>
      <c r="C307" t="s">
        <v>50</v>
      </c>
      <c r="D307" t="s">
        <v>21</v>
      </c>
      <c r="E307">
        <v>1.1459999999999999</v>
      </c>
      <c r="F307">
        <v>0.60599999999999998</v>
      </c>
      <c r="G307">
        <v>1.008</v>
      </c>
      <c r="H307">
        <v>7.2130000000000001</v>
      </c>
      <c r="I307">
        <v>2.08</v>
      </c>
      <c r="J307">
        <v>3.7280000000000002</v>
      </c>
      <c r="K307">
        <v>1.008</v>
      </c>
      <c r="L307">
        <v>0.53</v>
      </c>
      <c r="M307">
        <v>3.0960000000000001</v>
      </c>
      <c r="N307">
        <v>3.2610000000000001</v>
      </c>
      <c r="O307">
        <v>3.7770000000000001</v>
      </c>
      <c r="P307">
        <v>12.105</v>
      </c>
      <c r="Q307">
        <v>15.401999999999999</v>
      </c>
    </row>
    <row r="308" spans="1:18" x14ac:dyDescent="0.2">
      <c r="A308" t="s">
        <v>130</v>
      </c>
      <c r="B308" t="s">
        <v>147</v>
      </c>
      <c r="C308" t="s">
        <v>50</v>
      </c>
      <c r="D308" t="s">
        <v>21</v>
      </c>
      <c r="E308">
        <v>1.64</v>
      </c>
      <c r="F308">
        <v>0.86699999999999999</v>
      </c>
      <c r="G308">
        <v>1.379</v>
      </c>
      <c r="H308">
        <v>5.327</v>
      </c>
      <c r="I308">
        <v>1.3580000000000001</v>
      </c>
      <c r="J308">
        <v>3.762</v>
      </c>
      <c r="K308">
        <v>0.72099999999999997</v>
      </c>
      <c r="L308">
        <v>0.54100000000000004</v>
      </c>
      <c r="M308">
        <v>3.13</v>
      </c>
      <c r="N308">
        <v>3.3580000000000001</v>
      </c>
      <c r="O308">
        <v>3.4159999999999999</v>
      </c>
      <c r="P308">
        <v>4.1040000000000001</v>
      </c>
      <c r="Q308">
        <v>15.234999999999999</v>
      </c>
    </row>
    <row r="309" spans="1:18" x14ac:dyDescent="0.2">
      <c r="A309" t="s">
        <v>130</v>
      </c>
      <c r="B309" t="s">
        <v>148</v>
      </c>
      <c r="C309" t="s">
        <v>50</v>
      </c>
      <c r="D309" t="s">
        <v>21</v>
      </c>
      <c r="E309">
        <v>1.135</v>
      </c>
      <c r="F309">
        <v>0.83099999999999996</v>
      </c>
      <c r="G309">
        <v>1.0349999999999999</v>
      </c>
      <c r="H309">
        <v>4.4429999999999996</v>
      </c>
      <c r="I309">
        <v>1.3009999999999999</v>
      </c>
      <c r="R309">
        <v>600.35900000000004</v>
      </c>
    </row>
    <row r="310" spans="1:18" x14ac:dyDescent="0.2">
      <c r="A310" t="s">
        <v>130</v>
      </c>
      <c r="B310" t="s">
        <v>148</v>
      </c>
      <c r="C310" t="s">
        <v>50</v>
      </c>
      <c r="D310" t="s">
        <v>21</v>
      </c>
      <c r="E310">
        <v>1.5469999999999999</v>
      </c>
      <c r="F310">
        <v>0.41599999999999998</v>
      </c>
      <c r="G310">
        <v>0.78100000000000003</v>
      </c>
      <c r="H310">
        <v>2.5710000000000002</v>
      </c>
      <c r="I310">
        <v>1.1379999999999999</v>
      </c>
    </row>
    <row r="311" spans="1:18" x14ac:dyDescent="0.2">
      <c r="A311" t="s">
        <v>130</v>
      </c>
      <c r="B311" t="s">
        <v>148</v>
      </c>
      <c r="C311" t="s">
        <v>50</v>
      </c>
      <c r="D311" t="s">
        <v>21</v>
      </c>
      <c r="E311">
        <v>2.0840000000000001</v>
      </c>
      <c r="F311">
        <v>0.69299999999999995</v>
      </c>
      <c r="G311">
        <v>0.86699999999999999</v>
      </c>
      <c r="H311">
        <v>3.871</v>
      </c>
      <c r="I311">
        <v>1.0549999999999999</v>
      </c>
    </row>
    <row r="312" spans="1:18" x14ac:dyDescent="0.2">
      <c r="A312" t="s">
        <v>130</v>
      </c>
      <c r="B312" t="s">
        <v>149</v>
      </c>
      <c r="C312" t="s">
        <v>50</v>
      </c>
      <c r="D312" t="s">
        <v>21</v>
      </c>
      <c r="E312">
        <v>1.9</v>
      </c>
      <c r="F312">
        <v>0.56200000000000006</v>
      </c>
      <c r="G312">
        <v>0.92100000000000004</v>
      </c>
      <c r="H312">
        <v>4.4429999999999996</v>
      </c>
      <c r="I312">
        <v>1.3009999999999999</v>
      </c>
      <c r="J312">
        <v>3.2709999999999999</v>
      </c>
      <c r="K312">
        <v>1.1719999999999999</v>
      </c>
      <c r="L312">
        <v>1.1519999999999999</v>
      </c>
      <c r="M312">
        <v>2.347</v>
      </c>
      <c r="N312">
        <v>3.3149999999999999</v>
      </c>
      <c r="O312">
        <v>3.8109999999999999</v>
      </c>
      <c r="P312">
        <v>2.6339999999999999</v>
      </c>
      <c r="Q312">
        <v>11.898999999999999</v>
      </c>
      <c r="R312">
        <v>631.351</v>
      </c>
    </row>
    <row r="313" spans="1:18" x14ac:dyDescent="0.2">
      <c r="A313" t="s">
        <v>130</v>
      </c>
      <c r="B313" t="s">
        <v>149</v>
      </c>
      <c r="C313" t="s">
        <v>50</v>
      </c>
      <c r="D313" t="s">
        <v>21</v>
      </c>
      <c r="E313">
        <v>1.865</v>
      </c>
      <c r="F313">
        <v>0.65100000000000002</v>
      </c>
      <c r="G313">
        <v>0.89700000000000002</v>
      </c>
      <c r="H313">
        <v>2.5710000000000002</v>
      </c>
      <c r="I313">
        <v>1.1379999999999999</v>
      </c>
      <c r="J313">
        <v>3.8420000000000001</v>
      </c>
      <c r="K313">
        <v>1.3759999999999999</v>
      </c>
      <c r="L313">
        <v>0.85199999999999998</v>
      </c>
      <c r="M313">
        <v>2.62</v>
      </c>
      <c r="N313">
        <v>3.2490000000000001</v>
      </c>
      <c r="O313">
        <v>3.4990000000000001</v>
      </c>
      <c r="P313">
        <v>5.8040000000000003</v>
      </c>
      <c r="Q313">
        <v>10.835000000000001</v>
      </c>
    </row>
    <row r="314" spans="1:18" x14ac:dyDescent="0.2">
      <c r="A314" t="s">
        <v>130</v>
      </c>
      <c r="B314" t="s">
        <v>149</v>
      </c>
      <c r="C314" t="s">
        <v>50</v>
      </c>
      <c r="D314" t="s">
        <v>21</v>
      </c>
      <c r="E314">
        <v>1.6539999999999999</v>
      </c>
      <c r="F314">
        <v>0.52400000000000002</v>
      </c>
      <c r="G314">
        <v>0.93100000000000005</v>
      </c>
      <c r="H314">
        <v>3.802</v>
      </c>
      <c r="I314">
        <v>1.825</v>
      </c>
      <c r="J314">
        <v>3.472</v>
      </c>
      <c r="K314">
        <v>1.4710000000000001</v>
      </c>
      <c r="L314">
        <v>0.88900000000000001</v>
      </c>
      <c r="M314">
        <v>2.581</v>
      </c>
      <c r="N314">
        <v>3.528</v>
      </c>
      <c r="O314">
        <v>3.528</v>
      </c>
      <c r="P314">
        <v>6.3419999999999996</v>
      </c>
      <c r="Q314">
        <v>12.746</v>
      </c>
    </row>
    <row r="315" spans="1:18" x14ac:dyDescent="0.2">
      <c r="A315" t="s">
        <v>130</v>
      </c>
      <c r="B315" t="s">
        <v>150</v>
      </c>
      <c r="C315" t="s">
        <v>81</v>
      </c>
      <c r="D315" t="s">
        <v>21</v>
      </c>
      <c r="E315">
        <v>1.871</v>
      </c>
      <c r="F315">
        <v>0.92500000000000004</v>
      </c>
      <c r="G315">
        <v>0</v>
      </c>
      <c r="H315">
        <v>4.9260000000000002</v>
      </c>
      <c r="I315">
        <v>2.1230000000000002</v>
      </c>
      <c r="N315">
        <v>2.7730000000000001</v>
      </c>
      <c r="O315">
        <v>1.333</v>
      </c>
      <c r="P315">
        <v>1.143</v>
      </c>
      <c r="Q315">
        <v>16.003</v>
      </c>
      <c r="R315">
        <v>255.36799999999999</v>
      </c>
    </row>
    <row r="316" spans="1:18" x14ac:dyDescent="0.2">
      <c r="A316" t="s">
        <v>130</v>
      </c>
      <c r="B316" t="s">
        <v>150</v>
      </c>
      <c r="C316" t="s">
        <v>81</v>
      </c>
      <c r="D316" t="s">
        <v>21</v>
      </c>
      <c r="E316">
        <v>1.639</v>
      </c>
      <c r="F316">
        <v>0.91600000000000004</v>
      </c>
      <c r="G316">
        <v>0</v>
      </c>
      <c r="H316">
        <v>3.895</v>
      </c>
      <c r="I316">
        <v>2.09</v>
      </c>
      <c r="N316">
        <v>2.2519999999999998</v>
      </c>
      <c r="O316">
        <v>2.718</v>
      </c>
      <c r="P316">
        <v>3.5859999999999999</v>
      </c>
      <c r="Q316">
        <v>13.175000000000001</v>
      </c>
      <c r="R316">
        <v>732.89</v>
      </c>
    </row>
    <row r="317" spans="1:18" x14ac:dyDescent="0.2">
      <c r="A317" t="s">
        <v>130</v>
      </c>
      <c r="B317" t="s">
        <v>150</v>
      </c>
      <c r="C317" t="s">
        <v>81</v>
      </c>
      <c r="D317" t="s">
        <v>21</v>
      </c>
      <c r="E317">
        <v>1.8939999999999999</v>
      </c>
      <c r="F317">
        <v>0.746</v>
      </c>
      <c r="G317">
        <v>0</v>
      </c>
      <c r="H317">
        <v>5.2210000000000001</v>
      </c>
      <c r="I317">
        <v>2.5019999999999998</v>
      </c>
      <c r="N317">
        <v>2.5339999999999998</v>
      </c>
      <c r="O317">
        <v>3.0609999999999999</v>
      </c>
      <c r="P317">
        <v>2.4790000000000001</v>
      </c>
      <c r="Q317">
        <v>21.972999999999999</v>
      </c>
      <c r="R317">
        <v>416.90199999999999</v>
      </c>
    </row>
    <row r="318" spans="1:18" x14ac:dyDescent="0.2">
      <c r="A318" t="s">
        <v>130</v>
      </c>
      <c r="B318" t="s">
        <v>151</v>
      </c>
      <c r="C318" t="s">
        <v>119</v>
      </c>
      <c r="E318">
        <v>1.3740000000000001</v>
      </c>
      <c r="F318">
        <v>1.016</v>
      </c>
      <c r="G318">
        <v>0</v>
      </c>
      <c r="H318">
        <v>7.577</v>
      </c>
      <c r="I318">
        <v>2.617</v>
      </c>
      <c r="J318">
        <v>5.2990000000000004</v>
      </c>
      <c r="K318">
        <v>1.702</v>
      </c>
      <c r="L318">
        <v>0.95399999999999996</v>
      </c>
      <c r="M318">
        <v>2.6659999999999999</v>
      </c>
      <c r="N318">
        <v>2.6360000000000001</v>
      </c>
      <c r="O318">
        <v>2.7570000000000001</v>
      </c>
      <c r="P318">
        <v>2.2490000000000001</v>
      </c>
      <c r="Q318">
        <v>22.425999999999998</v>
      </c>
      <c r="R318">
        <v>731.41600000000005</v>
      </c>
    </row>
    <row r="319" spans="1:18" x14ac:dyDescent="0.2">
      <c r="A319" t="s">
        <v>130</v>
      </c>
      <c r="B319" t="s">
        <v>151</v>
      </c>
      <c r="C319" t="s">
        <v>119</v>
      </c>
      <c r="E319">
        <v>1.714</v>
      </c>
      <c r="F319">
        <v>0.97899999999999998</v>
      </c>
      <c r="G319">
        <v>0</v>
      </c>
      <c r="H319">
        <v>6.3979999999999997</v>
      </c>
      <c r="I319">
        <v>2.4169999999999998</v>
      </c>
      <c r="J319">
        <v>4.88</v>
      </c>
      <c r="M319">
        <v>2.169</v>
      </c>
      <c r="N319">
        <v>3.4609999999999999</v>
      </c>
      <c r="O319">
        <v>3.6779999999999999</v>
      </c>
      <c r="P319">
        <v>2.1669999999999998</v>
      </c>
      <c r="Q319">
        <v>9.9990000000000006</v>
      </c>
    </row>
    <row r="320" spans="1:18" x14ac:dyDescent="0.2">
      <c r="A320" t="s">
        <v>130</v>
      </c>
      <c r="B320" t="s">
        <v>151</v>
      </c>
      <c r="C320" t="s">
        <v>119</v>
      </c>
      <c r="E320">
        <v>1.3</v>
      </c>
      <c r="F320">
        <v>0.86499999999999999</v>
      </c>
      <c r="G320">
        <v>0</v>
      </c>
      <c r="J320">
        <v>6.6120000000000001</v>
      </c>
      <c r="K320">
        <v>3.3559999999999999</v>
      </c>
      <c r="L320">
        <v>2.87</v>
      </c>
      <c r="M320">
        <v>2.9910000000000001</v>
      </c>
      <c r="N320">
        <v>3.9079999999999999</v>
      </c>
      <c r="O320">
        <v>3.3559999999999999</v>
      </c>
      <c r="P320">
        <v>5.63</v>
      </c>
      <c r="Q320">
        <v>13.242000000000001</v>
      </c>
    </row>
    <row r="321" spans="1:18" x14ac:dyDescent="0.2">
      <c r="A321" t="s">
        <v>130</v>
      </c>
      <c r="B321" t="s">
        <v>152</v>
      </c>
      <c r="C321" t="s">
        <v>50</v>
      </c>
      <c r="D321" t="s">
        <v>24</v>
      </c>
      <c r="E321">
        <v>3.5419999999999998</v>
      </c>
      <c r="F321">
        <v>1.972</v>
      </c>
      <c r="G321">
        <v>1.37</v>
      </c>
      <c r="H321">
        <v>5.4660000000000002</v>
      </c>
      <c r="I321">
        <v>2.3860000000000001</v>
      </c>
      <c r="J321">
        <v>4.6589999999999998</v>
      </c>
      <c r="K321">
        <v>1.754</v>
      </c>
      <c r="L321">
        <v>1.625</v>
      </c>
      <c r="M321">
        <v>1.595</v>
      </c>
      <c r="N321">
        <v>4.085</v>
      </c>
      <c r="O321">
        <v>4.4429999999999996</v>
      </c>
      <c r="P321">
        <v>3.0510000000000002</v>
      </c>
      <c r="Q321">
        <v>18.366</v>
      </c>
      <c r="R321">
        <v>668.47900000000004</v>
      </c>
    </row>
    <row r="322" spans="1:18" x14ac:dyDescent="0.2">
      <c r="A322" t="s">
        <v>130</v>
      </c>
      <c r="B322" t="s">
        <v>152</v>
      </c>
      <c r="C322" t="s">
        <v>50</v>
      </c>
      <c r="D322" t="s">
        <v>21</v>
      </c>
      <c r="E322">
        <v>2.76</v>
      </c>
      <c r="F322">
        <v>1.821</v>
      </c>
      <c r="G322">
        <v>1.234</v>
      </c>
      <c r="H322">
        <v>3.3239999999999998</v>
      </c>
      <c r="I322">
        <v>1.389</v>
      </c>
      <c r="J322">
        <v>3.6739999999999999</v>
      </c>
      <c r="K322">
        <v>1.8109999999999999</v>
      </c>
      <c r="L322">
        <v>1.1040000000000001</v>
      </c>
      <c r="M322">
        <v>1.589</v>
      </c>
      <c r="N322">
        <v>3.8210000000000002</v>
      </c>
      <c r="O322">
        <v>4.5250000000000004</v>
      </c>
      <c r="P322">
        <v>2.29</v>
      </c>
      <c r="Q322">
        <v>16.216999999999999</v>
      </c>
      <c r="R322">
        <v>539.64300000000003</v>
      </c>
    </row>
    <row r="323" spans="1:18" x14ac:dyDescent="0.2">
      <c r="A323" t="s">
        <v>130</v>
      </c>
      <c r="B323" t="s">
        <v>152</v>
      </c>
      <c r="C323" t="s">
        <v>50</v>
      </c>
      <c r="D323" t="s">
        <v>24</v>
      </c>
      <c r="E323">
        <v>2.5859999999999999</v>
      </c>
      <c r="F323">
        <v>1.782</v>
      </c>
      <c r="G323">
        <v>1.2909999999999999</v>
      </c>
      <c r="H323">
        <v>5.56</v>
      </c>
      <c r="I323">
        <v>2.024</v>
      </c>
      <c r="J323">
        <v>3.7589999999999999</v>
      </c>
      <c r="K323">
        <v>1.5529999999999999</v>
      </c>
      <c r="L323">
        <v>1.093</v>
      </c>
      <c r="M323">
        <v>1.8080000000000001</v>
      </c>
      <c r="N323">
        <v>3.5169999999999999</v>
      </c>
      <c r="O323">
        <v>4.09</v>
      </c>
      <c r="P323">
        <v>2.8279999999999998</v>
      </c>
      <c r="Q323">
        <v>15.074</v>
      </c>
    </row>
    <row r="324" spans="1:18" x14ac:dyDescent="0.2">
      <c r="A324" t="s">
        <v>130</v>
      </c>
      <c r="B324" t="s">
        <v>153</v>
      </c>
      <c r="C324" t="s">
        <v>107</v>
      </c>
      <c r="D324" t="s">
        <v>21</v>
      </c>
      <c r="E324">
        <v>2.6549999999999998</v>
      </c>
      <c r="F324">
        <v>1.9570000000000001</v>
      </c>
      <c r="G324">
        <v>0.92400000000000004</v>
      </c>
      <c r="H324">
        <v>3.2509999999999999</v>
      </c>
      <c r="I324">
        <v>1.4490000000000001</v>
      </c>
      <c r="J324">
        <v>3.9969999999999999</v>
      </c>
      <c r="K324">
        <v>2.1219999999999999</v>
      </c>
      <c r="L324">
        <v>1.0449999999999999</v>
      </c>
      <c r="M324">
        <v>2.4860000000000002</v>
      </c>
      <c r="N324">
        <v>3.9350000000000001</v>
      </c>
      <c r="O324">
        <v>3.7850000000000001</v>
      </c>
      <c r="P324">
        <v>2.3370000000000002</v>
      </c>
      <c r="Q324">
        <v>29.978999999999999</v>
      </c>
      <c r="R324">
        <v>704.58600000000001</v>
      </c>
    </row>
    <row r="325" spans="1:18" x14ac:dyDescent="0.2">
      <c r="A325" t="s">
        <v>130</v>
      </c>
      <c r="B325" t="s">
        <v>153</v>
      </c>
      <c r="C325" t="s">
        <v>107</v>
      </c>
      <c r="D325" t="s">
        <v>24</v>
      </c>
      <c r="E325">
        <v>2.3420000000000001</v>
      </c>
      <c r="F325">
        <v>1.7909999999999999</v>
      </c>
      <c r="G325">
        <v>0.72399999999999998</v>
      </c>
      <c r="H325">
        <v>3.282</v>
      </c>
      <c r="I325">
        <v>1.373</v>
      </c>
      <c r="J325">
        <v>3.4119999999999999</v>
      </c>
      <c r="K325">
        <v>1.4670000000000001</v>
      </c>
      <c r="L325">
        <v>1.099</v>
      </c>
      <c r="M325">
        <v>1.2889999999999999</v>
      </c>
      <c r="N325">
        <v>3.8530000000000002</v>
      </c>
      <c r="O325">
        <v>4.43</v>
      </c>
      <c r="P325">
        <v>2.02</v>
      </c>
      <c r="Q325">
        <v>36.683</v>
      </c>
      <c r="R325">
        <v>852.65599999999995</v>
      </c>
    </row>
    <row r="326" spans="1:18" x14ac:dyDescent="0.2">
      <c r="A326" t="s">
        <v>130</v>
      </c>
      <c r="B326" t="s">
        <v>153</v>
      </c>
      <c r="C326" t="s">
        <v>107</v>
      </c>
      <c r="D326" t="s">
        <v>21</v>
      </c>
      <c r="E326">
        <v>2.266</v>
      </c>
      <c r="F326">
        <v>1.734</v>
      </c>
      <c r="G326">
        <v>0.69299999999999995</v>
      </c>
      <c r="H326">
        <v>3.7490000000000001</v>
      </c>
      <c r="I326">
        <v>1.5129999999999999</v>
      </c>
      <c r="J326">
        <v>4.2969999999999997</v>
      </c>
      <c r="K326">
        <v>1.462</v>
      </c>
      <c r="L326">
        <v>0.94399999999999995</v>
      </c>
      <c r="M326">
        <v>2.3239999999999998</v>
      </c>
      <c r="N326">
        <v>3.5920000000000001</v>
      </c>
      <c r="O326">
        <v>3.7709999999999999</v>
      </c>
      <c r="P326">
        <v>1.6619999999999999</v>
      </c>
      <c r="Q326">
        <v>23.616</v>
      </c>
    </row>
    <row r="327" spans="1:18" x14ac:dyDescent="0.2">
      <c r="A327" t="s">
        <v>130</v>
      </c>
      <c r="B327" t="s">
        <v>154</v>
      </c>
      <c r="C327" t="s">
        <v>38</v>
      </c>
      <c r="D327" t="s">
        <v>21</v>
      </c>
      <c r="E327">
        <v>2.403</v>
      </c>
      <c r="F327">
        <v>1.66</v>
      </c>
      <c r="G327">
        <v>1.0189999999999999</v>
      </c>
      <c r="H327">
        <v>4.2969999999999997</v>
      </c>
      <c r="I327">
        <v>1.238</v>
      </c>
      <c r="J327">
        <v>3.7589999999999999</v>
      </c>
      <c r="K327">
        <v>1.1160000000000001</v>
      </c>
      <c r="L327">
        <v>1.048</v>
      </c>
      <c r="M327">
        <v>3.347</v>
      </c>
      <c r="N327">
        <v>3.7879999999999998</v>
      </c>
      <c r="O327">
        <v>5.1210000000000004</v>
      </c>
      <c r="P327">
        <v>3.1520000000000001</v>
      </c>
      <c r="Q327">
        <v>49.823999999999998</v>
      </c>
      <c r="R327">
        <v>723.86800000000005</v>
      </c>
    </row>
    <row r="328" spans="1:18" x14ac:dyDescent="0.2">
      <c r="A328" t="s">
        <v>130</v>
      </c>
      <c r="B328" t="s">
        <v>154</v>
      </c>
      <c r="C328" t="s">
        <v>38</v>
      </c>
      <c r="D328" t="s">
        <v>21</v>
      </c>
      <c r="E328">
        <v>1.9910000000000001</v>
      </c>
      <c r="F328">
        <v>1.1890000000000001</v>
      </c>
      <c r="G328">
        <v>1.0489999999999999</v>
      </c>
      <c r="H328">
        <v>6.4569999999999999</v>
      </c>
      <c r="I328">
        <v>1.325</v>
      </c>
      <c r="J328">
        <v>4.0209999999999999</v>
      </c>
      <c r="K328">
        <v>1.0960000000000001</v>
      </c>
      <c r="L328">
        <v>0.996</v>
      </c>
      <c r="M328">
        <v>2.76</v>
      </c>
      <c r="N328">
        <v>4.1470000000000002</v>
      </c>
      <c r="O328">
        <v>5.3049999999999997</v>
      </c>
      <c r="P328">
        <v>2.9340000000000002</v>
      </c>
      <c r="Q328">
        <v>36.332000000000001</v>
      </c>
      <c r="R328">
        <v>733.98800000000006</v>
      </c>
    </row>
    <row r="329" spans="1:18" x14ac:dyDescent="0.2">
      <c r="A329" t="s">
        <v>130</v>
      </c>
      <c r="B329" t="s">
        <v>154</v>
      </c>
      <c r="C329" t="s">
        <v>38</v>
      </c>
      <c r="D329" t="s">
        <v>21</v>
      </c>
      <c r="E329">
        <v>1.958</v>
      </c>
      <c r="F329">
        <v>1.2270000000000001</v>
      </c>
      <c r="G329">
        <v>1.1559999999999999</v>
      </c>
      <c r="H329">
        <v>4.5880000000000001</v>
      </c>
      <c r="I329">
        <v>1.3580000000000001</v>
      </c>
      <c r="J329">
        <v>4.7750000000000004</v>
      </c>
      <c r="K329">
        <v>1.121</v>
      </c>
      <c r="L329">
        <v>0.63300000000000001</v>
      </c>
      <c r="M329">
        <v>2.86</v>
      </c>
      <c r="N329">
        <v>3.198</v>
      </c>
      <c r="O329">
        <v>3.536</v>
      </c>
      <c r="P329">
        <v>3.5550000000000002</v>
      </c>
      <c r="Q329">
        <v>26.231999999999999</v>
      </c>
    </row>
    <row r="330" spans="1:18" x14ac:dyDescent="0.2">
      <c r="A330" t="s">
        <v>130</v>
      </c>
      <c r="B330" t="s">
        <v>155</v>
      </c>
      <c r="C330" t="s">
        <v>38</v>
      </c>
      <c r="D330" t="s">
        <v>21</v>
      </c>
      <c r="E330">
        <v>2.125</v>
      </c>
      <c r="F330">
        <v>1.64</v>
      </c>
      <c r="G330">
        <v>0.90200000000000002</v>
      </c>
      <c r="H330">
        <v>7.2469999999999999</v>
      </c>
      <c r="I330">
        <v>1.1619999999999999</v>
      </c>
      <c r="J330">
        <v>3.8679999999999999</v>
      </c>
      <c r="K330">
        <v>0.93200000000000005</v>
      </c>
      <c r="L330">
        <v>0.53900000000000003</v>
      </c>
      <c r="M330">
        <v>2.3149999999999999</v>
      </c>
      <c r="N330">
        <v>4.8099999999999996</v>
      </c>
      <c r="O330">
        <v>5.2640000000000002</v>
      </c>
      <c r="P330">
        <v>2.9620000000000002</v>
      </c>
      <c r="Q330">
        <v>32.093000000000004</v>
      </c>
      <c r="R330">
        <v>849.77499999999998</v>
      </c>
    </row>
    <row r="331" spans="1:18" x14ac:dyDescent="0.2">
      <c r="A331" t="s">
        <v>130</v>
      </c>
      <c r="B331" t="s">
        <v>155</v>
      </c>
      <c r="C331" t="s">
        <v>38</v>
      </c>
      <c r="D331" t="s">
        <v>21</v>
      </c>
      <c r="E331">
        <v>2.15</v>
      </c>
      <c r="F331">
        <v>1.8420000000000001</v>
      </c>
      <c r="G331">
        <v>1.115</v>
      </c>
      <c r="H331">
        <v>9.4670000000000005</v>
      </c>
      <c r="I331">
        <v>1.55</v>
      </c>
      <c r="J331">
        <v>4.7649999999999997</v>
      </c>
      <c r="K331">
        <v>1.4630000000000001</v>
      </c>
      <c r="L331">
        <v>1.4370000000000001</v>
      </c>
      <c r="M331">
        <v>2.3740000000000001</v>
      </c>
      <c r="N331">
        <v>4.766</v>
      </c>
      <c r="O331">
        <v>4.3890000000000002</v>
      </c>
      <c r="P331">
        <v>3.7149999999999999</v>
      </c>
      <c r="Q331">
        <v>24.686</v>
      </c>
    </row>
    <row r="332" spans="1:18" x14ac:dyDescent="0.2">
      <c r="A332" t="s">
        <v>130</v>
      </c>
      <c r="B332" t="s">
        <v>155</v>
      </c>
      <c r="C332" t="s">
        <v>38</v>
      </c>
      <c r="D332" t="s">
        <v>21</v>
      </c>
      <c r="E332">
        <v>2.2149999999999999</v>
      </c>
      <c r="F332">
        <v>1.2629999999999999</v>
      </c>
      <c r="G332">
        <v>0.97299999999999998</v>
      </c>
      <c r="H332">
        <v>9.6329999999999991</v>
      </c>
      <c r="I332">
        <v>1.694</v>
      </c>
      <c r="J332">
        <v>3.4849999999999999</v>
      </c>
      <c r="K332">
        <v>1.3460000000000001</v>
      </c>
      <c r="L332">
        <v>0.91</v>
      </c>
      <c r="M332">
        <v>2.8380000000000001</v>
      </c>
      <c r="N332">
        <v>3.8650000000000002</v>
      </c>
      <c r="O332">
        <v>4.0890000000000004</v>
      </c>
      <c r="P332">
        <v>2.6909999999999998</v>
      </c>
      <c r="Q332">
        <v>18.478999999999999</v>
      </c>
    </row>
    <row r="333" spans="1:18" x14ac:dyDescent="0.2">
      <c r="A333" t="s">
        <v>130</v>
      </c>
      <c r="B333" t="s">
        <v>156</v>
      </c>
      <c r="C333" t="s">
        <v>54</v>
      </c>
      <c r="D333" t="s">
        <v>21</v>
      </c>
      <c r="E333">
        <v>1.92</v>
      </c>
      <c r="F333">
        <v>1.474</v>
      </c>
      <c r="G333">
        <v>0</v>
      </c>
      <c r="H333">
        <v>4.8099999999999996</v>
      </c>
      <c r="I333">
        <v>1.3979999999999999</v>
      </c>
      <c r="J333">
        <v>5.8920000000000003</v>
      </c>
      <c r="K333">
        <v>2.004</v>
      </c>
      <c r="L333">
        <v>1.51</v>
      </c>
      <c r="M333">
        <v>3.46</v>
      </c>
      <c r="N333">
        <v>4.7279999999999998</v>
      </c>
      <c r="O333">
        <v>5.6790000000000003</v>
      </c>
      <c r="P333">
        <v>3.8719999999999999</v>
      </c>
      <c r="Q333">
        <v>27.44</v>
      </c>
      <c r="R333">
        <v>615.17600000000004</v>
      </c>
    </row>
    <row r="334" spans="1:18" x14ac:dyDescent="0.2">
      <c r="A334" t="s">
        <v>130</v>
      </c>
      <c r="B334" t="s">
        <v>156</v>
      </c>
      <c r="C334" t="s">
        <v>54</v>
      </c>
      <c r="D334" t="s">
        <v>21</v>
      </c>
      <c r="E334">
        <v>1.8120000000000001</v>
      </c>
      <c r="F334">
        <v>1.4379999999999999</v>
      </c>
      <c r="G334">
        <v>0</v>
      </c>
      <c r="H334">
        <v>4.508</v>
      </c>
      <c r="I334">
        <v>0.97799999999999998</v>
      </c>
      <c r="J334">
        <v>4.5549999999999997</v>
      </c>
      <c r="K334">
        <v>2.2869999999999999</v>
      </c>
      <c r="L334">
        <v>1.575</v>
      </c>
      <c r="M334">
        <v>2.37</v>
      </c>
      <c r="N334">
        <v>3.8540000000000001</v>
      </c>
      <c r="O334">
        <v>3.7040000000000002</v>
      </c>
      <c r="P334">
        <v>4.9139999999999997</v>
      </c>
      <c r="Q334">
        <v>14.461</v>
      </c>
    </row>
    <row r="335" spans="1:18" x14ac:dyDescent="0.2">
      <c r="A335" t="s">
        <v>130</v>
      </c>
      <c r="B335" t="s">
        <v>156</v>
      </c>
      <c r="C335" t="s">
        <v>54</v>
      </c>
      <c r="D335" t="s">
        <v>21</v>
      </c>
      <c r="E335">
        <v>1.7250000000000001</v>
      </c>
      <c r="F335">
        <v>1.2270000000000001</v>
      </c>
      <c r="G335">
        <v>0</v>
      </c>
      <c r="H335">
        <v>4.0410000000000004</v>
      </c>
      <c r="I335">
        <v>1.139</v>
      </c>
      <c r="J335">
        <v>5.7759999999999998</v>
      </c>
      <c r="K335">
        <v>1.5429999999999999</v>
      </c>
      <c r="L335">
        <v>1.472</v>
      </c>
      <c r="M335">
        <v>3.1589999999999998</v>
      </c>
      <c r="N335">
        <v>4.7220000000000004</v>
      </c>
      <c r="O335">
        <v>2.5790000000000002</v>
      </c>
      <c r="P335">
        <v>5.359</v>
      </c>
      <c r="Q335">
        <v>12.121</v>
      </c>
    </row>
    <row r="336" spans="1:18" x14ac:dyDescent="0.2">
      <c r="A336" t="s">
        <v>130</v>
      </c>
      <c r="B336" t="s">
        <v>157</v>
      </c>
      <c r="C336" t="s">
        <v>54</v>
      </c>
      <c r="D336" t="s">
        <v>21</v>
      </c>
      <c r="E336">
        <v>3.399</v>
      </c>
      <c r="F336">
        <v>1.337</v>
      </c>
      <c r="G336">
        <v>0</v>
      </c>
      <c r="H336">
        <v>8.6050000000000004</v>
      </c>
      <c r="I336">
        <v>2.4900000000000002</v>
      </c>
      <c r="J336">
        <v>5.1820000000000004</v>
      </c>
      <c r="K336">
        <v>1.9530000000000001</v>
      </c>
      <c r="L336">
        <v>1.246</v>
      </c>
      <c r="M336">
        <v>2.847</v>
      </c>
      <c r="N336">
        <v>2.9420000000000002</v>
      </c>
      <c r="O336">
        <v>3.3130000000000002</v>
      </c>
      <c r="P336">
        <v>3.9020000000000001</v>
      </c>
      <c r="Q336">
        <v>27.372</v>
      </c>
      <c r="R336">
        <v>806.274</v>
      </c>
    </row>
    <row r="337" spans="1:18" x14ac:dyDescent="0.2">
      <c r="A337" t="s">
        <v>130</v>
      </c>
      <c r="B337" t="s">
        <v>157</v>
      </c>
      <c r="C337" t="s">
        <v>54</v>
      </c>
      <c r="D337" t="s">
        <v>21</v>
      </c>
      <c r="E337">
        <v>2.7440000000000002</v>
      </c>
      <c r="F337">
        <v>1.9039999999999999</v>
      </c>
      <c r="G337">
        <v>0</v>
      </c>
      <c r="H337">
        <v>7.8310000000000004</v>
      </c>
      <c r="I337">
        <v>2.4289999999999998</v>
      </c>
      <c r="J337">
        <v>4.4619999999999997</v>
      </c>
      <c r="K337">
        <v>1.016</v>
      </c>
      <c r="L337">
        <v>0.72</v>
      </c>
      <c r="M337">
        <v>2.298</v>
      </c>
      <c r="N337">
        <v>3.6779999999999999</v>
      </c>
      <c r="O337">
        <v>4.7060000000000004</v>
      </c>
      <c r="P337">
        <v>3.9220000000000002</v>
      </c>
      <c r="Q337">
        <v>43.83</v>
      </c>
      <c r="R337">
        <v>815.08799999999997</v>
      </c>
    </row>
    <row r="338" spans="1:18" x14ac:dyDescent="0.2">
      <c r="A338" t="s">
        <v>130</v>
      </c>
      <c r="B338" t="s">
        <v>157</v>
      </c>
      <c r="C338" t="s">
        <v>54</v>
      </c>
      <c r="D338" t="s">
        <v>21</v>
      </c>
      <c r="E338">
        <v>2.681</v>
      </c>
      <c r="F338">
        <v>1.6379999999999999</v>
      </c>
      <c r="G338">
        <v>0</v>
      </c>
      <c r="H338">
        <v>4.3810000000000002</v>
      </c>
      <c r="I338">
        <v>1.843</v>
      </c>
      <c r="J338">
        <v>4.3079999999999998</v>
      </c>
      <c r="K338">
        <v>1.5960000000000001</v>
      </c>
      <c r="L338">
        <v>0.72299999999999998</v>
      </c>
      <c r="M338">
        <v>2.7810000000000001</v>
      </c>
      <c r="N338">
        <v>3.234</v>
      </c>
      <c r="O338">
        <v>2.0710000000000002</v>
      </c>
      <c r="P338">
        <v>2.7850000000000001</v>
      </c>
      <c r="Q338">
        <v>21.800999999999998</v>
      </c>
      <c r="R338">
        <v>796.35</v>
      </c>
    </row>
    <row r="339" spans="1:18" x14ac:dyDescent="0.2">
      <c r="A339" t="s">
        <v>130</v>
      </c>
      <c r="B339" t="s">
        <v>158</v>
      </c>
      <c r="C339" t="s">
        <v>54</v>
      </c>
      <c r="D339" t="s">
        <v>21</v>
      </c>
      <c r="E339">
        <v>2.2120000000000002</v>
      </c>
      <c r="F339">
        <v>1.413</v>
      </c>
      <c r="G339">
        <v>0</v>
      </c>
      <c r="H339">
        <v>5.7279999999999998</v>
      </c>
      <c r="I339">
        <v>1.909</v>
      </c>
      <c r="J339">
        <v>4.1440000000000001</v>
      </c>
      <c r="K339">
        <v>1.4570000000000001</v>
      </c>
      <c r="L339">
        <v>0.93700000000000006</v>
      </c>
      <c r="M339">
        <v>2.359</v>
      </c>
      <c r="N339">
        <v>3.286</v>
      </c>
      <c r="O339">
        <v>2.76</v>
      </c>
      <c r="P339">
        <v>1.68</v>
      </c>
      <c r="Q339">
        <v>30.838000000000001</v>
      </c>
      <c r="R339">
        <v>758.36</v>
      </c>
    </row>
    <row r="340" spans="1:18" x14ac:dyDescent="0.2">
      <c r="A340" t="s">
        <v>130</v>
      </c>
      <c r="B340" t="s">
        <v>158</v>
      </c>
      <c r="C340" t="s">
        <v>54</v>
      </c>
      <c r="D340" t="s">
        <v>21</v>
      </c>
      <c r="E340">
        <v>2.58</v>
      </c>
      <c r="F340">
        <v>1.1220000000000001</v>
      </c>
      <c r="G340">
        <v>0</v>
      </c>
      <c r="H340">
        <v>4.9790000000000001</v>
      </c>
      <c r="I340">
        <v>1.4219999999999999</v>
      </c>
      <c r="J340">
        <v>3.835</v>
      </c>
      <c r="K340">
        <v>1.397</v>
      </c>
      <c r="L340">
        <v>0.55700000000000005</v>
      </c>
      <c r="M340">
        <v>2.2269999999999999</v>
      </c>
      <c r="N340">
        <v>3.1240000000000001</v>
      </c>
      <c r="O340">
        <v>2.3570000000000002</v>
      </c>
      <c r="P340">
        <v>2.4500000000000002</v>
      </c>
      <c r="Q340">
        <v>20.204000000000001</v>
      </c>
    </row>
    <row r="341" spans="1:18" x14ac:dyDescent="0.2">
      <c r="A341" t="s">
        <v>130</v>
      </c>
      <c r="B341" t="s">
        <v>158</v>
      </c>
      <c r="C341" t="s">
        <v>54</v>
      </c>
      <c r="D341" t="s">
        <v>21</v>
      </c>
      <c r="E341">
        <v>2.1230000000000002</v>
      </c>
      <c r="F341">
        <v>1.06</v>
      </c>
      <c r="G341">
        <v>0</v>
      </c>
      <c r="H341">
        <v>3.25</v>
      </c>
      <c r="I341">
        <v>1.3160000000000001</v>
      </c>
      <c r="J341">
        <v>4.0629999999999997</v>
      </c>
      <c r="K341">
        <v>1.02</v>
      </c>
      <c r="L341">
        <v>1.544</v>
      </c>
      <c r="M341">
        <v>1.9570000000000001</v>
      </c>
      <c r="N341">
        <v>3.3759999999999999</v>
      </c>
      <c r="O341">
        <v>3.165</v>
      </c>
      <c r="P341">
        <v>2.2200000000000002</v>
      </c>
      <c r="Q341">
        <v>13.545999999999999</v>
      </c>
    </row>
    <row r="342" spans="1:18" x14ac:dyDescent="0.2">
      <c r="A342" t="s">
        <v>130</v>
      </c>
      <c r="B342" t="s">
        <v>159</v>
      </c>
      <c r="C342" t="s">
        <v>119</v>
      </c>
      <c r="D342" t="s">
        <v>21</v>
      </c>
      <c r="E342">
        <v>1.65</v>
      </c>
      <c r="F342">
        <v>0.875</v>
      </c>
      <c r="G342">
        <v>0</v>
      </c>
      <c r="H342">
        <v>1.5249999999999999</v>
      </c>
      <c r="I342">
        <v>2.6840000000000002</v>
      </c>
      <c r="J342">
        <v>3.2639999999999998</v>
      </c>
      <c r="K342">
        <v>1.268</v>
      </c>
      <c r="L342">
        <v>1.0229999999999999</v>
      </c>
      <c r="M342">
        <v>1.425</v>
      </c>
      <c r="N342">
        <v>3.3660000000000001</v>
      </c>
      <c r="O342">
        <v>2.7170000000000001</v>
      </c>
      <c r="P342">
        <v>8.7509999999999994</v>
      </c>
      <c r="Q342">
        <v>21.036999999999999</v>
      </c>
    </row>
    <row r="343" spans="1:18" x14ac:dyDescent="0.2">
      <c r="A343" t="s">
        <v>130</v>
      </c>
      <c r="B343" t="s">
        <v>159</v>
      </c>
      <c r="C343" t="s">
        <v>119</v>
      </c>
      <c r="D343" t="s">
        <v>21</v>
      </c>
      <c r="E343">
        <v>1.591</v>
      </c>
      <c r="F343">
        <v>0.99099999999999999</v>
      </c>
      <c r="G343">
        <v>0</v>
      </c>
      <c r="H343">
        <v>3.085</v>
      </c>
      <c r="I343">
        <v>1.4079999999999999</v>
      </c>
      <c r="J343">
        <v>3.9390000000000001</v>
      </c>
      <c r="K343">
        <v>1.8420000000000001</v>
      </c>
      <c r="L343">
        <v>1.548</v>
      </c>
      <c r="M343">
        <v>2.7410000000000001</v>
      </c>
      <c r="N343">
        <v>3.5059999999999998</v>
      </c>
      <c r="O343">
        <v>2.855</v>
      </c>
      <c r="P343">
        <v>2.532</v>
      </c>
      <c r="Q343">
        <v>17.695</v>
      </c>
    </row>
    <row r="344" spans="1:18" x14ac:dyDescent="0.2">
      <c r="A344" t="s">
        <v>130</v>
      </c>
      <c r="B344" t="s">
        <v>159</v>
      </c>
      <c r="C344" t="s">
        <v>119</v>
      </c>
      <c r="D344" t="s">
        <v>21</v>
      </c>
      <c r="E344">
        <v>2.0830000000000002</v>
      </c>
      <c r="F344">
        <v>0.80200000000000005</v>
      </c>
      <c r="G344">
        <v>0</v>
      </c>
      <c r="H344">
        <v>4.6029999999999998</v>
      </c>
      <c r="I344">
        <v>1.9810000000000001</v>
      </c>
      <c r="N344">
        <v>3.8010000000000002</v>
      </c>
      <c r="O344">
        <v>2.4550000000000001</v>
      </c>
      <c r="P344">
        <v>1.609</v>
      </c>
      <c r="Q344">
        <v>16.488</v>
      </c>
    </row>
    <row r="345" spans="1:18" x14ac:dyDescent="0.2">
      <c r="A345" t="s">
        <v>130</v>
      </c>
      <c r="B345" t="s">
        <v>159</v>
      </c>
      <c r="C345" t="s">
        <v>119</v>
      </c>
      <c r="D345" t="s">
        <v>21</v>
      </c>
      <c r="E345">
        <v>2.161</v>
      </c>
      <c r="F345">
        <v>1.0169999999999999</v>
      </c>
      <c r="G345">
        <v>0</v>
      </c>
      <c r="H345">
        <v>3.105</v>
      </c>
      <c r="I345">
        <v>1.4430000000000001</v>
      </c>
      <c r="J345">
        <v>4.1859999999999999</v>
      </c>
      <c r="K345">
        <v>1.4770000000000001</v>
      </c>
      <c r="L345">
        <v>1.323</v>
      </c>
      <c r="M345">
        <v>2.1760000000000002</v>
      </c>
      <c r="N345">
        <v>2.2069999999999999</v>
      </c>
      <c r="O345">
        <v>3.6749999999999998</v>
      </c>
      <c r="P345">
        <v>1.4279999999999999</v>
      </c>
      <c r="Q345">
        <v>24.798999999999999</v>
      </c>
      <c r="R345">
        <v>926.57799999999997</v>
      </c>
    </row>
    <row r="346" spans="1:18" x14ac:dyDescent="0.2">
      <c r="A346" t="s">
        <v>130</v>
      </c>
      <c r="B346" t="s">
        <v>159</v>
      </c>
      <c r="C346" t="s">
        <v>119</v>
      </c>
      <c r="D346" t="s">
        <v>21</v>
      </c>
      <c r="E346">
        <v>2.0329999999999999</v>
      </c>
      <c r="F346">
        <v>1.0229999999999999</v>
      </c>
      <c r="G346">
        <v>0</v>
      </c>
      <c r="H346">
        <v>4.4770000000000003</v>
      </c>
      <c r="I346">
        <v>1.972</v>
      </c>
      <c r="J346">
        <v>4.6130000000000004</v>
      </c>
      <c r="K346">
        <v>1.9159999999999999</v>
      </c>
      <c r="L346">
        <v>1.365</v>
      </c>
      <c r="M346">
        <v>2.6259999999999999</v>
      </c>
      <c r="N346">
        <v>4.1159999999999997</v>
      </c>
      <c r="O346">
        <v>4.6239999999999997</v>
      </c>
      <c r="P346">
        <v>1.762</v>
      </c>
      <c r="Q346">
        <v>14.348000000000001</v>
      </c>
    </row>
    <row r="347" spans="1:18" x14ac:dyDescent="0.2">
      <c r="A347" t="s">
        <v>130</v>
      </c>
      <c r="B347" t="s">
        <v>159</v>
      </c>
      <c r="C347" t="s">
        <v>119</v>
      </c>
      <c r="D347" t="s">
        <v>21</v>
      </c>
      <c r="E347">
        <v>2.1520000000000001</v>
      </c>
      <c r="F347">
        <v>1.077</v>
      </c>
      <c r="G347">
        <v>0</v>
      </c>
      <c r="H347">
        <v>4.6120000000000001</v>
      </c>
      <c r="I347">
        <v>1.847</v>
      </c>
      <c r="J347">
        <v>4.4169999999999998</v>
      </c>
      <c r="K347">
        <v>1.54</v>
      </c>
      <c r="L347">
        <v>1.1459999999999999</v>
      </c>
      <c r="M347">
        <v>2.609</v>
      </c>
      <c r="N347">
        <v>3.548</v>
      </c>
      <c r="O347">
        <v>3.3849999999999998</v>
      </c>
      <c r="P347">
        <v>1.7729999999999999</v>
      </c>
      <c r="Q347">
        <v>15.894</v>
      </c>
    </row>
    <row r="348" spans="1:18" x14ac:dyDescent="0.2">
      <c r="A348" t="s">
        <v>130</v>
      </c>
      <c r="B348" t="s">
        <v>159</v>
      </c>
      <c r="C348" t="s">
        <v>119</v>
      </c>
      <c r="D348" t="s">
        <v>21</v>
      </c>
      <c r="E348">
        <v>1.694</v>
      </c>
      <c r="F348">
        <v>1.1679999999999999</v>
      </c>
      <c r="G348">
        <v>0</v>
      </c>
      <c r="H348">
        <v>6.7290000000000001</v>
      </c>
      <c r="I348">
        <v>2.1840000000000002</v>
      </c>
      <c r="J348">
        <v>3.8050000000000002</v>
      </c>
      <c r="K348">
        <v>1.66</v>
      </c>
      <c r="L348">
        <v>1.4590000000000001</v>
      </c>
      <c r="M348">
        <v>2.2909999999999999</v>
      </c>
      <c r="N348">
        <v>3.1549999999999998</v>
      </c>
      <c r="O348">
        <v>3.508</v>
      </c>
      <c r="P348">
        <v>2.141</v>
      </c>
      <c r="Q348">
        <v>31.797000000000001</v>
      </c>
    </row>
    <row r="349" spans="1:18" x14ac:dyDescent="0.2">
      <c r="A349" t="s">
        <v>130</v>
      </c>
      <c r="B349" t="s">
        <v>159</v>
      </c>
      <c r="C349" t="s">
        <v>119</v>
      </c>
      <c r="D349" t="s">
        <v>21</v>
      </c>
      <c r="E349">
        <v>1.6850000000000001</v>
      </c>
      <c r="F349">
        <v>1.1830000000000001</v>
      </c>
      <c r="G349">
        <v>0</v>
      </c>
      <c r="H349">
        <v>6.2469999999999999</v>
      </c>
      <c r="I349">
        <v>1.9259999999999999</v>
      </c>
      <c r="J349">
        <v>3.5579999999999998</v>
      </c>
      <c r="K349">
        <v>1.411</v>
      </c>
      <c r="L349">
        <v>1.3169999999999999</v>
      </c>
      <c r="M349">
        <v>1.571</v>
      </c>
      <c r="N349">
        <v>3.7869999999999999</v>
      </c>
      <c r="O349">
        <v>3.34</v>
      </c>
      <c r="P349">
        <v>1.7190000000000001</v>
      </c>
      <c r="Q349">
        <v>28.667999999999999</v>
      </c>
    </row>
    <row r="350" spans="1:18" x14ac:dyDescent="0.2">
      <c r="A350" t="s">
        <v>130</v>
      </c>
      <c r="B350" t="s">
        <v>159</v>
      </c>
      <c r="C350" t="s">
        <v>119</v>
      </c>
      <c r="D350" t="s">
        <v>21</v>
      </c>
      <c r="E350">
        <v>1.448</v>
      </c>
      <c r="F350">
        <v>1.095</v>
      </c>
      <c r="G350">
        <v>0</v>
      </c>
      <c r="H350">
        <v>3.8690000000000002</v>
      </c>
      <c r="I350">
        <v>1.226</v>
      </c>
      <c r="J350">
        <v>4.5179999999999998</v>
      </c>
      <c r="K350">
        <v>1.5569999999999999</v>
      </c>
      <c r="L350">
        <v>1.5309999999999999</v>
      </c>
      <c r="M350">
        <v>2.1059999999999999</v>
      </c>
      <c r="N350">
        <v>3.1419999999999999</v>
      </c>
      <c r="O350">
        <v>3.3839999999999999</v>
      </c>
      <c r="P350">
        <v>2.5779999999999998</v>
      </c>
      <c r="Q350">
        <v>36.545999999999999</v>
      </c>
    </row>
    <row r="351" spans="1:18" x14ac:dyDescent="0.2">
      <c r="A351" t="s">
        <v>130</v>
      </c>
      <c r="B351" t="s">
        <v>160</v>
      </c>
      <c r="C351" t="s">
        <v>107</v>
      </c>
      <c r="D351" t="s">
        <v>21</v>
      </c>
      <c r="G351">
        <v>1.0489999999999999</v>
      </c>
      <c r="H351">
        <v>1.605</v>
      </c>
      <c r="I351">
        <v>0.375</v>
      </c>
      <c r="J351">
        <v>3.9049999999999998</v>
      </c>
      <c r="K351">
        <v>1.3959999999999999</v>
      </c>
      <c r="L351">
        <v>0.88300000000000001</v>
      </c>
      <c r="M351">
        <v>3.133</v>
      </c>
      <c r="P351">
        <v>2.819</v>
      </c>
      <c r="Q351">
        <v>5.9859999999999998</v>
      </c>
      <c r="R351">
        <v>713.649</v>
      </c>
    </row>
    <row r="352" spans="1:18" x14ac:dyDescent="0.2">
      <c r="A352" t="s">
        <v>130</v>
      </c>
      <c r="B352" t="s">
        <v>160</v>
      </c>
      <c r="C352" t="s">
        <v>107</v>
      </c>
      <c r="D352" t="s">
        <v>21</v>
      </c>
      <c r="G352">
        <v>1.1259999999999999</v>
      </c>
      <c r="H352">
        <v>2.899</v>
      </c>
      <c r="I352">
        <v>0.71</v>
      </c>
      <c r="J352">
        <v>3.95</v>
      </c>
      <c r="K352">
        <v>2.33</v>
      </c>
      <c r="L352">
        <v>1.91</v>
      </c>
      <c r="M352">
        <v>2.8370000000000002</v>
      </c>
      <c r="P352">
        <v>2.9780000000000002</v>
      </c>
      <c r="Q352">
        <v>5.9749999999999996</v>
      </c>
    </row>
    <row r="353" spans="1:18" x14ac:dyDescent="0.2">
      <c r="A353" t="s">
        <v>130</v>
      </c>
      <c r="B353" t="s">
        <v>160</v>
      </c>
      <c r="C353" t="s">
        <v>107</v>
      </c>
      <c r="D353" t="s">
        <v>21</v>
      </c>
      <c r="G353">
        <v>0.52600000000000002</v>
      </c>
      <c r="H353">
        <v>1.0669999999999999</v>
      </c>
      <c r="I353">
        <v>0.34</v>
      </c>
      <c r="J353">
        <v>4.5860000000000003</v>
      </c>
      <c r="K353">
        <v>1.143</v>
      </c>
      <c r="L353">
        <v>0.88800000000000001</v>
      </c>
      <c r="M353">
        <v>3.2090000000000001</v>
      </c>
      <c r="P353">
        <v>3.0139999999999998</v>
      </c>
      <c r="Q353">
        <v>2.306</v>
      </c>
    </row>
    <row r="354" spans="1:18" x14ac:dyDescent="0.2">
      <c r="A354" t="s">
        <v>130</v>
      </c>
      <c r="B354" t="s">
        <v>161</v>
      </c>
      <c r="C354" t="s">
        <v>107</v>
      </c>
      <c r="E354">
        <v>1.048</v>
      </c>
      <c r="F354">
        <v>0.97099999999999997</v>
      </c>
      <c r="H354">
        <v>2.036</v>
      </c>
      <c r="I354">
        <v>0.38100000000000001</v>
      </c>
      <c r="J354">
        <v>5.2759999999999998</v>
      </c>
      <c r="K354">
        <v>2.12</v>
      </c>
      <c r="L354">
        <v>2.0019999999999998</v>
      </c>
      <c r="M354">
        <v>2.0499999999999998</v>
      </c>
      <c r="N354">
        <v>3.43</v>
      </c>
      <c r="P354">
        <v>3.1309999999999998</v>
      </c>
      <c r="Q354">
        <v>2.6619999999999999</v>
      </c>
      <c r="R354">
        <v>601.13099999999997</v>
      </c>
    </row>
    <row r="355" spans="1:18" x14ac:dyDescent="0.2">
      <c r="A355" t="s">
        <v>130</v>
      </c>
      <c r="B355" t="s">
        <v>161</v>
      </c>
      <c r="C355" t="s">
        <v>107</v>
      </c>
      <c r="E355">
        <v>1.591</v>
      </c>
      <c r="F355">
        <v>0.78400000000000003</v>
      </c>
      <c r="H355">
        <v>2.0649999999999999</v>
      </c>
      <c r="I355">
        <v>0.45600000000000002</v>
      </c>
      <c r="P355">
        <v>2.0670000000000002</v>
      </c>
      <c r="Q355">
        <v>11.257999999999999</v>
      </c>
    </row>
    <row r="356" spans="1:18" x14ac:dyDescent="0.2">
      <c r="A356" t="s">
        <v>130</v>
      </c>
      <c r="B356" t="s">
        <v>161</v>
      </c>
      <c r="C356" t="s">
        <v>107</v>
      </c>
      <c r="E356">
        <v>1.181</v>
      </c>
      <c r="F356">
        <v>0.94299999999999995</v>
      </c>
      <c r="H356">
        <v>1.7509999999999999</v>
      </c>
      <c r="I356">
        <v>0.27</v>
      </c>
      <c r="P356">
        <v>2.319</v>
      </c>
      <c r="Q356">
        <v>12.909000000000001</v>
      </c>
    </row>
    <row r="357" spans="1:18" x14ac:dyDescent="0.2">
      <c r="A357" t="s">
        <v>130</v>
      </c>
      <c r="B357" t="s">
        <v>162</v>
      </c>
      <c r="C357" t="s">
        <v>119</v>
      </c>
      <c r="E357">
        <v>1.5429999999999999</v>
      </c>
      <c r="F357">
        <v>0.91</v>
      </c>
      <c r="H357">
        <v>2.1949999999999998</v>
      </c>
      <c r="I357">
        <v>0.47199999999999998</v>
      </c>
      <c r="P357">
        <v>2.5329999999999999</v>
      </c>
      <c r="Q357">
        <v>16.940999999999999</v>
      </c>
      <c r="R357">
        <v>557.42700000000002</v>
      </c>
    </row>
    <row r="358" spans="1:18" x14ac:dyDescent="0.2">
      <c r="A358" t="s">
        <v>130</v>
      </c>
      <c r="B358" t="s">
        <v>162</v>
      </c>
      <c r="C358" t="s">
        <v>119</v>
      </c>
      <c r="E358">
        <v>1.5029999999999999</v>
      </c>
      <c r="F358">
        <v>0.79600000000000004</v>
      </c>
      <c r="H358">
        <v>1.5049999999999999</v>
      </c>
      <c r="I358">
        <v>0.48799999999999999</v>
      </c>
      <c r="J358">
        <v>4.0259999999999998</v>
      </c>
      <c r="K358">
        <v>2.194</v>
      </c>
      <c r="L358">
        <v>1.911</v>
      </c>
      <c r="M358">
        <v>1.909</v>
      </c>
      <c r="N358">
        <v>1.9379999999999999</v>
      </c>
      <c r="P358">
        <v>2.4430000000000001</v>
      </c>
      <c r="Q358">
        <v>20.555</v>
      </c>
      <c r="R358">
        <v>454.62099999999998</v>
      </c>
    </row>
    <row r="359" spans="1:18" x14ac:dyDescent="0.2">
      <c r="A359" t="s">
        <v>130</v>
      </c>
      <c r="B359" t="s">
        <v>162</v>
      </c>
      <c r="C359" t="s">
        <v>119</v>
      </c>
      <c r="E359">
        <v>1.6140000000000001</v>
      </c>
      <c r="F359">
        <v>0.91200000000000003</v>
      </c>
      <c r="H359">
        <v>4</v>
      </c>
      <c r="I359">
        <v>0.627</v>
      </c>
      <c r="P359">
        <v>3.2930000000000001</v>
      </c>
      <c r="Q359">
        <v>14.183</v>
      </c>
      <c r="R359">
        <v>401.99799999999999</v>
      </c>
    </row>
    <row r="360" spans="1:18" x14ac:dyDescent="0.2">
      <c r="A360" t="s">
        <v>130</v>
      </c>
      <c r="B360" t="s">
        <v>152</v>
      </c>
      <c r="C360" t="s">
        <v>50</v>
      </c>
      <c r="E360">
        <v>1.79</v>
      </c>
      <c r="F360">
        <v>0.78500000000000003</v>
      </c>
      <c r="G360">
        <v>0.58799999999999997</v>
      </c>
      <c r="H360">
        <v>2.7589999999999999</v>
      </c>
      <c r="I360">
        <v>0.91900000000000004</v>
      </c>
      <c r="J360">
        <v>2.5270000000000001</v>
      </c>
      <c r="K360">
        <v>1.31</v>
      </c>
      <c r="L360">
        <v>1.2010000000000001</v>
      </c>
      <c r="M360">
        <v>1.7230000000000001</v>
      </c>
      <c r="N360">
        <v>3.1840000000000002</v>
      </c>
      <c r="O360">
        <v>4.6959999999999997</v>
      </c>
      <c r="P360">
        <v>2.6</v>
      </c>
      <c r="Q360">
        <v>15.551</v>
      </c>
      <c r="R360">
        <v>357.99400000000003</v>
      </c>
    </row>
    <row r="361" spans="1:18" x14ac:dyDescent="0.2">
      <c r="A361" t="s">
        <v>130</v>
      </c>
      <c r="B361" t="s">
        <v>152</v>
      </c>
      <c r="C361" t="s">
        <v>50</v>
      </c>
      <c r="E361">
        <v>2.39</v>
      </c>
      <c r="F361">
        <v>0.64100000000000001</v>
      </c>
      <c r="G361">
        <v>0.61199999999999999</v>
      </c>
      <c r="H361">
        <v>3.1280000000000001</v>
      </c>
      <c r="I361">
        <v>0.70199999999999996</v>
      </c>
      <c r="J361">
        <v>2.387</v>
      </c>
      <c r="K361">
        <v>1.0509999999999999</v>
      </c>
      <c r="L361">
        <v>0.89900000000000002</v>
      </c>
      <c r="M361">
        <v>1.6359999999999999</v>
      </c>
      <c r="N361">
        <v>3.992</v>
      </c>
      <c r="O361">
        <v>3.7210000000000001</v>
      </c>
      <c r="P361">
        <v>2.8940000000000001</v>
      </c>
      <c r="Q361">
        <v>17.984000000000002</v>
      </c>
      <c r="R361">
        <v>263.76400000000001</v>
      </c>
    </row>
    <row r="362" spans="1:18" x14ac:dyDescent="0.2">
      <c r="A362" t="s">
        <v>130</v>
      </c>
      <c r="B362" t="s">
        <v>152</v>
      </c>
      <c r="C362" t="s">
        <v>50</v>
      </c>
      <c r="E362">
        <v>1.7290000000000001</v>
      </c>
      <c r="F362">
        <v>1.181</v>
      </c>
      <c r="G362">
        <v>0.74199999999999999</v>
      </c>
      <c r="H362">
        <v>2.855</v>
      </c>
      <c r="I362">
        <v>0.56599999999999995</v>
      </c>
      <c r="P362">
        <v>3.3380000000000001</v>
      </c>
      <c r="Q362">
        <v>16.242999999999999</v>
      </c>
      <c r="R362">
        <v>276.49700000000001</v>
      </c>
    </row>
    <row r="363" spans="1:18" x14ac:dyDescent="0.2">
      <c r="A363" t="s">
        <v>130</v>
      </c>
      <c r="B363" t="s">
        <v>153</v>
      </c>
      <c r="C363" t="s">
        <v>107</v>
      </c>
      <c r="E363">
        <v>2.2029999999999998</v>
      </c>
      <c r="F363">
        <v>1.361</v>
      </c>
      <c r="G363">
        <v>0.73199999999999998</v>
      </c>
      <c r="H363">
        <v>2.129</v>
      </c>
      <c r="I363">
        <v>1.304</v>
      </c>
      <c r="J363">
        <v>3.0289999999999999</v>
      </c>
      <c r="K363">
        <v>1.46</v>
      </c>
      <c r="L363">
        <v>0.86399999999999999</v>
      </c>
      <c r="M363">
        <v>2.0449999999999999</v>
      </c>
      <c r="N363">
        <v>4.1109999999999998</v>
      </c>
      <c r="P363">
        <v>1.85</v>
      </c>
      <c r="Q363">
        <v>34.655999999999999</v>
      </c>
      <c r="R363">
        <v>700.83399999999995</v>
      </c>
    </row>
    <row r="364" spans="1:18" x14ac:dyDescent="0.2">
      <c r="A364" t="s">
        <v>130</v>
      </c>
      <c r="B364" t="s">
        <v>153</v>
      </c>
      <c r="C364" t="s">
        <v>107</v>
      </c>
      <c r="E364">
        <v>1.8520000000000001</v>
      </c>
      <c r="F364">
        <v>1.258</v>
      </c>
      <c r="G364">
        <v>0.78800000000000003</v>
      </c>
      <c r="H364">
        <v>4.0179999999999998</v>
      </c>
      <c r="I364">
        <v>1.657</v>
      </c>
      <c r="J364">
        <v>2.6970000000000001</v>
      </c>
      <c r="K364">
        <v>1.3640000000000001</v>
      </c>
      <c r="L364">
        <v>1.282</v>
      </c>
      <c r="M364">
        <v>1.159</v>
      </c>
      <c r="N364">
        <v>3.2410000000000001</v>
      </c>
      <c r="P364">
        <v>2.2109999999999999</v>
      </c>
      <c r="Q364">
        <v>29.995000000000001</v>
      </c>
      <c r="R364">
        <v>389.53100000000001</v>
      </c>
    </row>
    <row r="365" spans="1:18" x14ac:dyDescent="0.2">
      <c r="A365" t="s">
        <v>130</v>
      </c>
      <c r="B365" t="s">
        <v>153</v>
      </c>
      <c r="C365" t="s">
        <v>107</v>
      </c>
      <c r="E365">
        <v>1.6579999999999999</v>
      </c>
      <c r="F365">
        <v>0.92200000000000004</v>
      </c>
      <c r="G365">
        <v>0.67300000000000004</v>
      </c>
      <c r="H365">
        <v>3.097</v>
      </c>
      <c r="I365">
        <v>1.31</v>
      </c>
      <c r="J365">
        <v>2.504</v>
      </c>
      <c r="K365">
        <v>1.214</v>
      </c>
      <c r="L365">
        <v>0.94</v>
      </c>
      <c r="M365">
        <v>1.895</v>
      </c>
      <c r="P365">
        <v>1.984</v>
      </c>
      <c r="Q365">
        <v>22.645</v>
      </c>
    </row>
    <row r="366" spans="1:18" x14ac:dyDescent="0.2">
      <c r="A366" t="s">
        <v>130</v>
      </c>
      <c r="B366" t="s">
        <v>163</v>
      </c>
    </row>
    <row r="367" spans="1:18" x14ac:dyDescent="0.2">
      <c r="A367" t="s">
        <v>130</v>
      </c>
      <c r="B367" t="s">
        <v>164</v>
      </c>
    </row>
    <row r="368" spans="1:18" x14ac:dyDescent="0.2">
      <c r="A368" t="s">
        <v>130</v>
      </c>
      <c r="B368" t="s">
        <v>165</v>
      </c>
      <c r="C368" t="s">
        <v>119</v>
      </c>
      <c r="E368">
        <v>1.085</v>
      </c>
      <c r="F368">
        <v>0.64900000000000002</v>
      </c>
      <c r="G368">
        <v>1.0429999999999999</v>
      </c>
      <c r="H368">
        <v>2.9820000000000002</v>
      </c>
      <c r="I368">
        <v>0.76500000000000001</v>
      </c>
      <c r="J368">
        <v>4.6779999999999999</v>
      </c>
      <c r="K368">
        <v>2.1619999999999999</v>
      </c>
      <c r="L368">
        <v>1.8540000000000001</v>
      </c>
      <c r="M368">
        <v>2.048</v>
      </c>
      <c r="P368">
        <v>1.569</v>
      </c>
      <c r="Q368">
        <v>6.3029999999999999</v>
      </c>
      <c r="R368">
        <v>187.589</v>
      </c>
    </row>
    <row r="369" spans="1:18" x14ac:dyDescent="0.2">
      <c r="A369" t="s">
        <v>130</v>
      </c>
      <c r="B369" t="s">
        <v>165</v>
      </c>
      <c r="C369" t="s">
        <v>119</v>
      </c>
      <c r="E369">
        <v>1.349</v>
      </c>
      <c r="F369">
        <v>0.98499999999999999</v>
      </c>
      <c r="G369">
        <v>0.97099999999999997</v>
      </c>
      <c r="H369">
        <v>3.8780000000000001</v>
      </c>
      <c r="I369">
        <v>1.4059999999999999</v>
      </c>
      <c r="Q369">
        <v>1.155</v>
      </c>
    </row>
    <row r="370" spans="1:18" x14ac:dyDescent="0.2">
      <c r="A370" t="s">
        <v>130</v>
      </c>
      <c r="B370" t="s">
        <v>165</v>
      </c>
      <c r="C370" t="s">
        <v>119</v>
      </c>
      <c r="E370">
        <v>1.0760000000000001</v>
      </c>
      <c r="F370">
        <v>0.89</v>
      </c>
      <c r="G370">
        <v>0.83399999999999996</v>
      </c>
      <c r="H370">
        <v>1.347</v>
      </c>
      <c r="I370">
        <v>0.51</v>
      </c>
      <c r="Q370">
        <v>1.6</v>
      </c>
    </row>
    <row r="371" spans="1:18" x14ac:dyDescent="0.2">
      <c r="A371" t="s">
        <v>130</v>
      </c>
      <c r="B371" t="s">
        <v>166</v>
      </c>
      <c r="C371" t="s">
        <v>54</v>
      </c>
      <c r="H371">
        <v>1.7949999999999999</v>
      </c>
      <c r="I371">
        <v>0.54600000000000004</v>
      </c>
      <c r="J371">
        <v>2.8159999999999998</v>
      </c>
      <c r="K371">
        <v>1.748</v>
      </c>
      <c r="L371">
        <v>1.444</v>
      </c>
      <c r="M371">
        <v>2.3039999999999998</v>
      </c>
      <c r="N371">
        <v>3.5489999999999999</v>
      </c>
      <c r="P371">
        <v>1.8460000000000001</v>
      </c>
      <c r="Q371">
        <v>19.225999999999999</v>
      </c>
      <c r="R371">
        <v>707.26599999999996</v>
      </c>
    </row>
    <row r="372" spans="1:18" x14ac:dyDescent="0.2">
      <c r="A372" t="s">
        <v>130</v>
      </c>
      <c r="B372" t="s">
        <v>166</v>
      </c>
      <c r="C372" t="s">
        <v>54</v>
      </c>
      <c r="H372">
        <v>2.121</v>
      </c>
      <c r="I372">
        <v>0.441</v>
      </c>
      <c r="J372">
        <v>2.34</v>
      </c>
      <c r="K372">
        <v>1.278</v>
      </c>
      <c r="L372">
        <v>1.0960000000000001</v>
      </c>
      <c r="M372">
        <v>1.9370000000000001</v>
      </c>
      <c r="N372">
        <v>3.9329999999999998</v>
      </c>
      <c r="P372">
        <v>1.887</v>
      </c>
      <c r="Q372">
        <v>16.869</v>
      </c>
    </row>
    <row r="373" spans="1:18" x14ac:dyDescent="0.2">
      <c r="A373" t="s">
        <v>130</v>
      </c>
      <c r="B373" t="s">
        <v>166</v>
      </c>
      <c r="C373" t="s">
        <v>54</v>
      </c>
      <c r="H373">
        <v>2.4540000000000002</v>
      </c>
      <c r="I373">
        <v>0.73699999999999999</v>
      </c>
      <c r="J373">
        <v>2.9409999999999998</v>
      </c>
      <c r="K373">
        <v>0.98399999999999999</v>
      </c>
      <c r="L373">
        <v>0.88100000000000001</v>
      </c>
      <c r="M373">
        <v>1.8979999999999999</v>
      </c>
      <c r="P373">
        <v>2.343</v>
      </c>
      <c r="Q373">
        <v>16.536000000000001</v>
      </c>
    </row>
    <row r="374" spans="1:18" x14ac:dyDescent="0.2">
      <c r="A374" t="s">
        <v>130</v>
      </c>
      <c r="B374" t="s">
        <v>167</v>
      </c>
      <c r="C374" t="s">
        <v>54</v>
      </c>
      <c r="E374">
        <v>0.873</v>
      </c>
      <c r="F374">
        <v>0.628</v>
      </c>
      <c r="H374">
        <v>3.1629999999999998</v>
      </c>
      <c r="I374">
        <v>0.79200000000000004</v>
      </c>
      <c r="J374">
        <v>2.8940000000000001</v>
      </c>
      <c r="K374">
        <v>1.302</v>
      </c>
      <c r="L374">
        <v>0.97799999999999998</v>
      </c>
      <c r="M374">
        <v>1.6910000000000001</v>
      </c>
      <c r="N374">
        <v>4.2220000000000004</v>
      </c>
      <c r="P374">
        <v>1.992</v>
      </c>
      <c r="Q374">
        <v>34.21</v>
      </c>
      <c r="R374">
        <v>872.88</v>
      </c>
    </row>
    <row r="375" spans="1:18" x14ac:dyDescent="0.2">
      <c r="A375" t="s">
        <v>130</v>
      </c>
      <c r="B375" t="s">
        <v>167</v>
      </c>
      <c r="C375" t="s">
        <v>54</v>
      </c>
      <c r="E375">
        <v>1.1220000000000001</v>
      </c>
      <c r="F375">
        <v>0.93200000000000005</v>
      </c>
      <c r="H375">
        <v>3.044</v>
      </c>
      <c r="I375">
        <v>0.34399999999999997</v>
      </c>
      <c r="P375">
        <v>2.04</v>
      </c>
      <c r="Q375">
        <v>23.495000000000001</v>
      </c>
    </row>
    <row r="376" spans="1:18" x14ac:dyDescent="0.2">
      <c r="A376" t="s">
        <v>130</v>
      </c>
      <c r="B376" t="s">
        <v>167</v>
      </c>
      <c r="C376" t="s">
        <v>54</v>
      </c>
      <c r="E376">
        <v>1.806</v>
      </c>
      <c r="F376">
        <v>0.56999999999999995</v>
      </c>
      <c r="H376">
        <v>2.5920000000000001</v>
      </c>
      <c r="I376">
        <v>0.61099999999999999</v>
      </c>
      <c r="P376">
        <v>1.397</v>
      </c>
      <c r="Q376">
        <v>22.25</v>
      </c>
    </row>
    <row r="377" spans="1:18" x14ac:dyDescent="0.2">
      <c r="A377" t="s">
        <v>130</v>
      </c>
      <c r="B377" t="s">
        <v>168</v>
      </c>
      <c r="C377" t="s">
        <v>81</v>
      </c>
      <c r="E377">
        <v>0.95399999999999996</v>
      </c>
      <c r="F377">
        <v>0.77200000000000002</v>
      </c>
      <c r="G377">
        <v>1.091</v>
      </c>
      <c r="H377">
        <v>2.004</v>
      </c>
      <c r="I377">
        <v>0.24099999999999999</v>
      </c>
      <c r="J377">
        <v>3.262</v>
      </c>
      <c r="K377">
        <v>1.3979999999999999</v>
      </c>
      <c r="L377">
        <v>1.2789999999999999</v>
      </c>
      <c r="M377">
        <v>1.5629999999999999</v>
      </c>
      <c r="N377">
        <v>2.234</v>
      </c>
      <c r="O377">
        <v>4.2690000000000001</v>
      </c>
      <c r="P377">
        <v>2.5489999999999999</v>
      </c>
      <c r="Q377">
        <v>10.298999999999999</v>
      </c>
      <c r="R377">
        <v>684.17399999999998</v>
      </c>
    </row>
    <row r="378" spans="1:18" x14ac:dyDescent="0.2">
      <c r="A378" t="s">
        <v>130</v>
      </c>
      <c r="B378" t="s">
        <v>168</v>
      </c>
      <c r="C378" t="s">
        <v>81</v>
      </c>
      <c r="E378">
        <v>0.879</v>
      </c>
      <c r="F378">
        <v>0.78800000000000003</v>
      </c>
      <c r="G378">
        <v>0.92500000000000004</v>
      </c>
      <c r="H378">
        <v>3.3340000000000001</v>
      </c>
      <c r="I378">
        <v>0.55000000000000004</v>
      </c>
      <c r="J378">
        <v>4.2439999999999998</v>
      </c>
      <c r="K378">
        <v>1.288</v>
      </c>
      <c r="L378">
        <v>0.89100000000000001</v>
      </c>
      <c r="M378">
        <v>1.361</v>
      </c>
      <c r="N378">
        <v>3.5920000000000001</v>
      </c>
      <c r="O378">
        <v>3.6219999999999999</v>
      </c>
      <c r="P378">
        <v>3.0009999999999999</v>
      </c>
      <c r="Q378">
        <v>9.1880000000000006</v>
      </c>
      <c r="R378">
        <v>516.423</v>
      </c>
    </row>
    <row r="379" spans="1:18" x14ac:dyDescent="0.2">
      <c r="A379" t="s">
        <v>130</v>
      </c>
      <c r="B379" t="s">
        <v>168</v>
      </c>
      <c r="C379" t="s">
        <v>81</v>
      </c>
      <c r="E379">
        <v>0.84899999999999998</v>
      </c>
      <c r="F379">
        <v>0.67300000000000004</v>
      </c>
      <c r="G379">
        <v>1.22</v>
      </c>
      <c r="H379">
        <v>2.7719999999999998</v>
      </c>
      <c r="I379">
        <v>0.51300000000000001</v>
      </c>
      <c r="J379">
        <v>4.0439999999999996</v>
      </c>
      <c r="K379">
        <v>1.1890000000000001</v>
      </c>
      <c r="L379">
        <v>0.78500000000000003</v>
      </c>
      <c r="M379">
        <v>1.6020000000000001</v>
      </c>
      <c r="N379">
        <v>3.081</v>
      </c>
      <c r="O379">
        <v>4.3029999999999999</v>
      </c>
      <c r="P379">
        <v>3.0139999999999998</v>
      </c>
      <c r="Q379">
        <v>9.2899999999999991</v>
      </c>
    </row>
    <row r="380" spans="1:18" x14ac:dyDescent="0.2">
      <c r="A380" t="s">
        <v>130</v>
      </c>
      <c r="B380" t="s">
        <v>154</v>
      </c>
      <c r="C380" t="s">
        <v>38</v>
      </c>
      <c r="E380">
        <v>1.012</v>
      </c>
      <c r="F380">
        <v>0.50600000000000001</v>
      </c>
      <c r="G380">
        <v>0.92100000000000004</v>
      </c>
      <c r="H380">
        <v>1.79</v>
      </c>
      <c r="I380">
        <v>0.33100000000000002</v>
      </c>
      <c r="J380">
        <v>2.7040000000000002</v>
      </c>
      <c r="K380">
        <v>1.1930000000000001</v>
      </c>
      <c r="L380">
        <v>0.875</v>
      </c>
      <c r="M380">
        <v>1.7669999999999999</v>
      </c>
      <c r="N380">
        <v>4.3739999999999997</v>
      </c>
      <c r="O380">
        <v>2.8109999999999999</v>
      </c>
      <c r="P380">
        <v>2.504</v>
      </c>
      <c r="Q380">
        <v>26.695</v>
      </c>
      <c r="R380">
        <v>411.65800000000002</v>
      </c>
    </row>
    <row r="381" spans="1:18" x14ac:dyDescent="0.2">
      <c r="A381" t="s">
        <v>130</v>
      </c>
      <c r="B381" t="s">
        <v>154</v>
      </c>
      <c r="C381" t="s">
        <v>38</v>
      </c>
      <c r="E381">
        <v>1.105</v>
      </c>
      <c r="F381">
        <v>0.435</v>
      </c>
      <c r="G381">
        <v>0.59199999999999997</v>
      </c>
      <c r="H381">
        <v>1.6319999999999999</v>
      </c>
      <c r="I381">
        <v>0.27800000000000002</v>
      </c>
      <c r="J381">
        <v>2.58</v>
      </c>
      <c r="K381">
        <v>0.996</v>
      </c>
      <c r="L381">
        <v>0.85199999999999998</v>
      </c>
      <c r="M381">
        <v>1.5609999999999999</v>
      </c>
      <c r="N381">
        <v>4.2249999999999996</v>
      </c>
      <c r="O381">
        <v>3.0859999999999999</v>
      </c>
      <c r="P381">
        <v>4.8890000000000002</v>
      </c>
      <c r="Q381">
        <v>29.521000000000001</v>
      </c>
      <c r="R381">
        <v>378.85599999999999</v>
      </c>
    </row>
    <row r="382" spans="1:18" x14ac:dyDescent="0.2">
      <c r="A382" t="s">
        <v>130</v>
      </c>
      <c r="B382" t="s">
        <v>154</v>
      </c>
      <c r="C382" t="s">
        <v>38</v>
      </c>
      <c r="E382">
        <v>1.3740000000000001</v>
      </c>
      <c r="F382">
        <v>0.54500000000000004</v>
      </c>
      <c r="G382">
        <v>1.575</v>
      </c>
      <c r="H382">
        <v>1.63</v>
      </c>
      <c r="I382">
        <v>0.311</v>
      </c>
      <c r="J382">
        <v>2.6659999999999999</v>
      </c>
      <c r="K382">
        <v>0.98899999999999999</v>
      </c>
      <c r="L382">
        <v>0.82599999999999996</v>
      </c>
      <c r="M382">
        <v>1.456</v>
      </c>
      <c r="N382">
        <v>4.7889999999999997</v>
      </c>
      <c r="O382">
        <v>4.9630000000000001</v>
      </c>
      <c r="P382">
        <v>3.198</v>
      </c>
      <c r="Q382">
        <v>30.812999999999999</v>
      </c>
      <c r="R382">
        <v>358.85599999999999</v>
      </c>
    </row>
    <row r="383" spans="1:18" x14ac:dyDescent="0.2">
      <c r="A383" t="s">
        <v>130</v>
      </c>
      <c r="B383" t="s">
        <v>156</v>
      </c>
      <c r="C383" t="s">
        <v>54</v>
      </c>
      <c r="E383">
        <v>1.391</v>
      </c>
      <c r="F383">
        <v>0.66400000000000003</v>
      </c>
      <c r="H383">
        <v>1.444</v>
      </c>
      <c r="I383">
        <v>0.114</v>
      </c>
      <c r="J383">
        <v>3.9990000000000001</v>
      </c>
      <c r="K383">
        <v>1.1830000000000001</v>
      </c>
      <c r="L383">
        <v>1.53</v>
      </c>
      <c r="M383">
        <v>1.5209999999999999</v>
      </c>
      <c r="N383">
        <v>4.59</v>
      </c>
      <c r="O383">
        <v>3.55</v>
      </c>
      <c r="P383">
        <v>1.0089999999999999</v>
      </c>
      <c r="Q383">
        <v>13.587999999999999</v>
      </c>
      <c r="R383">
        <v>253.42</v>
      </c>
    </row>
    <row r="384" spans="1:18" x14ac:dyDescent="0.2">
      <c r="A384" t="s">
        <v>130</v>
      </c>
      <c r="B384" t="s">
        <v>156</v>
      </c>
      <c r="C384" t="s">
        <v>54</v>
      </c>
      <c r="E384">
        <v>1.1890000000000001</v>
      </c>
      <c r="F384">
        <v>0.81699999999999995</v>
      </c>
      <c r="H384">
        <v>0.95799999999999996</v>
      </c>
      <c r="I384">
        <v>0.20100000000000001</v>
      </c>
      <c r="J384">
        <v>4.8070000000000004</v>
      </c>
      <c r="K384">
        <v>2.286</v>
      </c>
      <c r="L384">
        <v>1.6759999999999999</v>
      </c>
      <c r="M384">
        <v>2.6080000000000001</v>
      </c>
      <c r="N384">
        <v>4.593</v>
      </c>
      <c r="O384">
        <v>3.992</v>
      </c>
      <c r="P384">
        <v>1.1240000000000001</v>
      </c>
      <c r="Q384">
        <v>14.621</v>
      </c>
      <c r="R384">
        <v>198.429</v>
      </c>
    </row>
    <row r="385" spans="1:18" x14ac:dyDescent="0.2">
      <c r="A385" t="s">
        <v>130</v>
      </c>
      <c r="B385" t="s">
        <v>156</v>
      </c>
      <c r="C385" t="s">
        <v>54</v>
      </c>
      <c r="E385">
        <v>0.91</v>
      </c>
      <c r="F385">
        <v>0.88900000000000001</v>
      </c>
      <c r="H385">
        <v>1.8919999999999999</v>
      </c>
      <c r="I385">
        <v>0.32300000000000001</v>
      </c>
      <c r="P385">
        <v>2.0920000000000001</v>
      </c>
      <c r="Q385">
        <v>13.654999999999999</v>
      </c>
    </row>
    <row r="386" spans="1:18" x14ac:dyDescent="0.2">
      <c r="A386" t="s">
        <v>130</v>
      </c>
      <c r="B386" t="s">
        <v>157</v>
      </c>
      <c r="C386" t="s">
        <v>54</v>
      </c>
      <c r="E386">
        <v>1.4550000000000001</v>
      </c>
      <c r="F386">
        <v>0.71099999999999997</v>
      </c>
      <c r="H386">
        <v>3.1760000000000002</v>
      </c>
      <c r="I386">
        <v>0.36299999999999999</v>
      </c>
      <c r="J386">
        <v>3.2229999999999999</v>
      </c>
      <c r="K386">
        <v>1.4419999999999999</v>
      </c>
      <c r="L386">
        <v>1.2250000000000001</v>
      </c>
      <c r="M386">
        <v>2.3620000000000001</v>
      </c>
      <c r="N386">
        <v>2.8839999999999999</v>
      </c>
      <c r="O386">
        <v>2.819</v>
      </c>
      <c r="P386">
        <v>0.88900000000000001</v>
      </c>
      <c r="Q386">
        <v>43.116</v>
      </c>
      <c r="R386">
        <v>794.44399999999996</v>
      </c>
    </row>
    <row r="387" spans="1:18" x14ac:dyDescent="0.2">
      <c r="A387" t="s">
        <v>130</v>
      </c>
      <c r="B387" t="s">
        <v>157</v>
      </c>
      <c r="C387" t="s">
        <v>54</v>
      </c>
      <c r="E387">
        <v>0.85499999999999998</v>
      </c>
      <c r="F387">
        <v>0.747</v>
      </c>
      <c r="H387">
        <v>2.198</v>
      </c>
      <c r="I387">
        <v>0.41</v>
      </c>
      <c r="J387">
        <v>3.4340000000000002</v>
      </c>
      <c r="K387">
        <v>1.8320000000000001</v>
      </c>
      <c r="L387">
        <v>1.532</v>
      </c>
      <c r="M387">
        <v>1.5089999999999999</v>
      </c>
      <c r="N387">
        <v>3.7240000000000002</v>
      </c>
      <c r="O387">
        <v>2.52</v>
      </c>
      <c r="P387">
        <v>2.157</v>
      </c>
      <c r="Q387">
        <v>27.29</v>
      </c>
      <c r="R387">
        <v>698.34100000000001</v>
      </c>
    </row>
    <row r="388" spans="1:18" x14ac:dyDescent="0.2">
      <c r="A388" t="s">
        <v>130</v>
      </c>
      <c r="B388" t="s">
        <v>157</v>
      </c>
      <c r="C388" t="s">
        <v>54</v>
      </c>
      <c r="E388">
        <v>0.91100000000000003</v>
      </c>
      <c r="F388">
        <v>0.79400000000000004</v>
      </c>
      <c r="H388">
        <v>1.845</v>
      </c>
      <c r="I388">
        <v>0.191</v>
      </c>
      <c r="P388">
        <v>1.111</v>
      </c>
      <c r="Q388">
        <v>9.3520000000000003</v>
      </c>
    </row>
    <row r="389" spans="1:18" x14ac:dyDescent="0.2">
      <c r="A389" t="s">
        <v>130</v>
      </c>
      <c r="B389" t="s">
        <v>159</v>
      </c>
      <c r="C389" t="s">
        <v>119</v>
      </c>
      <c r="E389">
        <v>1.139</v>
      </c>
      <c r="F389">
        <v>0.77600000000000002</v>
      </c>
      <c r="H389">
        <v>4.9340000000000002</v>
      </c>
      <c r="I389">
        <v>1.3440000000000001</v>
      </c>
      <c r="J389">
        <v>3.004</v>
      </c>
      <c r="K389">
        <v>1.369</v>
      </c>
      <c r="L389">
        <v>1.101</v>
      </c>
      <c r="M389">
        <v>1.619</v>
      </c>
      <c r="N389">
        <v>3.9889999999999999</v>
      </c>
      <c r="O389">
        <v>3.3279999999999998</v>
      </c>
      <c r="P389">
        <v>1.752</v>
      </c>
      <c r="Q389">
        <v>15.571999999999999</v>
      </c>
      <c r="R389">
        <v>459.04199999999997</v>
      </c>
    </row>
    <row r="390" spans="1:18" x14ac:dyDescent="0.2">
      <c r="A390" t="s">
        <v>130</v>
      </c>
      <c r="B390" t="s">
        <v>159</v>
      </c>
      <c r="C390" t="s">
        <v>119</v>
      </c>
      <c r="E390">
        <v>1.7030000000000001</v>
      </c>
      <c r="F390">
        <v>1.603</v>
      </c>
      <c r="H390">
        <v>4.5629999999999997</v>
      </c>
      <c r="I390">
        <v>3.4580000000000002</v>
      </c>
      <c r="J390">
        <v>3.4449999999999998</v>
      </c>
      <c r="K390">
        <v>1.0409999999999999</v>
      </c>
      <c r="L390">
        <v>0.98299999999999998</v>
      </c>
      <c r="M390">
        <v>1.7410000000000001</v>
      </c>
      <c r="N390">
        <v>3.339</v>
      </c>
      <c r="O390">
        <v>4.0350000000000001</v>
      </c>
      <c r="P390">
        <v>1.5249999999999999</v>
      </c>
      <c r="Q390">
        <v>14.333</v>
      </c>
      <c r="R390">
        <v>173.565</v>
      </c>
    </row>
    <row r="391" spans="1:18" x14ac:dyDescent="0.2">
      <c r="A391" t="s">
        <v>130</v>
      </c>
      <c r="B391" t="s">
        <v>159</v>
      </c>
      <c r="C391" t="s">
        <v>119</v>
      </c>
      <c r="E391">
        <v>1.3120000000000001</v>
      </c>
      <c r="F391">
        <v>0.88100000000000001</v>
      </c>
      <c r="H391">
        <v>3.2480000000000002</v>
      </c>
      <c r="I391">
        <v>1.3819999999999999</v>
      </c>
      <c r="P391">
        <v>1.9530000000000001</v>
      </c>
      <c r="Q391">
        <v>11.567</v>
      </c>
      <c r="R391">
        <v>444.63900000000001</v>
      </c>
    </row>
    <row r="392" spans="1:18" x14ac:dyDescent="0.2">
      <c r="A392" t="s">
        <v>169</v>
      </c>
      <c r="B392" t="s">
        <v>170</v>
      </c>
      <c r="C392" t="s">
        <v>64</v>
      </c>
      <c r="D392" t="s">
        <v>21</v>
      </c>
      <c r="E392">
        <v>0</v>
      </c>
      <c r="F392">
        <v>0</v>
      </c>
      <c r="G392">
        <v>0</v>
      </c>
    </row>
    <row r="393" spans="1:18" x14ac:dyDescent="0.2">
      <c r="A393" t="s">
        <v>169</v>
      </c>
      <c r="B393" t="s">
        <v>170</v>
      </c>
      <c r="C393" t="s">
        <v>64</v>
      </c>
      <c r="D393" t="s">
        <v>21</v>
      </c>
      <c r="E393">
        <v>0</v>
      </c>
      <c r="F393">
        <v>0</v>
      </c>
      <c r="G393">
        <v>0</v>
      </c>
    </row>
    <row r="394" spans="1:18" x14ac:dyDescent="0.2">
      <c r="A394" t="s">
        <v>169</v>
      </c>
      <c r="B394" t="s">
        <v>170</v>
      </c>
      <c r="C394" t="s">
        <v>64</v>
      </c>
      <c r="D394" t="s">
        <v>21</v>
      </c>
      <c r="E394">
        <v>0</v>
      </c>
      <c r="F394">
        <v>0</v>
      </c>
      <c r="G394">
        <v>0</v>
      </c>
    </row>
    <row r="395" spans="1:18" x14ac:dyDescent="0.2">
      <c r="A395" t="s">
        <v>169</v>
      </c>
      <c r="B395" t="s">
        <v>171</v>
      </c>
      <c r="C395" t="s">
        <v>64</v>
      </c>
      <c r="D395" t="s">
        <v>21</v>
      </c>
      <c r="E395">
        <v>0</v>
      </c>
      <c r="F395">
        <v>0</v>
      </c>
      <c r="G395">
        <v>0</v>
      </c>
      <c r="H395">
        <v>4.3719999999999999</v>
      </c>
      <c r="I395">
        <v>2.371</v>
      </c>
      <c r="R395">
        <v>744.89599999999996</v>
      </c>
    </row>
    <row r="396" spans="1:18" x14ac:dyDescent="0.2">
      <c r="A396" t="s">
        <v>169</v>
      </c>
      <c r="B396" t="s">
        <v>171</v>
      </c>
      <c r="C396" t="s">
        <v>64</v>
      </c>
      <c r="E396">
        <v>0</v>
      </c>
      <c r="F396">
        <v>0</v>
      </c>
      <c r="G396">
        <v>0</v>
      </c>
      <c r="H396">
        <v>4.694</v>
      </c>
      <c r="I396">
        <v>2.1320000000000001</v>
      </c>
    </row>
    <row r="397" spans="1:18" x14ac:dyDescent="0.2">
      <c r="A397" t="s">
        <v>169</v>
      </c>
      <c r="B397" t="s">
        <v>171</v>
      </c>
      <c r="C397" t="s">
        <v>64</v>
      </c>
      <c r="E397">
        <v>0</v>
      </c>
      <c r="F397">
        <v>0</v>
      </c>
      <c r="G397">
        <v>0</v>
      </c>
      <c r="H397">
        <v>5.8049999999999997</v>
      </c>
      <c r="I397">
        <v>2.9489999999999998</v>
      </c>
    </row>
    <row r="398" spans="1:18" x14ac:dyDescent="0.2">
      <c r="A398" t="s">
        <v>169</v>
      </c>
      <c r="B398" t="s">
        <v>172</v>
      </c>
      <c r="C398" t="s">
        <v>27</v>
      </c>
      <c r="E398">
        <v>0</v>
      </c>
      <c r="F398">
        <v>0</v>
      </c>
      <c r="G398">
        <v>0</v>
      </c>
      <c r="H398">
        <v>4.4059999999999997</v>
      </c>
      <c r="I398">
        <v>0.93</v>
      </c>
      <c r="J398">
        <v>4.8079999999999998</v>
      </c>
      <c r="K398">
        <v>1.264</v>
      </c>
      <c r="L398">
        <v>0.96499999999999997</v>
      </c>
      <c r="M398">
        <v>3.1259999999999999</v>
      </c>
      <c r="N398">
        <v>3.42</v>
      </c>
      <c r="O398">
        <v>3.8130000000000002</v>
      </c>
      <c r="P398">
        <v>5.14</v>
      </c>
      <c r="Q398">
        <v>33.884999999999998</v>
      </c>
      <c r="R398">
        <v>656.654</v>
      </c>
    </row>
    <row r="399" spans="1:18" x14ac:dyDescent="0.2">
      <c r="A399" t="s">
        <v>169</v>
      </c>
      <c r="B399" t="s">
        <v>172</v>
      </c>
      <c r="C399" t="s">
        <v>27</v>
      </c>
      <c r="E399">
        <v>0</v>
      </c>
      <c r="F399">
        <v>0</v>
      </c>
      <c r="G399">
        <v>0</v>
      </c>
      <c r="H399">
        <v>5.0789999999999997</v>
      </c>
      <c r="I399">
        <v>1.8839999999999999</v>
      </c>
      <c r="J399">
        <v>3.875</v>
      </c>
      <c r="K399">
        <v>1.117</v>
      </c>
      <c r="L399">
        <v>1.0209999999999999</v>
      </c>
      <c r="M399">
        <v>2.6139999999999999</v>
      </c>
      <c r="N399">
        <v>3.3420000000000001</v>
      </c>
      <c r="O399">
        <v>2.5289999999999999</v>
      </c>
      <c r="P399">
        <v>4.8769999999999998</v>
      </c>
      <c r="Q399">
        <v>28.140999999999998</v>
      </c>
    </row>
    <row r="400" spans="1:18" x14ac:dyDescent="0.2">
      <c r="A400" t="s">
        <v>169</v>
      </c>
      <c r="B400" t="s">
        <v>172</v>
      </c>
      <c r="C400" t="s">
        <v>27</v>
      </c>
      <c r="E400">
        <v>0</v>
      </c>
      <c r="F400">
        <v>0</v>
      </c>
      <c r="G400">
        <v>0</v>
      </c>
      <c r="H400">
        <v>5.625</v>
      </c>
      <c r="I400">
        <v>1.518</v>
      </c>
      <c r="J400">
        <v>3.1819999999999999</v>
      </c>
      <c r="K400">
        <v>0.79200000000000004</v>
      </c>
      <c r="L400">
        <v>0.36399999999999999</v>
      </c>
      <c r="M400">
        <v>2.7509999999999999</v>
      </c>
      <c r="N400">
        <v>2.5099999999999998</v>
      </c>
      <c r="O400">
        <v>3.1819999999999999</v>
      </c>
      <c r="P400">
        <v>5.2389999999999999</v>
      </c>
      <c r="Q400">
        <v>24.856000000000002</v>
      </c>
    </row>
    <row r="401" spans="1:18" x14ac:dyDescent="0.2">
      <c r="A401" t="s">
        <v>169</v>
      </c>
      <c r="B401" t="s">
        <v>173</v>
      </c>
      <c r="C401" t="s">
        <v>27</v>
      </c>
      <c r="D401" t="s">
        <v>21</v>
      </c>
      <c r="E401">
        <v>0</v>
      </c>
      <c r="F401">
        <v>0</v>
      </c>
      <c r="G401">
        <v>0</v>
      </c>
      <c r="H401">
        <v>6.5259999999999998</v>
      </c>
      <c r="I401">
        <v>1.4590000000000001</v>
      </c>
      <c r="R401">
        <v>403.99099999999999</v>
      </c>
    </row>
    <row r="402" spans="1:18" x14ac:dyDescent="0.2">
      <c r="A402" t="s">
        <v>169</v>
      </c>
      <c r="B402" t="s">
        <v>173</v>
      </c>
      <c r="C402" t="s">
        <v>27</v>
      </c>
      <c r="D402" t="s">
        <v>21</v>
      </c>
      <c r="E402">
        <v>0</v>
      </c>
      <c r="F402">
        <v>0</v>
      </c>
      <c r="G402">
        <v>0</v>
      </c>
      <c r="H402">
        <v>6.718</v>
      </c>
      <c r="I402">
        <v>2.0659999999999998</v>
      </c>
    </row>
    <row r="403" spans="1:18" x14ac:dyDescent="0.2">
      <c r="A403" t="s">
        <v>169</v>
      </c>
      <c r="B403" t="s">
        <v>173</v>
      </c>
      <c r="C403" t="s">
        <v>27</v>
      </c>
      <c r="D403" t="s">
        <v>25</v>
      </c>
      <c r="E403">
        <v>0</v>
      </c>
      <c r="F403">
        <v>0</v>
      </c>
      <c r="G403">
        <v>0</v>
      </c>
      <c r="H403">
        <v>5.5780000000000003</v>
      </c>
      <c r="I403">
        <v>1.546</v>
      </c>
    </row>
    <row r="404" spans="1:18" x14ac:dyDescent="0.2">
      <c r="A404" t="s">
        <v>169</v>
      </c>
      <c r="B404" t="s">
        <v>174</v>
      </c>
      <c r="C404" t="s">
        <v>27</v>
      </c>
      <c r="D404" t="s">
        <v>21</v>
      </c>
      <c r="E404">
        <v>0</v>
      </c>
      <c r="F404">
        <v>0</v>
      </c>
      <c r="G404">
        <v>0</v>
      </c>
      <c r="H404">
        <v>6.5640000000000001</v>
      </c>
      <c r="I404">
        <v>3.5680000000000001</v>
      </c>
      <c r="Q404">
        <v>19.951000000000001</v>
      </c>
      <c r="R404">
        <v>780.05499999999995</v>
      </c>
    </row>
    <row r="405" spans="1:18" x14ac:dyDescent="0.2">
      <c r="A405" t="s">
        <v>169</v>
      </c>
      <c r="B405" t="s">
        <v>174</v>
      </c>
      <c r="C405" t="s">
        <v>27</v>
      </c>
      <c r="D405" t="s">
        <v>21</v>
      </c>
      <c r="E405">
        <v>0</v>
      </c>
      <c r="F405">
        <v>0</v>
      </c>
      <c r="G405">
        <v>0</v>
      </c>
      <c r="H405">
        <v>4.7830000000000004</v>
      </c>
      <c r="I405">
        <v>1.3049999999999999</v>
      </c>
      <c r="Q405">
        <v>14.801</v>
      </c>
    </row>
    <row r="406" spans="1:18" x14ac:dyDescent="0.2">
      <c r="A406" t="s">
        <v>169</v>
      </c>
      <c r="B406" t="s">
        <v>174</v>
      </c>
      <c r="C406" t="s">
        <v>27</v>
      </c>
      <c r="D406" t="s">
        <v>21</v>
      </c>
      <c r="E406">
        <v>0</v>
      </c>
      <c r="F406">
        <v>0</v>
      </c>
      <c r="G406">
        <v>0</v>
      </c>
      <c r="H406">
        <v>6.9550000000000001</v>
      </c>
      <c r="I406">
        <v>1.33</v>
      </c>
      <c r="Q406">
        <v>10.867000000000001</v>
      </c>
    </row>
    <row r="407" spans="1:18" x14ac:dyDescent="0.2">
      <c r="A407" t="s">
        <v>169</v>
      </c>
      <c r="B407" t="s">
        <v>175</v>
      </c>
      <c r="C407" t="s">
        <v>176</v>
      </c>
      <c r="D407" t="s">
        <v>21</v>
      </c>
      <c r="E407">
        <v>0</v>
      </c>
      <c r="F407">
        <v>0</v>
      </c>
      <c r="G407">
        <v>0</v>
      </c>
      <c r="H407">
        <v>2.15</v>
      </c>
      <c r="I407">
        <v>0.95099999999999996</v>
      </c>
      <c r="J407">
        <v>5.6929999999999996</v>
      </c>
      <c r="K407">
        <v>1.36</v>
      </c>
      <c r="L407">
        <v>0.71</v>
      </c>
      <c r="M407">
        <v>3.5110000000000001</v>
      </c>
      <c r="N407">
        <v>3.1190000000000002</v>
      </c>
      <c r="O407">
        <v>3.585</v>
      </c>
      <c r="P407">
        <v>5.5</v>
      </c>
      <c r="Q407">
        <v>36.57</v>
      </c>
      <c r="R407">
        <v>976.65599999999995</v>
      </c>
    </row>
    <row r="408" spans="1:18" x14ac:dyDescent="0.2">
      <c r="A408" t="s">
        <v>169</v>
      </c>
      <c r="B408" t="s">
        <v>175</v>
      </c>
      <c r="C408" t="s">
        <v>176</v>
      </c>
      <c r="D408" t="s">
        <v>21</v>
      </c>
      <c r="E408">
        <v>0</v>
      </c>
      <c r="F408">
        <v>0</v>
      </c>
      <c r="G408">
        <v>0</v>
      </c>
      <c r="H408">
        <v>2.0960000000000001</v>
      </c>
      <c r="I408">
        <v>1.2909999999999999</v>
      </c>
      <c r="J408">
        <v>4.7930000000000001</v>
      </c>
      <c r="K408">
        <v>1.274</v>
      </c>
      <c r="L408">
        <v>0.78500000000000003</v>
      </c>
      <c r="M408">
        <v>2.677</v>
      </c>
      <c r="N408">
        <v>2.8050000000000002</v>
      </c>
      <c r="O408">
        <v>3.2639999999999998</v>
      </c>
      <c r="P408">
        <v>4.0170000000000003</v>
      </c>
      <c r="Q408">
        <v>28.46</v>
      </c>
    </row>
    <row r="409" spans="1:18" x14ac:dyDescent="0.2">
      <c r="A409" t="s">
        <v>169</v>
      </c>
      <c r="B409" t="s">
        <v>175</v>
      </c>
      <c r="C409" t="s">
        <v>176</v>
      </c>
      <c r="D409" t="s">
        <v>21</v>
      </c>
      <c r="E409">
        <v>0</v>
      </c>
      <c r="F409">
        <v>0</v>
      </c>
      <c r="G409">
        <v>0</v>
      </c>
      <c r="H409">
        <v>2.0019999999999998</v>
      </c>
      <c r="I409">
        <v>1.085</v>
      </c>
      <c r="J409">
        <v>4.7619999999999996</v>
      </c>
      <c r="K409">
        <v>1.327</v>
      </c>
      <c r="L409">
        <v>1.0569999999999999</v>
      </c>
      <c r="M409">
        <v>2.6989999999999998</v>
      </c>
      <c r="N409">
        <v>2.4609999999999999</v>
      </c>
      <c r="O409">
        <v>3.7229999999999999</v>
      </c>
      <c r="P409">
        <v>4.9580000000000002</v>
      </c>
      <c r="Q409">
        <v>25.547999999999998</v>
      </c>
    </row>
    <row r="410" spans="1:18" x14ac:dyDescent="0.2">
      <c r="A410" t="s">
        <v>169</v>
      </c>
      <c r="B410" t="s">
        <v>177</v>
      </c>
      <c r="C410" t="s">
        <v>176</v>
      </c>
      <c r="D410" t="s">
        <v>21</v>
      </c>
      <c r="E410">
        <v>0</v>
      </c>
      <c r="F410">
        <v>0</v>
      </c>
      <c r="G410">
        <v>0</v>
      </c>
      <c r="H410">
        <v>3.0819999999999999</v>
      </c>
      <c r="I410">
        <v>1.254</v>
      </c>
      <c r="J410">
        <v>3.71</v>
      </c>
      <c r="K410">
        <v>1.548</v>
      </c>
      <c r="L410">
        <v>1.476</v>
      </c>
      <c r="M410">
        <v>2.4889999999999999</v>
      </c>
      <c r="N410">
        <v>2.9140000000000001</v>
      </c>
      <c r="O410">
        <v>1.9850000000000001</v>
      </c>
      <c r="P410">
        <v>3.0270000000000001</v>
      </c>
      <c r="Q410">
        <v>18.521000000000001</v>
      </c>
      <c r="R410">
        <v>810.52499999999998</v>
      </c>
    </row>
    <row r="411" spans="1:18" x14ac:dyDescent="0.2">
      <c r="A411" t="s">
        <v>169</v>
      </c>
      <c r="B411" t="s">
        <v>177</v>
      </c>
      <c r="C411" t="s">
        <v>176</v>
      </c>
      <c r="D411" t="s">
        <v>21</v>
      </c>
      <c r="E411">
        <v>0</v>
      </c>
      <c r="F411">
        <v>0</v>
      </c>
      <c r="G411">
        <v>0</v>
      </c>
      <c r="H411">
        <v>7.3650000000000002</v>
      </c>
      <c r="I411">
        <v>2.4729999999999999</v>
      </c>
      <c r="J411">
        <v>4.9390000000000001</v>
      </c>
      <c r="K411">
        <v>1.1890000000000001</v>
      </c>
      <c r="L411">
        <v>1.173</v>
      </c>
      <c r="M411">
        <v>2.633</v>
      </c>
      <c r="N411">
        <v>2.5009999999999999</v>
      </c>
      <c r="O411">
        <v>1.86</v>
      </c>
      <c r="P411">
        <v>2.0950000000000002</v>
      </c>
      <c r="Q411">
        <v>15.529</v>
      </c>
    </row>
    <row r="412" spans="1:18" x14ac:dyDescent="0.2">
      <c r="A412" t="s">
        <v>169</v>
      </c>
      <c r="B412" t="s">
        <v>177</v>
      </c>
      <c r="C412" t="s">
        <v>176</v>
      </c>
      <c r="D412" t="s">
        <v>21</v>
      </c>
      <c r="E412">
        <v>0</v>
      </c>
      <c r="F412">
        <v>0</v>
      </c>
      <c r="G412">
        <v>0</v>
      </c>
      <c r="H412">
        <v>6.8650000000000002</v>
      </c>
      <c r="I412">
        <v>2.2440000000000002</v>
      </c>
      <c r="J412">
        <v>4.5190000000000001</v>
      </c>
      <c r="K412">
        <v>1.349</v>
      </c>
      <c r="L412">
        <v>1.2789999999999999</v>
      </c>
      <c r="M412">
        <v>2.617</v>
      </c>
      <c r="N412">
        <v>2.8580000000000001</v>
      </c>
      <c r="O412">
        <v>1.927</v>
      </c>
      <c r="P412">
        <v>2.6080000000000001</v>
      </c>
      <c r="Q412">
        <v>11.706</v>
      </c>
    </row>
    <row r="413" spans="1:18" x14ac:dyDescent="0.2">
      <c r="A413" t="s">
        <v>169</v>
      </c>
      <c r="B413" t="s">
        <v>178</v>
      </c>
      <c r="C413" t="s">
        <v>176</v>
      </c>
      <c r="D413" t="s">
        <v>21</v>
      </c>
      <c r="E413">
        <v>0</v>
      </c>
      <c r="F413">
        <v>0</v>
      </c>
      <c r="G413">
        <v>0</v>
      </c>
      <c r="H413">
        <v>3.363</v>
      </c>
      <c r="I413">
        <v>1.389</v>
      </c>
      <c r="J413">
        <v>4.601</v>
      </c>
      <c r="K413">
        <v>1.7150000000000001</v>
      </c>
      <c r="L413">
        <v>1.3360000000000001</v>
      </c>
      <c r="M413">
        <v>2.7669999999999999</v>
      </c>
      <c r="N413">
        <v>4.798</v>
      </c>
      <c r="O413">
        <v>3.53</v>
      </c>
      <c r="P413">
        <v>1.915</v>
      </c>
      <c r="Q413">
        <v>20.759</v>
      </c>
      <c r="R413">
        <v>583.36699999999996</v>
      </c>
    </row>
    <row r="414" spans="1:18" x14ac:dyDescent="0.2">
      <c r="A414" t="s">
        <v>169</v>
      </c>
      <c r="B414" t="s">
        <v>178</v>
      </c>
      <c r="C414" t="s">
        <v>176</v>
      </c>
      <c r="D414" t="s">
        <v>21</v>
      </c>
      <c r="E414">
        <v>0</v>
      </c>
      <c r="F414">
        <v>0</v>
      </c>
      <c r="G414">
        <v>0</v>
      </c>
      <c r="H414">
        <v>4.8390000000000004</v>
      </c>
      <c r="I414">
        <v>1.74</v>
      </c>
      <c r="J414">
        <v>5.3890000000000002</v>
      </c>
      <c r="K414">
        <v>2.1970000000000001</v>
      </c>
      <c r="L414">
        <v>1.5469999999999999</v>
      </c>
      <c r="M414">
        <v>2.552</v>
      </c>
      <c r="N414">
        <v>4.8620000000000001</v>
      </c>
      <c r="O414">
        <v>3.4049999999999998</v>
      </c>
      <c r="P414">
        <v>3.1869999999999998</v>
      </c>
      <c r="Q414">
        <v>15.48</v>
      </c>
      <c r="R414">
        <v>638.92700000000002</v>
      </c>
    </row>
    <row r="415" spans="1:18" x14ac:dyDescent="0.2">
      <c r="A415" t="s">
        <v>169</v>
      </c>
      <c r="B415" t="s">
        <v>178</v>
      </c>
      <c r="C415" t="s">
        <v>176</v>
      </c>
      <c r="D415" t="s">
        <v>21</v>
      </c>
      <c r="E415">
        <v>0</v>
      </c>
      <c r="F415">
        <v>0</v>
      </c>
      <c r="G415">
        <v>0</v>
      </c>
      <c r="H415">
        <v>4.1029999999999998</v>
      </c>
      <c r="I415">
        <v>1.9379999999999999</v>
      </c>
      <c r="J415">
        <v>4.9589999999999996</v>
      </c>
      <c r="K415">
        <v>1.2729999999999999</v>
      </c>
      <c r="L415">
        <v>0.96399999999999997</v>
      </c>
      <c r="M415">
        <v>2.44</v>
      </c>
      <c r="N415">
        <v>5.2750000000000004</v>
      </c>
      <c r="O415">
        <v>3.177</v>
      </c>
      <c r="P415">
        <v>2.2120000000000002</v>
      </c>
      <c r="Q415">
        <v>13.776999999999999</v>
      </c>
    </row>
    <row r="416" spans="1:18" x14ac:dyDescent="0.2">
      <c r="A416" t="s">
        <v>169</v>
      </c>
      <c r="B416" t="s">
        <v>179</v>
      </c>
      <c r="C416" t="s">
        <v>180</v>
      </c>
      <c r="D416" t="s">
        <v>24</v>
      </c>
      <c r="E416">
        <v>0</v>
      </c>
      <c r="F416">
        <v>0</v>
      </c>
      <c r="G416">
        <v>0</v>
      </c>
      <c r="H416">
        <v>3.0870000000000002</v>
      </c>
      <c r="I416">
        <v>1.78</v>
      </c>
      <c r="J416">
        <v>6.0410000000000004</v>
      </c>
      <c r="K416">
        <v>1.9710000000000001</v>
      </c>
      <c r="L416">
        <v>1.0029999999999999</v>
      </c>
      <c r="M416">
        <v>3.0009999999999999</v>
      </c>
      <c r="N416">
        <v>2.5950000000000002</v>
      </c>
      <c r="O416">
        <v>2.52</v>
      </c>
      <c r="P416">
        <v>2.6389999999999998</v>
      </c>
      <c r="Q416">
        <v>5.3140000000000001</v>
      </c>
      <c r="R416">
        <v>624.73</v>
      </c>
    </row>
    <row r="417" spans="1:18" x14ac:dyDescent="0.2">
      <c r="A417" t="s">
        <v>169</v>
      </c>
      <c r="B417" t="s">
        <v>179</v>
      </c>
      <c r="C417" t="s">
        <v>180</v>
      </c>
      <c r="D417" t="s">
        <v>21</v>
      </c>
      <c r="E417">
        <v>0</v>
      </c>
      <c r="F417">
        <v>0</v>
      </c>
      <c r="G417">
        <v>0</v>
      </c>
      <c r="H417">
        <v>3.08</v>
      </c>
      <c r="I417">
        <v>1.9790000000000001</v>
      </c>
      <c r="J417">
        <v>5.9489999999999998</v>
      </c>
      <c r="K417">
        <v>1.3660000000000001</v>
      </c>
      <c r="L417">
        <v>1.194</v>
      </c>
      <c r="M417">
        <v>3.319</v>
      </c>
      <c r="N417">
        <v>2.2719999999999998</v>
      </c>
      <c r="O417">
        <v>2.7490000000000001</v>
      </c>
      <c r="P417">
        <v>3.9119999999999999</v>
      </c>
      <c r="Q417">
        <v>13.734</v>
      </c>
      <c r="R417">
        <v>466.15899999999999</v>
      </c>
    </row>
    <row r="418" spans="1:18" x14ac:dyDescent="0.2">
      <c r="A418" t="s">
        <v>169</v>
      </c>
      <c r="B418" t="s">
        <v>179</v>
      </c>
      <c r="C418" t="s">
        <v>180</v>
      </c>
      <c r="D418" t="s">
        <v>21</v>
      </c>
      <c r="E418">
        <v>0</v>
      </c>
      <c r="F418">
        <v>0</v>
      </c>
      <c r="G418">
        <v>0</v>
      </c>
      <c r="H418">
        <v>3.0310000000000001</v>
      </c>
      <c r="I418">
        <v>1.716</v>
      </c>
      <c r="J418">
        <v>5.3440000000000003</v>
      </c>
      <c r="K418">
        <v>1.143</v>
      </c>
      <c r="L418">
        <v>1.1160000000000001</v>
      </c>
      <c r="M418">
        <v>3.24</v>
      </c>
      <c r="N418">
        <v>3.7610000000000001</v>
      </c>
      <c r="O418">
        <v>3.0920000000000001</v>
      </c>
      <c r="P418">
        <v>4.101</v>
      </c>
      <c r="Q418">
        <v>11.6</v>
      </c>
      <c r="R418">
        <v>777.20100000000002</v>
      </c>
    </row>
    <row r="419" spans="1:18" x14ac:dyDescent="0.2">
      <c r="A419" t="s">
        <v>169</v>
      </c>
      <c r="B419" t="s">
        <v>181</v>
      </c>
      <c r="C419" t="s">
        <v>180</v>
      </c>
      <c r="D419" t="s">
        <v>21</v>
      </c>
      <c r="E419">
        <v>0</v>
      </c>
      <c r="F419">
        <v>0</v>
      </c>
      <c r="G419">
        <v>0</v>
      </c>
      <c r="H419">
        <v>7.3630000000000004</v>
      </c>
      <c r="I419">
        <v>3.0659999999999998</v>
      </c>
      <c r="J419">
        <v>5.0519999999999996</v>
      </c>
      <c r="K419">
        <v>1.968</v>
      </c>
      <c r="L419">
        <v>1.9359999999999999</v>
      </c>
      <c r="M419">
        <v>2.5720000000000001</v>
      </c>
      <c r="N419">
        <v>4.3369999999999997</v>
      </c>
      <c r="O419">
        <v>3.464</v>
      </c>
      <c r="P419">
        <v>4.1050000000000004</v>
      </c>
      <c r="Q419">
        <v>13.819000000000001</v>
      </c>
    </row>
    <row r="420" spans="1:18" x14ac:dyDescent="0.2">
      <c r="A420" t="s">
        <v>169</v>
      </c>
      <c r="B420" t="s">
        <v>181</v>
      </c>
      <c r="C420" t="s">
        <v>180</v>
      </c>
      <c r="D420" t="s">
        <v>21</v>
      </c>
      <c r="E420">
        <v>0</v>
      </c>
      <c r="F420">
        <v>0</v>
      </c>
      <c r="G420">
        <v>0</v>
      </c>
      <c r="H420">
        <v>5.6840000000000002</v>
      </c>
      <c r="I420">
        <v>2.7610000000000001</v>
      </c>
      <c r="J420">
        <v>5.7229999999999999</v>
      </c>
      <c r="K420">
        <v>1.159</v>
      </c>
      <c r="L420">
        <v>1.1399999999999999</v>
      </c>
      <c r="M420">
        <v>3.169</v>
      </c>
      <c r="N420">
        <v>4.0350000000000001</v>
      </c>
      <c r="O420">
        <v>4.7670000000000003</v>
      </c>
      <c r="P420">
        <v>2.0910000000000002</v>
      </c>
      <c r="Q420">
        <v>10.798999999999999</v>
      </c>
    </row>
    <row r="421" spans="1:18" x14ac:dyDescent="0.2">
      <c r="A421" t="s">
        <v>169</v>
      </c>
      <c r="B421" t="s">
        <v>181</v>
      </c>
      <c r="C421" t="s">
        <v>180</v>
      </c>
      <c r="D421" t="s">
        <v>21</v>
      </c>
      <c r="E421">
        <v>0</v>
      </c>
      <c r="F421">
        <v>0</v>
      </c>
      <c r="G421">
        <v>0</v>
      </c>
      <c r="H421">
        <v>10.962999999999999</v>
      </c>
      <c r="I421">
        <v>5.41</v>
      </c>
      <c r="J421">
        <v>4.9969999999999999</v>
      </c>
      <c r="K421">
        <v>1.52</v>
      </c>
      <c r="L421">
        <v>1.1359999999999999</v>
      </c>
      <c r="M421">
        <v>2.4790000000000001</v>
      </c>
      <c r="N421">
        <v>4.5010000000000003</v>
      </c>
      <c r="O421">
        <v>5.3680000000000003</v>
      </c>
      <c r="P421">
        <v>3.7639999999999998</v>
      </c>
    </row>
    <row r="422" spans="1:18" x14ac:dyDescent="0.2">
      <c r="A422" t="s">
        <v>169</v>
      </c>
      <c r="B422" t="s">
        <v>182</v>
      </c>
      <c r="C422" t="s">
        <v>180</v>
      </c>
      <c r="E422">
        <v>0</v>
      </c>
      <c r="F422">
        <v>0</v>
      </c>
      <c r="G422">
        <v>0</v>
      </c>
      <c r="H422">
        <v>5.05</v>
      </c>
      <c r="I422">
        <v>1.929</v>
      </c>
      <c r="J422">
        <v>7.08</v>
      </c>
      <c r="K422">
        <v>1.8120000000000001</v>
      </c>
      <c r="L422">
        <v>1.246</v>
      </c>
      <c r="M422">
        <v>4.2619999999999996</v>
      </c>
      <c r="N422">
        <v>2.3199999999999998</v>
      </c>
      <c r="O422">
        <v>2.008</v>
      </c>
      <c r="P422">
        <v>1.1930000000000001</v>
      </c>
      <c r="Q422">
        <v>15.382</v>
      </c>
      <c r="R422">
        <v>715.05200000000002</v>
      </c>
    </row>
    <row r="423" spans="1:18" x14ac:dyDescent="0.2">
      <c r="A423" t="s">
        <v>169</v>
      </c>
      <c r="B423" t="s">
        <v>182</v>
      </c>
      <c r="C423" t="s">
        <v>180</v>
      </c>
      <c r="E423">
        <v>0</v>
      </c>
      <c r="F423">
        <v>0</v>
      </c>
      <c r="G423">
        <v>0</v>
      </c>
      <c r="H423">
        <v>7.3170000000000002</v>
      </c>
      <c r="I423">
        <v>3.09</v>
      </c>
      <c r="J423">
        <v>5.0819999999999999</v>
      </c>
      <c r="K423">
        <v>2.593</v>
      </c>
      <c r="L423">
        <v>2.3460000000000001</v>
      </c>
      <c r="M423">
        <v>2.0910000000000002</v>
      </c>
      <c r="N423">
        <v>2.1349999999999998</v>
      </c>
      <c r="O423">
        <v>1.601</v>
      </c>
      <c r="P423">
        <v>1.978</v>
      </c>
      <c r="Q423">
        <v>18.905999999999999</v>
      </c>
      <c r="R423">
        <v>643.12800000000004</v>
      </c>
    </row>
    <row r="424" spans="1:18" x14ac:dyDescent="0.2">
      <c r="A424" t="s">
        <v>169</v>
      </c>
      <c r="B424" t="s">
        <v>182</v>
      </c>
      <c r="C424" t="s">
        <v>180</v>
      </c>
      <c r="E424">
        <v>0</v>
      </c>
      <c r="F424">
        <v>0</v>
      </c>
      <c r="G424">
        <v>0</v>
      </c>
      <c r="H424">
        <v>5.8490000000000002</v>
      </c>
      <c r="I424">
        <v>1.6879999999999999</v>
      </c>
      <c r="J424">
        <v>4.9749999999999996</v>
      </c>
      <c r="K424">
        <v>2.8460000000000001</v>
      </c>
      <c r="L424">
        <v>2.202</v>
      </c>
      <c r="M424">
        <v>2.2599999999999998</v>
      </c>
      <c r="N424">
        <v>1.9390000000000001</v>
      </c>
      <c r="O424">
        <v>1.796</v>
      </c>
      <c r="P424">
        <v>4.1440000000000001</v>
      </c>
      <c r="Q424">
        <v>12.096</v>
      </c>
      <c r="R424">
        <v>628.04</v>
      </c>
    </row>
    <row r="425" spans="1:18" x14ac:dyDescent="0.2">
      <c r="A425" t="s">
        <v>127</v>
      </c>
      <c r="B425" t="s">
        <v>183</v>
      </c>
      <c r="C425" t="s">
        <v>184</v>
      </c>
      <c r="D425" t="s">
        <v>21</v>
      </c>
      <c r="E425">
        <v>0</v>
      </c>
      <c r="F425">
        <v>0</v>
      </c>
      <c r="G425">
        <v>0</v>
      </c>
      <c r="H425">
        <v>3.2570000000000001</v>
      </c>
      <c r="I425">
        <v>1.143</v>
      </c>
      <c r="R425">
        <v>493.50900000000001</v>
      </c>
    </row>
    <row r="426" spans="1:18" x14ac:dyDescent="0.2">
      <c r="A426" t="s">
        <v>127</v>
      </c>
      <c r="B426" t="s">
        <v>183</v>
      </c>
      <c r="C426" t="s">
        <v>184</v>
      </c>
      <c r="D426" t="s">
        <v>21</v>
      </c>
      <c r="E426">
        <v>0</v>
      </c>
      <c r="F426">
        <v>0</v>
      </c>
      <c r="G426">
        <v>0</v>
      </c>
      <c r="H426">
        <v>2.677</v>
      </c>
      <c r="I426">
        <v>1.123</v>
      </c>
    </row>
    <row r="427" spans="1:18" x14ac:dyDescent="0.2">
      <c r="A427" t="s">
        <v>127</v>
      </c>
      <c r="B427" t="s">
        <v>183</v>
      </c>
      <c r="C427" t="s">
        <v>184</v>
      </c>
      <c r="D427" t="s">
        <v>21</v>
      </c>
      <c r="E427">
        <v>0</v>
      </c>
      <c r="F427">
        <v>0</v>
      </c>
      <c r="G427">
        <v>0</v>
      </c>
      <c r="H427">
        <v>2.7970000000000002</v>
      </c>
      <c r="I427">
        <v>1.5629999999999999</v>
      </c>
    </row>
    <row r="428" spans="1:18" x14ac:dyDescent="0.2">
      <c r="A428" t="s">
        <v>127</v>
      </c>
      <c r="B428" t="s">
        <v>185</v>
      </c>
      <c r="C428" t="s">
        <v>129</v>
      </c>
      <c r="D428" t="s">
        <v>21</v>
      </c>
      <c r="E428">
        <v>1.23</v>
      </c>
      <c r="F428">
        <v>0.95699999999999996</v>
      </c>
      <c r="G428">
        <v>0</v>
      </c>
      <c r="H428">
        <v>4.12</v>
      </c>
      <c r="I428">
        <v>1.7170000000000001</v>
      </c>
      <c r="R428">
        <v>673.57399999999996</v>
      </c>
    </row>
    <row r="429" spans="1:18" x14ac:dyDescent="0.2">
      <c r="A429" t="s">
        <v>127</v>
      </c>
      <c r="B429" t="s">
        <v>185</v>
      </c>
      <c r="C429" t="s">
        <v>129</v>
      </c>
      <c r="D429" t="s">
        <v>21</v>
      </c>
      <c r="E429">
        <v>1.44</v>
      </c>
      <c r="F429">
        <v>0.63</v>
      </c>
      <c r="G429">
        <v>0</v>
      </c>
      <c r="H429">
        <v>6.2279999999999998</v>
      </c>
      <c r="I429">
        <v>2.282</v>
      </c>
    </row>
    <row r="430" spans="1:18" x14ac:dyDescent="0.2">
      <c r="A430" t="s">
        <v>127</v>
      </c>
      <c r="B430" t="s">
        <v>185</v>
      </c>
      <c r="C430" t="s">
        <v>129</v>
      </c>
      <c r="D430" t="s">
        <v>21</v>
      </c>
      <c r="E430">
        <v>0.98799999999999999</v>
      </c>
      <c r="F430">
        <v>0.93400000000000005</v>
      </c>
      <c r="G430">
        <v>0</v>
      </c>
      <c r="H430">
        <v>5.9349999999999996</v>
      </c>
      <c r="I430">
        <v>2.899</v>
      </c>
    </row>
    <row r="431" spans="1:18" x14ac:dyDescent="0.2">
      <c r="A431" t="s">
        <v>127</v>
      </c>
      <c r="B431" t="s">
        <v>186</v>
      </c>
      <c r="C431" t="s">
        <v>187</v>
      </c>
      <c r="D431" t="s">
        <v>21</v>
      </c>
      <c r="E431">
        <v>1.0920000000000001</v>
      </c>
      <c r="F431">
        <v>0.626</v>
      </c>
      <c r="G431">
        <v>0</v>
      </c>
      <c r="H431">
        <v>4.8819999999999997</v>
      </c>
      <c r="I431">
        <v>1.9690000000000001</v>
      </c>
      <c r="P431">
        <v>1.702</v>
      </c>
      <c r="R431">
        <v>390.524</v>
      </c>
    </row>
    <row r="432" spans="1:18" x14ac:dyDescent="0.2">
      <c r="A432" t="s">
        <v>127</v>
      </c>
      <c r="B432" t="s">
        <v>186</v>
      </c>
      <c r="C432" t="s">
        <v>187</v>
      </c>
      <c r="D432" t="s">
        <v>21</v>
      </c>
      <c r="E432">
        <v>1.175</v>
      </c>
      <c r="F432">
        <v>0.437</v>
      </c>
      <c r="G432">
        <v>0</v>
      </c>
      <c r="H432">
        <v>4.766</v>
      </c>
      <c r="I432">
        <v>2.6070000000000002</v>
      </c>
      <c r="P432">
        <v>2.2509999999999999</v>
      </c>
    </row>
    <row r="433" spans="1:18" x14ac:dyDescent="0.2">
      <c r="A433" t="s">
        <v>127</v>
      </c>
      <c r="B433" t="s">
        <v>186</v>
      </c>
      <c r="C433" t="s">
        <v>187</v>
      </c>
      <c r="D433" t="s">
        <v>21</v>
      </c>
      <c r="E433">
        <v>0.879</v>
      </c>
      <c r="F433">
        <v>0.84699999999999998</v>
      </c>
      <c r="G433">
        <v>0</v>
      </c>
      <c r="H433">
        <v>3.048</v>
      </c>
      <c r="I433">
        <v>1.857</v>
      </c>
      <c r="P433">
        <v>1.1659999999999999</v>
      </c>
    </row>
    <row r="434" spans="1:18" x14ac:dyDescent="0.2">
      <c r="A434" t="s">
        <v>127</v>
      </c>
      <c r="B434" t="s">
        <v>188</v>
      </c>
      <c r="C434" t="s">
        <v>187</v>
      </c>
      <c r="D434" t="s">
        <v>21</v>
      </c>
      <c r="E434">
        <v>1.0920000000000001</v>
      </c>
      <c r="F434">
        <v>0.76600000000000001</v>
      </c>
      <c r="G434">
        <v>0</v>
      </c>
      <c r="H434">
        <v>9.3859999999999992</v>
      </c>
      <c r="I434">
        <v>2.9540000000000002</v>
      </c>
      <c r="J434">
        <v>8.0359999999999996</v>
      </c>
      <c r="K434">
        <v>3.6440000000000001</v>
      </c>
      <c r="L434">
        <v>3.19</v>
      </c>
      <c r="M434">
        <v>3.25</v>
      </c>
      <c r="N434">
        <v>1.992</v>
      </c>
      <c r="O434">
        <v>1.0109999999999999</v>
      </c>
      <c r="P434">
        <v>2.1989999999999998</v>
      </c>
      <c r="Q434">
        <v>3.8260000000000001</v>
      </c>
      <c r="R434">
        <v>609.67999999999995</v>
      </c>
    </row>
    <row r="435" spans="1:18" x14ac:dyDescent="0.2">
      <c r="A435" t="s">
        <v>127</v>
      </c>
      <c r="B435" t="s">
        <v>188</v>
      </c>
      <c r="C435" t="s">
        <v>187</v>
      </c>
      <c r="D435" t="s">
        <v>21</v>
      </c>
      <c r="E435">
        <v>1.6850000000000001</v>
      </c>
      <c r="F435">
        <v>0.745</v>
      </c>
      <c r="G435">
        <v>0</v>
      </c>
      <c r="H435">
        <v>8.6530000000000005</v>
      </c>
      <c r="I435">
        <v>3.3719999999999999</v>
      </c>
      <c r="J435">
        <v>6.9749999999999996</v>
      </c>
      <c r="K435">
        <v>3.794</v>
      </c>
      <c r="L435">
        <v>2.0449999999999999</v>
      </c>
      <c r="M435">
        <v>3.1040000000000001</v>
      </c>
      <c r="N435">
        <v>1.88</v>
      </c>
      <c r="O435">
        <v>0.432</v>
      </c>
      <c r="P435">
        <v>1.2629999999999999</v>
      </c>
      <c r="Q435">
        <v>8.4239999999999995</v>
      </c>
    </row>
    <row r="436" spans="1:18" x14ac:dyDescent="0.2">
      <c r="A436" t="s">
        <v>127</v>
      </c>
      <c r="B436" t="s">
        <v>188</v>
      </c>
      <c r="C436" t="s">
        <v>187</v>
      </c>
      <c r="D436" t="s">
        <v>21</v>
      </c>
      <c r="E436">
        <v>0.95899999999999996</v>
      </c>
      <c r="F436">
        <v>0.71699999999999997</v>
      </c>
      <c r="G436">
        <v>0</v>
      </c>
      <c r="H436">
        <v>5.1159999999999997</v>
      </c>
      <c r="I436">
        <v>2.302</v>
      </c>
      <c r="N436">
        <v>1.036</v>
      </c>
      <c r="O436">
        <v>1.1100000000000001</v>
      </c>
      <c r="P436">
        <v>1.2110000000000001</v>
      </c>
      <c r="Q436">
        <v>4.008</v>
      </c>
    </row>
    <row r="437" spans="1:18" x14ac:dyDescent="0.2">
      <c r="A437" t="s">
        <v>127</v>
      </c>
      <c r="B437" t="s">
        <v>189</v>
      </c>
      <c r="C437" t="s">
        <v>190</v>
      </c>
      <c r="D437" t="s">
        <v>21</v>
      </c>
      <c r="E437">
        <v>1.052</v>
      </c>
      <c r="F437">
        <v>0.79</v>
      </c>
      <c r="G437">
        <v>0</v>
      </c>
      <c r="H437">
        <v>2.6640000000000001</v>
      </c>
      <c r="I437">
        <v>0.86299999999999999</v>
      </c>
      <c r="P437">
        <v>1.8540000000000001</v>
      </c>
      <c r="Q437">
        <v>9.5709999999999997</v>
      </c>
      <c r="R437">
        <v>340.86</v>
      </c>
    </row>
    <row r="438" spans="1:18" x14ac:dyDescent="0.2">
      <c r="A438" t="s">
        <v>127</v>
      </c>
      <c r="B438" t="s">
        <v>189</v>
      </c>
      <c r="C438" t="s">
        <v>190</v>
      </c>
      <c r="D438" t="s">
        <v>21</v>
      </c>
      <c r="E438">
        <v>1.087</v>
      </c>
      <c r="F438">
        <v>0.75700000000000001</v>
      </c>
      <c r="G438">
        <v>0</v>
      </c>
      <c r="H438">
        <v>2.19</v>
      </c>
      <c r="I438">
        <v>1.099</v>
      </c>
      <c r="P438">
        <v>2.6829999999999998</v>
      </c>
      <c r="Q438">
        <v>7.0670000000000002</v>
      </c>
      <c r="R438">
        <v>415.27699999999999</v>
      </c>
    </row>
    <row r="439" spans="1:18" x14ac:dyDescent="0.2">
      <c r="A439" t="s">
        <v>127</v>
      </c>
      <c r="B439" t="s">
        <v>189</v>
      </c>
      <c r="C439" t="s">
        <v>190</v>
      </c>
      <c r="D439" t="s">
        <v>21</v>
      </c>
      <c r="E439">
        <v>0.94799999999999995</v>
      </c>
      <c r="F439">
        <v>0.72499999999999998</v>
      </c>
      <c r="G439">
        <v>0</v>
      </c>
      <c r="H439">
        <v>4.7919999999999998</v>
      </c>
      <c r="I439">
        <v>1.35</v>
      </c>
      <c r="P439">
        <v>4.5839999999999996</v>
      </c>
      <c r="Q439">
        <v>3.9849999999999999</v>
      </c>
    </row>
    <row r="440" spans="1:18" x14ac:dyDescent="0.2">
      <c r="A440" t="s">
        <v>127</v>
      </c>
      <c r="B440" t="s">
        <v>191</v>
      </c>
      <c r="C440" t="s">
        <v>192</v>
      </c>
      <c r="D440" t="s">
        <v>21</v>
      </c>
    </row>
    <row r="441" spans="1:18" x14ac:dyDescent="0.2">
      <c r="A441" t="s">
        <v>127</v>
      </c>
      <c r="B441" t="s">
        <v>191</v>
      </c>
      <c r="C441" t="s">
        <v>192</v>
      </c>
      <c r="D441" t="s">
        <v>21</v>
      </c>
    </row>
    <row r="442" spans="1:18" x14ac:dyDescent="0.2">
      <c r="A442" t="s">
        <v>127</v>
      </c>
      <c r="B442" t="s">
        <v>191</v>
      </c>
      <c r="C442" t="s">
        <v>192</v>
      </c>
      <c r="D442" t="s">
        <v>21</v>
      </c>
    </row>
    <row r="443" spans="1:18" x14ac:dyDescent="0.2">
      <c r="A443" t="s">
        <v>127</v>
      </c>
      <c r="B443" t="s">
        <v>193</v>
      </c>
      <c r="C443" t="s">
        <v>123</v>
      </c>
      <c r="E443">
        <v>1.482</v>
      </c>
      <c r="F443">
        <v>0.442</v>
      </c>
      <c r="G443">
        <v>0</v>
      </c>
      <c r="H443">
        <v>4.1130000000000004</v>
      </c>
      <c r="I443">
        <v>1.8149999999999999</v>
      </c>
      <c r="J443">
        <v>7.93</v>
      </c>
      <c r="K443">
        <v>5.2889999999999997</v>
      </c>
      <c r="L443">
        <v>3.9489999999999998</v>
      </c>
      <c r="M443">
        <v>5.5620000000000003</v>
      </c>
      <c r="N443">
        <v>1.895</v>
      </c>
      <c r="O443">
        <v>1.391</v>
      </c>
      <c r="P443">
        <v>2.5990000000000002</v>
      </c>
      <c r="Q443">
        <v>10.135999999999999</v>
      </c>
      <c r="R443">
        <v>391.72399999999999</v>
      </c>
    </row>
    <row r="444" spans="1:18" x14ac:dyDescent="0.2">
      <c r="A444" t="s">
        <v>127</v>
      </c>
      <c r="B444" t="s">
        <v>193</v>
      </c>
      <c r="C444" t="s">
        <v>123</v>
      </c>
      <c r="E444">
        <v>1.0640000000000001</v>
      </c>
      <c r="F444">
        <v>0.82599999999999996</v>
      </c>
      <c r="G444">
        <v>0</v>
      </c>
      <c r="H444">
        <v>2.258</v>
      </c>
      <c r="I444">
        <v>0.56899999999999995</v>
      </c>
      <c r="J444">
        <v>9.1419999999999995</v>
      </c>
      <c r="K444">
        <v>4.57</v>
      </c>
      <c r="L444">
        <v>3.1120000000000001</v>
      </c>
      <c r="M444">
        <v>5.0570000000000004</v>
      </c>
      <c r="N444">
        <v>2.1549999999999998</v>
      </c>
      <c r="O444">
        <v>0.89800000000000002</v>
      </c>
      <c r="P444">
        <v>2.4529999999999998</v>
      </c>
      <c r="Q444">
        <v>6.4320000000000004</v>
      </c>
      <c r="R444">
        <v>272.04700000000003</v>
      </c>
    </row>
    <row r="445" spans="1:18" x14ac:dyDescent="0.2">
      <c r="A445" t="s">
        <v>127</v>
      </c>
      <c r="B445" t="s">
        <v>193</v>
      </c>
      <c r="C445" t="s">
        <v>123</v>
      </c>
      <c r="E445">
        <v>0.93899999999999995</v>
      </c>
      <c r="F445">
        <v>0.92800000000000005</v>
      </c>
      <c r="G445">
        <v>0</v>
      </c>
      <c r="H445">
        <v>2.6259999999999999</v>
      </c>
      <c r="I445">
        <v>0.58799999999999997</v>
      </c>
      <c r="J445">
        <v>10.103999999999999</v>
      </c>
      <c r="K445">
        <v>4.5910000000000002</v>
      </c>
      <c r="L445">
        <v>3.6419999999999999</v>
      </c>
      <c r="M445">
        <v>5.266</v>
      </c>
      <c r="N445">
        <v>2.2570000000000001</v>
      </c>
      <c r="O445">
        <v>1.284</v>
      </c>
      <c r="P445">
        <v>2.778</v>
      </c>
      <c r="Q445">
        <v>7.3620000000000001</v>
      </c>
      <c r="R445">
        <v>547.47699999999998</v>
      </c>
    </row>
    <row r="446" spans="1:18" x14ac:dyDescent="0.2">
      <c r="A446" t="s">
        <v>127</v>
      </c>
      <c r="B446" t="s">
        <v>194</v>
      </c>
    </row>
    <row r="447" spans="1:18" x14ac:dyDescent="0.2">
      <c r="A447" t="s">
        <v>127</v>
      </c>
      <c r="B447" t="s">
        <v>195</v>
      </c>
      <c r="C447" t="s">
        <v>196</v>
      </c>
      <c r="E447">
        <v>0</v>
      </c>
      <c r="F447">
        <v>0</v>
      </c>
      <c r="G447">
        <v>0</v>
      </c>
      <c r="H447">
        <v>2.2400000000000002</v>
      </c>
      <c r="I447">
        <v>0.753</v>
      </c>
      <c r="J447">
        <v>2.7839999999999998</v>
      </c>
      <c r="K447">
        <v>3.3340000000000001</v>
      </c>
      <c r="L447">
        <v>1.827</v>
      </c>
      <c r="M447">
        <v>1.895</v>
      </c>
      <c r="N447">
        <v>1.52</v>
      </c>
      <c r="O447">
        <v>1.22</v>
      </c>
      <c r="P447">
        <v>1.5760000000000001</v>
      </c>
      <c r="Q447">
        <v>8.1059999999999999</v>
      </c>
      <c r="R447">
        <v>429.29300000000001</v>
      </c>
    </row>
    <row r="448" spans="1:18" x14ac:dyDescent="0.2">
      <c r="A448" t="s">
        <v>127</v>
      </c>
      <c r="B448" t="s">
        <v>195</v>
      </c>
      <c r="C448" t="s">
        <v>196</v>
      </c>
      <c r="E448">
        <v>0</v>
      </c>
      <c r="F448">
        <v>0</v>
      </c>
      <c r="G448">
        <v>0</v>
      </c>
      <c r="H448">
        <v>2.4620000000000002</v>
      </c>
      <c r="I448">
        <v>0.46800000000000003</v>
      </c>
      <c r="J448">
        <v>3.6579999999999999</v>
      </c>
      <c r="K448">
        <v>2.8210000000000002</v>
      </c>
      <c r="L448">
        <v>1.714</v>
      </c>
      <c r="M448">
        <v>1.653</v>
      </c>
      <c r="N448">
        <v>1.31</v>
      </c>
      <c r="P448">
        <v>2.4620000000000002</v>
      </c>
      <c r="Q448">
        <v>7.03</v>
      </c>
      <c r="R448">
        <v>455.90600000000001</v>
      </c>
    </row>
    <row r="449" spans="1:18" x14ac:dyDescent="0.2">
      <c r="A449" t="s">
        <v>127</v>
      </c>
      <c r="B449" t="s">
        <v>195</v>
      </c>
      <c r="C449" t="s">
        <v>196</v>
      </c>
      <c r="E449">
        <v>0</v>
      </c>
      <c r="F449">
        <v>0</v>
      </c>
      <c r="G449">
        <v>0</v>
      </c>
      <c r="H449">
        <v>1.7989999999999999</v>
      </c>
      <c r="I449">
        <v>0.46200000000000002</v>
      </c>
      <c r="J449">
        <v>4.5490000000000004</v>
      </c>
      <c r="K449">
        <v>1.655</v>
      </c>
      <c r="L449">
        <v>1.266</v>
      </c>
      <c r="M449">
        <v>2.5649999999999999</v>
      </c>
      <c r="N449">
        <v>1.1200000000000001</v>
      </c>
      <c r="P449">
        <v>2.2519999999999998</v>
      </c>
      <c r="Q449">
        <v>1.784</v>
      </c>
      <c r="R449">
        <v>369.08600000000001</v>
      </c>
    </row>
    <row r="450" spans="1:18" x14ac:dyDescent="0.2">
      <c r="A450" t="s">
        <v>127</v>
      </c>
      <c r="B450" t="s">
        <v>197</v>
      </c>
      <c r="C450" t="s">
        <v>129</v>
      </c>
      <c r="E450">
        <v>0.89900000000000002</v>
      </c>
      <c r="F450">
        <v>0.65300000000000002</v>
      </c>
      <c r="H450">
        <v>1.6379999999999999</v>
      </c>
      <c r="I450">
        <v>0.316</v>
      </c>
      <c r="J450">
        <v>7.0259999999999998</v>
      </c>
      <c r="K450">
        <v>3.9630000000000001</v>
      </c>
      <c r="L450">
        <v>3.2549999999999999</v>
      </c>
      <c r="M450">
        <v>2.8370000000000002</v>
      </c>
      <c r="N450">
        <v>3.0009999999999999</v>
      </c>
      <c r="O450">
        <v>2.4910000000000001</v>
      </c>
      <c r="P450">
        <v>4.149</v>
      </c>
      <c r="Q450">
        <v>9.2469999999999999</v>
      </c>
      <c r="R450">
        <v>342.9</v>
      </c>
    </row>
    <row r="451" spans="1:18" x14ac:dyDescent="0.2">
      <c r="A451" t="s">
        <v>127</v>
      </c>
      <c r="B451" t="s">
        <v>197</v>
      </c>
      <c r="C451" t="s">
        <v>129</v>
      </c>
      <c r="E451">
        <v>0.70699999999999996</v>
      </c>
      <c r="F451">
        <v>0.66</v>
      </c>
      <c r="H451">
        <v>1.0900000000000001</v>
      </c>
      <c r="I451">
        <v>0.46400000000000002</v>
      </c>
      <c r="P451">
        <v>2.4769999999999999</v>
      </c>
      <c r="Q451">
        <v>10.802</v>
      </c>
      <c r="R451">
        <v>401.62400000000002</v>
      </c>
    </row>
    <row r="452" spans="1:18" x14ac:dyDescent="0.2">
      <c r="A452" t="s">
        <v>127</v>
      </c>
      <c r="B452" t="s">
        <v>197</v>
      </c>
      <c r="C452" t="s">
        <v>129</v>
      </c>
      <c r="E452">
        <v>1.097</v>
      </c>
      <c r="F452">
        <v>1.0129999999999999</v>
      </c>
      <c r="H452">
        <v>2.2810000000000001</v>
      </c>
      <c r="I452">
        <v>0.46700000000000003</v>
      </c>
      <c r="J452">
        <v>5.4790000000000001</v>
      </c>
      <c r="K452">
        <v>3.774</v>
      </c>
      <c r="L452">
        <v>2.153</v>
      </c>
      <c r="M452">
        <v>2.8940000000000001</v>
      </c>
      <c r="N452">
        <v>3.8959999999999999</v>
      </c>
      <c r="O452">
        <v>2.6829999999999998</v>
      </c>
      <c r="P452">
        <v>2.6269999999999998</v>
      </c>
      <c r="Q452">
        <v>6.9169999999999998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03A-C41E-5E43-B251-3FDFCAF4DE59}">
  <dimension ref="A1:R34"/>
  <sheetViews>
    <sheetView workbookViewId="0">
      <selection sqref="A1:XFD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169</v>
      </c>
      <c r="B2" t="s">
        <v>170</v>
      </c>
      <c r="C2" t="s">
        <v>64</v>
      </c>
      <c r="D2" t="s">
        <v>21</v>
      </c>
      <c r="E2">
        <v>0</v>
      </c>
      <c r="F2">
        <v>0</v>
      </c>
      <c r="G2">
        <v>0</v>
      </c>
    </row>
    <row r="3" spans="1:18" x14ac:dyDescent="0.2">
      <c r="A3" t="s">
        <v>169</v>
      </c>
      <c r="B3" t="s">
        <v>170</v>
      </c>
      <c r="C3" t="s">
        <v>64</v>
      </c>
      <c r="D3" t="s">
        <v>21</v>
      </c>
      <c r="E3">
        <v>0</v>
      </c>
      <c r="F3">
        <v>0</v>
      </c>
      <c r="G3">
        <v>0</v>
      </c>
    </row>
    <row r="4" spans="1:18" x14ac:dyDescent="0.2">
      <c r="A4" t="s">
        <v>169</v>
      </c>
      <c r="B4" t="s">
        <v>170</v>
      </c>
      <c r="C4" t="s">
        <v>64</v>
      </c>
      <c r="D4" t="s">
        <v>21</v>
      </c>
      <c r="E4">
        <v>0</v>
      </c>
      <c r="F4">
        <v>0</v>
      </c>
      <c r="G4">
        <v>0</v>
      </c>
    </row>
    <row r="5" spans="1:18" x14ac:dyDescent="0.2">
      <c r="A5" t="s">
        <v>169</v>
      </c>
      <c r="B5" t="s">
        <v>171</v>
      </c>
      <c r="C5" t="s">
        <v>64</v>
      </c>
      <c r="D5" t="s">
        <v>21</v>
      </c>
      <c r="E5">
        <v>0</v>
      </c>
      <c r="F5">
        <v>0</v>
      </c>
      <c r="G5">
        <v>0</v>
      </c>
      <c r="H5">
        <v>4.3719999999999999</v>
      </c>
      <c r="I5">
        <v>2.371</v>
      </c>
      <c r="R5">
        <v>744.89599999999996</v>
      </c>
    </row>
    <row r="6" spans="1:18" x14ac:dyDescent="0.2">
      <c r="A6" t="s">
        <v>169</v>
      </c>
      <c r="B6" t="s">
        <v>171</v>
      </c>
      <c r="C6" t="s">
        <v>64</v>
      </c>
      <c r="E6">
        <v>0</v>
      </c>
      <c r="F6">
        <v>0</v>
      </c>
      <c r="G6">
        <v>0</v>
      </c>
      <c r="H6">
        <v>4.694</v>
      </c>
      <c r="I6">
        <v>2.1320000000000001</v>
      </c>
    </row>
    <row r="7" spans="1:18" x14ac:dyDescent="0.2">
      <c r="A7" t="s">
        <v>169</v>
      </c>
      <c r="B7" t="s">
        <v>171</v>
      </c>
      <c r="C7" t="s">
        <v>64</v>
      </c>
      <c r="E7">
        <v>0</v>
      </c>
      <c r="F7">
        <v>0</v>
      </c>
      <c r="G7">
        <v>0</v>
      </c>
      <c r="H7">
        <v>5.8049999999999997</v>
      </c>
      <c r="I7">
        <v>2.9489999999999998</v>
      </c>
    </row>
    <row r="8" spans="1:18" x14ac:dyDescent="0.2">
      <c r="A8" t="s">
        <v>169</v>
      </c>
      <c r="B8" t="s">
        <v>172</v>
      </c>
      <c r="C8" t="s">
        <v>27</v>
      </c>
      <c r="E8">
        <v>0</v>
      </c>
      <c r="F8">
        <v>0</v>
      </c>
      <c r="G8">
        <v>0</v>
      </c>
      <c r="H8">
        <v>4.4059999999999997</v>
      </c>
      <c r="I8">
        <v>0.93</v>
      </c>
      <c r="J8">
        <v>4.8079999999999998</v>
      </c>
      <c r="K8">
        <v>1.264</v>
      </c>
      <c r="L8">
        <v>0.96499999999999997</v>
      </c>
      <c r="M8">
        <v>3.1259999999999999</v>
      </c>
      <c r="N8">
        <v>3.42</v>
      </c>
      <c r="O8">
        <v>3.8130000000000002</v>
      </c>
      <c r="P8">
        <v>5.14</v>
      </c>
      <c r="Q8">
        <v>33.884999999999998</v>
      </c>
      <c r="R8">
        <v>656.654</v>
      </c>
    </row>
    <row r="9" spans="1:18" x14ac:dyDescent="0.2">
      <c r="A9" t="s">
        <v>169</v>
      </c>
      <c r="B9" t="s">
        <v>172</v>
      </c>
      <c r="C9" t="s">
        <v>27</v>
      </c>
      <c r="E9">
        <v>0</v>
      </c>
      <c r="F9">
        <v>0</v>
      </c>
      <c r="G9">
        <v>0</v>
      </c>
      <c r="H9">
        <v>5.0789999999999997</v>
      </c>
      <c r="I9">
        <v>1.8839999999999999</v>
      </c>
      <c r="J9">
        <v>3.875</v>
      </c>
      <c r="K9">
        <v>1.117</v>
      </c>
      <c r="L9">
        <v>1.0209999999999999</v>
      </c>
      <c r="M9">
        <v>2.6139999999999999</v>
      </c>
      <c r="N9">
        <v>3.3420000000000001</v>
      </c>
      <c r="O9">
        <v>2.5289999999999999</v>
      </c>
      <c r="P9">
        <v>4.8769999999999998</v>
      </c>
      <c r="Q9">
        <v>28.140999999999998</v>
      </c>
    </row>
    <row r="10" spans="1:18" x14ac:dyDescent="0.2">
      <c r="A10" t="s">
        <v>169</v>
      </c>
      <c r="B10" t="s">
        <v>172</v>
      </c>
      <c r="C10" t="s">
        <v>27</v>
      </c>
      <c r="E10">
        <v>0</v>
      </c>
      <c r="F10">
        <v>0</v>
      </c>
      <c r="G10">
        <v>0</v>
      </c>
      <c r="H10">
        <v>5.625</v>
      </c>
      <c r="I10">
        <v>1.518</v>
      </c>
      <c r="J10">
        <v>3.1819999999999999</v>
      </c>
      <c r="K10">
        <v>0.79200000000000004</v>
      </c>
      <c r="L10">
        <v>0.36399999999999999</v>
      </c>
      <c r="M10">
        <v>2.7509999999999999</v>
      </c>
      <c r="N10">
        <v>2.5099999999999998</v>
      </c>
      <c r="O10">
        <v>3.1819999999999999</v>
      </c>
      <c r="P10">
        <v>5.2389999999999999</v>
      </c>
      <c r="Q10">
        <v>24.856000000000002</v>
      </c>
    </row>
    <row r="11" spans="1:18" x14ac:dyDescent="0.2">
      <c r="A11" t="s">
        <v>169</v>
      </c>
      <c r="B11" t="s">
        <v>173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6.5259999999999998</v>
      </c>
      <c r="I11">
        <v>1.4590000000000001</v>
      </c>
      <c r="R11">
        <v>403.99099999999999</v>
      </c>
    </row>
    <row r="12" spans="1:18" x14ac:dyDescent="0.2">
      <c r="A12" t="s">
        <v>169</v>
      </c>
      <c r="B12" t="s">
        <v>173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6.718</v>
      </c>
      <c r="I12">
        <v>2.0659999999999998</v>
      </c>
    </row>
    <row r="13" spans="1:18" x14ac:dyDescent="0.2">
      <c r="A13" t="s">
        <v>169</v>
      </c>
      <c r="B13" t="s">
        <v>173</v>
      </c>
      <c r="C13" t="s">
        <v>27</v>
      </c>
      <c r="D13" t="s">
        <v>25</v>
      </c>
      <c r="E13">
        <v>0</v>
      </c>
      <c r="F13">
        <v>0</v>
      </c>
      <c r="G13">
        <v>0</v>
      </c>
      <c r="H13">
        <v>5.5780000000000003</v>
      </c>
      <c r="I13">
        <v>1.546</v>
      </c>
    </row>
    <row r="14" spans="1:18" x14ac:dyDescent="0.2">
      <c r="A14" t="s">
        <v>169</v>
      </c>
      <c r="B14" t="s">
        <v>174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6.5640000000000001</v>
      </c>
      <c r="I14">
        <v>3.5680000000000001</v>
      </c>
      <c r="Q14">
        <v>19.951000000000001</v>
      </c>
      <c r="R14">
        <v>780.05499999999995</v>
      </c>
    </row>
    <row r="15" spans="1:18" x14ac:dyDescent="0.2">
      <c r="A15" t="s">
        <v>169</v>
      </c>
      <c r="B15" t="s">
        <v>174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4.7830000000000004</v>
      </c>
      <c r="I15">
        <v>1.3049999999999999</v>
      </c>
      <c r="Q15">
        <v>14.801</v>
      </c>
    </row>
    <row r="16" spans="1:18" x14ac:dyDescent="0.2">
      <c r="A16" t="s">
        <v>169</v>
      </c>
      <c r="B16" t="s">
        <v>174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6.9550000000000001</v>
      </c>
      <c r="I16">
        <v>1.33</v>
      </c>
      <c r="Q16">
        <v>10.867000000000001</v>
      </c>
    </row>
    <row r="17" spans="1:18" x14ac:dyDescent="0.2">
      <c r="A17" t="s">
        <v>169</v>
      </c>
      <c r="B17" t="s">
        <v>175</v>
      </c>
      <c r="C17" t="s">
        <v>176</v>
      </c>
      <c r="D17" t="s">
        <v>21</v>
      </c>
      <c r="E17">
        <v>0</v>
      </c>
      <c r="F17">
        <v>0</v>
      </c>
      <c r="G17">
        <v>0</v>
      </c>
      <c r="H17">
        <v>2.15</v>
      </c>
      <c r="I17">
        <v>0.95099999999999996</v>
      </c>
      <c r="J17">
        <v>5.6929999999999996</v>
      </c>
      <c r="K17">
        <v>1.36</v>
      </c>
      <c r="L17">
        <v>0.71</v>
      </c>
      <c r="M17">
        <v>3.5110000000000001</v>
      </c>
      <c r="N17">
        <v>3.1190000000000002</v>
      </c>
      <c r="O17">
        <v>3.585</v>
      </c>
      <c r="P17">
        <v>5.5</v>
      </c>
      <c r="Q17">
        <v>36.57</v>
      </c>
      <c r="R17">
        <v>976.65599999999995</v>
      </c>
    </row>
    <row r="18" spans="1:18" x14ac:dyDescent="0.2">
      <c r="A18" t="s">
        <v>169</v>
      </c>
      <c r="B18" t="s">
        <v>175</v>
      </c>
      <c r="C18" t="s">
        <v>176</v>
      </c>
      <c r="D18" t="s">
        <v>21</v>
      </c>
      <c r="E18">
        <v>0</v>
      </c>
      <c r="F18">
        <v>0</v>
      </c>
      <c r="G18">
        <v>0</v>
      </c>
      <c r="H18">
        <v>2.0960000000000001</v>
      </c>
      <c r="I18">
        <v>1.2909999999999999</v>
      </c>
      <c r="J18">
        <v>4.7930000000000001</v>
      </c>
      <c r="K18">
        <v>1.274</v>
      </c>
      <c r="L18">
        <v>0.78500000000000003</v>
      </c>
      <c r="M18">
        <v>2.677</v>
      </c>
      <c r="N18">
        <v>2.8050000000000002</v>
      </c>
      <c r="O18">
        <v>3.2639999999999998</v>
      </c>
      <c r="P18">
        <v>4.0170000000000003</v>
      </c>
      <c r="Q18">
        <v>28.46</v>
      </c>
    </row>
    <row r="19" spans="1:18" x14ac:dyDescent="0.2">
      <c r="A19" t="s">
        <v>169</v>
      </c>
      <c r="B19" t="s">
        <v>175</v>
      </c>
      <c r="C19" t="s">
        <v>176</v>
      </c>
      <c r="D19" t="s">
        <v>21</v>
      </c>
      <c r="E19">
        <v>0</v>
      </c>
      <c r="F19">
        <v>0</v>
      </c>
      <c r="G19">
        <v>0</v>
      </c>
      <c r="H19">
        <v>2.0019999999999998</v>
      </c>
      <c r="I19">
        <v>1.085</v>
      </c>
      <c r="J19">
        <v>4.7619999999999996</v>
      </c>
      <c r="K19">
        <v>1.327</v>
      </c>
      <c r="L19">
        <v>1.0569999999999999</v>
      </c>
      <c r="M19">
        <v>2.6989999999999998</v>
      </c>
      <c r="N19">
        <v>2.4609999999999999</v>
      </c>
      <c r="O19">
        <v>3.7229999999999999</v>
      </c>
      <c r="P19">
        <v>4.9580000000000002</v>
      </c>
      <c r="Q19">
        <v>25.547999999999998</v>
      </c>
    </row>
    <row r="20" spans="1:18" x14ac:dyDescent="0.2">
      <c r="A20" t="s">
        <v>169</v>
      </c>
      <c r="B20" t="s">
        <v>177</v>
      </c>
      <c r="C20" t="s">
        <v>176</v>
      </c>
      <c r="D20" t="s">
        <v>21</v>
      </c>
      <c r="E20">
        <v>0</v>
      </c>
      <c r="F20">
        <v>0</v>
      </c>
      <c r="G20">
        <v>0</v>
      </c>
      <c r="H20">
        <v>3.0819999999999999</v>
      </c>
      <c r="I20">
        <v>1.254</v>
      </c>
      <c r="J20">
        <v>3.71</v>
      </c>
      <c r="K20">
        <v>1.548</v>
      </c>
      <c r="L20">
        <v>1.476</v>
      </c>
      <c r="M20">
        <v>2.4889999999999999</v>
      </c>
      <c r="N20">
        <v>2.9140000000000001</v>
      </c>
      <c r="O20">
        <v>1.9850000000000001</v>
      </c>
      <c r="P20">
        <v>3.0270000000000001</v>
      </c>
      <c r="Q20">
        <v>18.521000000000001</v>
      </c>
      <c r="R20">
        <v>810.52499999999998</v>
      </c>
    </row>
    <row r="21" spans="1:18" x14ac:dyDescent="0.2">
      <c r="A21" t="s">
        <v>169</v>
      </c>
      <c r="B21" t="s">
        <v>177</v>
      </c>
      <c r="C21" t="s">
        <v>176</v>
      </c>
      <c r="D21" t="s">
        <v>21</v>
      </c>
      <c r="E21">
        <v>0</v>
      </c>
      <c r="F21">
        <v>0</v>
      </c>
      <c r="G21">
        <v>0</v>
      </c>
      <c r="H21">
        <v>7.3650000000000002</v>
      </c>
      <c r="I21">
        <v>2.4729999999999999</v>
      </c>
      <c r="J21">
        <v>4.9390000000000001</v>
      </c>
      <c r="K21">
        <v>1.1890000000000001</v>
      </c>
      <c r="L21">
        <v>1.173</v>
      </c>
      <c r="M21">
        <v>2.633</v>
      </c>
      <c r="N21">
        <v>2.5009999999999999</v>
      </c>
      <c r="O21">
        <v>1.86</v>
      </c>
      <c r="P21">
        <v>2.0950000000000002</v>
      </c>
      <c r="Q21">
        <v>15.529</v>
      </c>
    </row>
    <row r="22" spans="1:18" x14ac:dyDescent="0.2">
      <c r="A22" t="s">
        <v>169</v>
      </c>
      <c r="B22" t="s">
        <v>177</v>
      </c>
      <c r="C22" t="s">
        <v>176</v>
      </c>
      <c r="D22" t="s">
        <v>21</v>
      </c>
      <c r="E22">
        <v>0</v>
      </c>
      <c r="F22">
        <v>0</v>
      </c>
      <c r="G22">
        <v>0</v>
      </c>
      <c r="H22">
        <v>6.8650000000000002</v>
      </c>
      <c r="I22">
        <v>2.2440000000000002</v>
      </c>
      <c r="J22">
        <v>4.5190000000000001</v>
      </c>
      <c r="K22">
        <v>1.349</v>
      </c>
      <c r="L22">
        <v>1.2789999999999999</v>
      </c>
      <c r="M22">
        <v>2.617</v>
      </c>
      <c r="N22">
        <v>2.8580000000000001</v>
      </c>
      <c r="O22">
        <v>1.927</v>
      </c>
      <c r="P22">
        <v>2.6080000000000001</v>
      </c>
      <c r="Q22">
        <v>11.706</v>
      </c>
    </row>
    <row r="23" spans="1:18" x14ac:dyDescent="0.2">
      <c r="A23" t="s">
        <v>169</v>
      </c>
      <c r="B23" t="s">
        <v>178</v>
      </c>
      <c r="C23" t="s">
        <v>176</v>
      </c>
      <c r="D23" t="s">
        <v>21</v>
      </c>
      <c r="E23">
        <v>0</v>
      </c>
      <c r="F23">
        <v>0</v>
      </c>
      <c r="G23">
        <v>0</v>
      </c>
      <c r="H23">
        <v>3.363</v>
      </c>
      <c r="I23">
        <v>1.389</v>
      </c>
      <c r="J23">
        <v>4.601</v>
      </c>
      <c r="K23">
        <v>1.7150000000000001</v>
      </c>
      <c r="L23">
        <v>1.3360000000000001</v>
      </c>
      <c r="M23">
        <v>2.7669999999999999</v>
      </c>
      <c r="N23">
        <v>4.798</v>
      </c>
      <c r="O23">
        <v>3.53</v>
      </c>
      <c r="P23">
        <v>1.915</v>
      </c>
      <c r="Q23">
        <v>20.759</v>
      </c>
      <c r="R23">
        <v>583.36699999999996</v>
      </c>
    </row>
    <row r="24" spans="1:18" x14ac:dyDescent="0.2">
      <c r="A24" t="s">
        <v>169</v>
      </c>
      <c r="B24" t="s">
        <v>178</v>
      </c>
      <c r="C24" t="s">
        <v>176</v>
      </c>
      <c r="D24" t="s">
        <v>21</v>
      </c>
      <c r="E24">
        <v>0</v>
      </c>
      <c r="F24">
        <v>0</v>
      </c>
      <c r="G24">
        <v>0</v>
      </c>
      <c r="H24">
        <v>4.8390000000000004</v>
      </c>
      <c r="I24">
        <v>1.74</v>
      </c>
      <c r="J24">
        <v>5.3890000000000002</v>
      </c>
      <c r="K24">
        <v>2.1970000000000001</v>
      </c>
      <c r="L24">
        <v>1.5469999999999999</v>
      </c>
      <c r="M24">
        <v>2.552</v>
      </c>
      <c r="N24">
        <v>4.8620000000000001</v>
      </c>
      <c r="O24">
        <v>3.4049999999999998</v>
      </c>
      <c r="P24">
        <v>3.1869999999999998</v>
      </c>
      <c r="Q24">
        <v>15.48</v>
      </c>
      <c r="R24">
        <v>638.92700000000002</v>
      </c>
    </row>
    <row r="25" spans="1:18" x14ac:dyDescent="0.2">
      <c r="A25" t="s">
        <v>169</v>
      </c>
      <c r="B25" t="s">
        <v>178</v>
      </c>
      <c r="C25" t="s">
        <v>176</v>
      </c>
      <c r="D25" t="s">
        <v>21</v>
      </c>
      <c r="E25">
        <v>0</v>
      </c>
      <c r="F25">
        <v>0</v>
      </c>
      <c r="G25">
        <v>0</v>
      </c>
      <c r="H25">
        <v>4.1029999999999998</v>
      </c>
      <c r="I25">
        <v>1.9379999999999999</v>
      </c>
      <c r="J25">
        <v>4.9589999999999996</v>
      </c>
      <c r="K25">
        <v>1.2729999999999999</v>
      </c>
      <c r="L25">
        <v>0.96399999999999997</v>
      </c>
      <c r="M25">
        <v>2.44</v>
      </c>
      <c r="N25">
        <v>5.2750000000000004</v>
      </c>
      <c r="O25">
        <v>3.177</v>
      </c>
      <c r="P25">
        <v>2.2120000000000002</v>
      </c>
      <c r="Q25">
        <v>13.776999999999999</v>
      </c>
    </row>
    <row r="26" spans="1:18" x14ac:dyDescent="0.2">
      <c r="A26" t="s">
        <v>169</v>
      </c>
      <c r="B26" t="s">
        <v>179</v>
      </c>
      <c r="C26" t="s">
        <v>180</v>
      </c>
      <c r="D26" t="s">
        <v>24</v>
      </c>
      <c r="E26">
        <v>0</v>
      </c>
      <c r="F26">
        <v>0</v>
      </c>
      <c r="G26">
        <v>0</v>
      </c>
      <c r="H26">
        <v>3.0870000000000002</v>
      </c>
      <c r="I26">
        <v>1.78</v>
      </c>
      <c r="J26">
        <v>6.0410000000000004</v>
      </c>
      <c r="K26">
        <v>1.9710000000000001</v>
      </c>
      <c r="L26">
        <v>1.0029999999999999</v>
      </c>
      <c r="M26">
        <v>3.0009999999999999</v>
      </c>
      <c r="N26">
        <v>2.5950000000000002</v>
      </c>
      <c r="O26">
        <v>2.52</v>
      </c>
      <c r="P26">
        <v>2.6389999999999998</v>
      </c>
      <c r="Q26">
        <v>5.3140000000000001</v>
      </c>
      <c r="R26">
        <v>624.73</v>
      </c>
    </row>
    <row r="27" spans="1:18" x14ac:dyDescent="0.2">
      <c r="A27" t="s">
        <v>169</v>
      </c>
      <c r="B27" t="s">
        <v>179</v>
      </c>
      <c r="C27" t="s">
        <v>180</v>
      </c>
      <c r="D27" t="s">
        <v>21</v>
      </c>
      <c r="E27">
        <v>0</v>
      </c>
      <c r="F27">
        <v>0</v>
      </c>
      <c r="G27">
        <v>0</v>
      </c>
      <c r="H27">
        <v>3.08</v>
      </c>
      <c r="I27">
        <v>1.9790000000000001</v>
      </c>
      <c r="J27">
        <v>5.9489999999999998</v>
      </c>
      <c r="K27">
        <v>1.3660000000000001</v>
      </c>
      <c r="L27">
        <v>1.194</v>
      </c>
      <c r="M27">
        <v>3.319</v>
      </c>
      <c r="N27">
        <v>2.2719999999999998</v>
      </c>
      <c r="O27">
        <v>2.7490000000000001</v>
      </c>
      <c r="P27">
        <v>3.9119999999999999</v>
      </c>
      <c r="Q27">
        <v>13.734</v>
      </c>
      <c r="R27">
        <v>466.15899999999999</v>
      </c>
    </row>
    <row r="28" spans="1:18" x14ac:dyDescent="0.2">
      <c r="A28" t="s">
        <v>169</v>
      </c>
      <c r="B28" t="s">
        <v>179</v>
      </c>
      <c r="C28" t="s">
        <v>180</v>
      </c>
      <c r="D28" t="s">
        <v>21</v>
      </c>
      <c r="E28">
        <v>0</v>
      </c>
      <c r="F28">
        <v>0</v>
      </c>
      <c r="G28">
        <v>0</v>
      </c>
      <c r="H28">
        <v>3.0310000000000001</v>
      </c>
      <c r="I28">
        <v>1.716</v>
      </c>
      <c r="J28">
        <v>5.3440000000000003</v>
      </c>
      <c r="K28">
        <v>1.143</v>
      </c>
      <c r="L28">
        <v>1.1160000000000001</v>
      </c>
      <c r="M28">
        <v>3.24</v>
      </c>
      <c r="N28">
        <v>3.7610000000000001</v>
      </c>
      <c r="O28">
        <v>3.0920000000000001</v>
      </c>
      <c r="P28">
        <v>4.101</v>
      </c>
      <c r="Q28">
        <v>11.6</v>
      </c>
      <c r="R28">
        <v>777.20100000000002</v>
      </c>
    </row>
    <row r="29" spans="1:18" x14ac:dyDescent="0.2">
      <c r="A29" t="s">
        <v>169</v>
      </c>
      <c r="B29" t="s">
        <v>181</v>
      </c>
      <c r="C29" t="s">
        <v>180</v>
      </c>
      <c r="D29" t="s">
        <v>21</v>
      </c>
      <c r="E29">
        <v>0</v>
      </c>
      <c r="F29">
        <v>0</v>
      </c>
      <c r="G29">
        <v>0</v>
      </c>
      <c r="H29">
        <v>7.3630000000000004</v>
      </c>
      <c r="I29">
        <v>3.0659999999999998</v>
      </c>
      <c r="J29">
        <v>5.0519999999999996</v>
      </c>
      <c r="K29">
        <v>1.968</v>
      </c>
      <c r="L29">
        <v>1.9359999999999999</v>
      </c>
      <c r="M29">
        <v>2.5720000000000001</v>
      </c>
      <c r="N29">
        <v>4.3369999999999997</v>
      </c>
      <c r="O29">
        <v>3.464</v>
      </c>
      <c r="P29">
        <v>4.1050000000000004</v>
      </c>
      <c r="Q29">
        <v>13.819000000000001</v>
      </c>
    </row>
    <row r="30" spans="1:18" x14ac:dyDescent="0.2">
      <c r="A30" t="s">
        <v>169</v>
      </c>
      <c r="B30" t="s">
        <v>181</v>
      </c>
      <c r="C30" t="s">
        <v>180</v>
      </c>
      <c r="D30" t="s">
        <v>21</v>
      </c>
      <c r="E30">
        <v>0</v>
      </c>
      <c r="F30">
        <v>0</v>
      </c>
      <c r="G30">
        <v>0</v>
      </c>
      <c r="H30">
        <v>5.6840000000000002</v>
      </c>
      <c r="I30">
        <v>2.7610000000000001</v>
      </c>
      <c r="J30">
        <v>5.7229999999999999</v>
      </c>
      <c r="K30">
        <v>1.159</v>
      </c>
      <c r="L30">
        <v>1.1399999999999999</v>
      </c>
      <c r="M30">
        <v>3.169</v>
      </c>
      <c r="N30">
        <v>4.0350000000000001</v>
      </c>
      <c r="O30">
        <v>4.7670000000000003</v>
      </c>
      <c r="P30">
        <v>2.0910000000000002</v>
      </c>
      <c r="Q30">
        <v>10.798999999999999</v>
      </c>
    </row>
    <row r="31" spans="1:18" x14ac:dyDescent="0.2">
      <c r="A31" t="s">
        <v>169</v>
      </c>
      <c r="B31" t="s">
        <v>181</v>
      </c>
      <c r="C31" t="s">
        <v>180</v>
      </c>
      <c r="D31" t="s">
        <v>21</v>
      </c>
      <c r="E31">
        <v>0</v>
      </c>
      <c r="F31">
        <v>0</v>
      </c>
      <c r="G31">
        <v>0</v>
      </c>
      <c r="H31">
        <v>10.962999999999999</v>
      </c>
      <c r="I31">
        <v>5.41</v>
      </c>
      <c r="J31">
        <v>4.9969999999999999</v>
      </c>
      <c r="K31">
        <v>1.52</v>
      </c>
      <c r="L31">
        <v>1.1359999999999999</v>
      </c>
      <c r="M31">
        <v>2.4790000000000001</v>
      </c>
      <c r="N31">
        <v>4.5010000000000003</v>
      </c>
      <c r="O31">
        <v>5.3680000000000003</v>
      </c>
      <c r="P31">
        <v>3.7639999999999998</v>
      </c>
    </row>
    <row r="32" spans="1:18" x14ac:dyDescent="0.2">
      <c r="A32" t="s">
        <v>169</v>
      </c>
      <c r="B32" t="s">
        <v>182</v>
      </c>
      <c r="C32" t="s">
        <v>180</v>
      </c>
      <c r="E32">
        <v>0</v>
      </c>
      <c r="F32">
        <v>0</v>
      </c>
      <c r="G32">
        <v>0</v>
      </c>
      <c r="H32">
        <v>5.05</v>
      </c>
      <c r="I32">
        <v>1.929</v>
      </c>
      <c r="J32">
        <v>7.08</v>
      </c>
      <c r="K32">
        <v>1.8120000000000001</v>
      </c>
      <c r="L32">
        <v>1.246</v>
      </c>
      <c r="M32">
        <v>4.2619999999999996</v>
      </c>
      <c r="N32">
        <v>2.3199999999999998</v>
      </c>
      <c r="O32">
        <v>2.008</v>
      </c>
      <c r="P32">
        <v>1.1930000000000001</v>
      </c>
      <c r="Q32">
        <v>15.382</v>
      </c>
      <c r="R32">
        <v>715.05200000000002</v>
      </c>
    </row>
    <row r="33" spans="1:18" x14ac:dyDescent="0.2">
      <c r="A33" t="s">
        <v>169</v>
      </c>
      <c r="B33" t="s">
        <v>182</v>
      </c>
      <c r="C33" t="s">
        <v>180</v>
      </c>
      <c r="E33">
        <v>0</v>
      </c>
      <c r="F33">
        <v>0</v>
      </c>
      <c r="G33">
        <v>0</v>
      </c>
      <c r="H33">
        <v>7.3170000000000002</v>
      </c>
      <c r="I33">
        <v>3.09</v>
      </c>
      <c r="J33">
        <v>5.0819999999999999</v>
      </c>
      <c r="K33">
        <v>2.593</v>
      </c>
      <c r="L33">
        <v>2.3460000000000001</v>
      </c>
      <c r="M33">
        <v>2.0910000000000002</v>
      </c>
      <c r="N33">
        <v>2.1349999999999998</v>
      </c>
      <c r="O33">
        <v>1.601</v>
      </c>
      <c r="P33">
        <v>1.978</v>
      </c>
      <c r="Q33">
        <v>18.905999999999999</v>
      </c>
      <c r="R33">
        <v>643.12800000000004</v>
      </c>
    </row>
    <row r="34" spans="1:18" x14ac:dyDescent="0.2">
      <c r="A34" t="s">
        <v>169</v>
      </c>
      <c r="B34" t="s">
        <v>182</v>
      </c>
      <c r="C34" t="s">
        <v>180</v>
      </c>
      <c r="E34">
        <v>0</v>
      </c>
      <c r="F34">
        <v>0</v>
      </c>
      <c r="G34">
        <v>0</v>
      </c>
      <c r="H34">
        <v>5.8490000000000002</v>
      </c>
      <c r="I34">
        <v>1.6879999999999999</v>
      </c>
      <c r="J34">
        <v>4.9749999999999996</v>
      </c>
      <c r="K34">
        <v>2.8460000000000001</v>
      </c>
      <c r="L34">
        <v>2.202</v>
      </c>
      <c r="M34">
        <v>2.2599999999999998</v>
      </c>
      <c r="N34">
        <v>1.9390000000000001</v>
      </c>
      <c r="O34">
        <v>1.796</v>
      </c>
      <c r="P34">
        <v>4.1440000000000001</v>
      </c>
      <c r="Q34">
        <v>12.096</v>
      </c>
      <c r="R34">
        <v>628.04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1D2F-99BD-8249-AF14-3D6791BF28B6}">
  <dimension ref="A1:R135"/>
  <sheetViews>
    <sheetView workbookViewId="0">
      <selection activeCell="G1" sqref="G1:G104857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130</v>
      </c>
      <c r="B2" t="s">
        <v>166</v>
      </c>
      <c r="C2" t="s">
        <v>54</v>
      </c>
      <c r="H2">
        <v>2.121</v>
      </c>
      <c r="I2">
        <v>0.441</v>
      </c>
      <c r="J2">
        <v>2.34</v>
      </c>
      <c r="K2">
        <v>1.278</v>
      </c>
      <c r="L2">
        <v>1.0960000000000001</v>
      </c>
      <c r="M2">
        <v>1.9370000000000001</v>
      </c>
      <c r="N2">
        <v>3.9329999999999998</v>
      </c>
      <c r="P2">
        <v>1.887</v>
      </c>
      <c r="Q2">
        <v>16.869</v>
      </c>
    </row>
    <row r="3" spans="1:18" x14ac:dyDescent="0.2">
      <c r="A3" t="s">
        <v>130</v>
      </c>
      <c r="B3" t="s">
        <v>152</v>
      </c>
      <c r="C3" t="s">
        <v>50</v>
      </c>
      <c r="E3">
        <v>2.39</v>
      </c>
      <c r="F3">
        <v>0.64100000000000001</v>
      </c>
      <c r="G3">
        <v>0.61199999999999999</v>
      </c>
      <c r="H3">
        <v>3.1280000000000001</v>
      </c>
      <c r="I3">
        <v>0.70199999999999996</v>
      </c>
      <c r="J3">
        <v>2.387</v>
      </c>
      <c r="K3">
        <v>1.0509999999999999</v>
      </c>
      <c r="L3">
        <v>0.89900000000000002</v>
      </c>
      <c r="M3">
        <v>1.6359999999999999</v>
      </c>
      <c r="N3">
        <v>3.992</v>
      </c>
      <c r="O3">
        <v>3.7210000000000001</v>
      </c>
      <c r="P3">
        <v>2.8940000000000001</v>
      </c>
      <c r="Q3">
        <v>17.984000000000002</v>
      </c>
      <c r="R3">
        <v>263.76400000000001</v>
      </c>
    </row>
    <row r="4" spans="1:18" x14ac:dyDescent="0.2">
      <c r="A4" t="s">
        <v>130</v>
      </c>
      <c r="B4" t="s">
        <v>153</v>
      </c>
      <c r="C4" t="s">
        <v>107</v>
      </c>
      <c r="E4">
        <v>1.6579999999999999</v>
      </c>
      <c r="F4">
        <v>0.92200000000000004</v>
      </c>
      <c r="G4">
        <v>0.67300000000000004</v>
      </c>
      <c r="H4">
        <v>3.097</v>
      </c>
      <c r="I4">
        <v>1.31</v>
      </c>
      <c r="J4">
        <v>2.504</v>
      </c>
      <c r="K4">
        <v>1.214</v>
      </c>
      <c r="L4">
        <v>0.94</v>
      </c>
      <c r="M4">
        <v>1.895</v>
      </c>
      <c r="P4">
        <v>1.984</v>
      </c>
      <c r="Q4">
        <v>22.645</v>
      </c>
    </row>
    <row r="5" spans="1:18" x14ac:dyDescent="0.2">
      <c r="A5" t="s">
        <v>130</v>
      </c>
      <c r="B5" t="s">
        <v>152</v>
      </c>
      <c r="C5" t="s">
        <v>50</v>
      </c>
      <c r="E5">
        <v>1.79</v>
      </c>
      <c r="F5">
        <v>0.78500000000000003</v>
      </c>
      <c r="G5">
        <v>0.58799999999999997</v>
      </c>
      <c r="H5">
        <v>2.7589999999999999</v>
      </c>
      <c r="I5">
        <v>0.91900000000000004</v>
      </c>
      <c r="J5">
        <v>2.5270000000000001</v>
      </c>
      <c r="K5">
        <v>1.31</v>
      </c>
      <c r="L5">
        <v>1.2010000000000001</v>
      </c>
      <c r="M5">
        <v>1.7230000000000001</v>
      </c>
      <c r="N5">
        <v>3.1840000000000002</v>
      </c>
      <c r="O5">
        <v>4.6959999999999997</v>
      </c>
      <c r="P5">
        <v>2.6</v>
      </c>
      <c r="Q5">
        <v>15.551</v>
      </c>
      <c r="R5">
        <v>357.99400000000003</v>
      </c>
    </row>
    <row r="6" spans="1:18" x14ac:dyDescent="0.2">
      <c r="A6" t="s">
        <v>130</v>
      </c>
      <c r="B6" t="s">
        <v>154</v>
      </c>
      <c r="C6" t="s">
        <v>38</v>
      </c>
      <c r="E6">
        <v>1.105</v>
      </c>
      <c r="F6">
        <v>0.435</v>
      </c>
      <c r="G6">
        <v>0.59199999999999997</v>
      </c>
      <c r="H6">
        <v>1.6319999999999999</v>
      </c>
      <c r="I6">
        <v>0.27800000000000002</v>
      </c>
      <c r="J6">
        <v>2.58</v>
      </c>
      <c r="K6">
        <v>0.996</v>
      </c>
      <c r="L6">
        <v>0.85199999999999998</v>
      </c>
      <c r="M6">
        <v>1.5609999999999999</v>
      </c>
      <c r="N6">
        <v>4.2249999999999996</v>
      </c>
      <c r="O6">
        <v>3.0859999999999999</v>
      </c>
      <c r="P6">
        <v>4.8890000000000002</v>
      </c>
      <c r="Q6">
        <v>29.521000000000001</v>
      </c>
      <c r="R6">
        <v>378.85599999999999</v>
      </c>
    </row>
    <row r="7" spans="1:18" x14ac:dyDescent="0.2">
      <c r="A7" t="s">
        <v>130</v>
      </c>
      <c r="B7" t="s">
        <v>154</v>
      </c>
      <c r="C7" t="s">
        <v>38</v>
      </c>
      <c r="E7">
        <v>1.3740000000000001</v>
      </c>
      <c r="F7">
        <v>0.54500000000000004</v>
      </c>
      <c r="G7">
        <v>1.575</v>
      </c>
      <c r="H7">
        <v>1.63</v>
      </c>
      <c r="I7">
        <v>0.311</v>
      </c>
      <c r="J7">
        <v>2.6659999999999999</v>
      </c>
      <c r="K7">
        <v>0.98899999999999999</v>
      </c>
      <c r="L7">
        <v>0.82599999999999996</v>
      </c>
      <c r="M7">
        <v>1.456</v>
      </c>
      <c r="N7">
        <v>4.7889999999999997</v>
      </c>
      <c r="O7">
        <v>4.9630000000000001</v>
      </c>
      <c r="P7">
        <v>3.198</v>
      </c>
      <c r="Q7">
        <v>30.812999999999999</v>
      </c>
      <c r="R7">
        <v>358.85599999999999</v>
      </c>
    </row>
    <row r="8" spans="1:18" x14ac:dyDescent="0.2">
      <c r="A8" t="s">
        <v>130</v>
      </c>
      <c r="B8" t="s">
        <v>153</v>
      </c>
      <c r="C8" t="s">
        <v>107</v>
      </c>
      <c r="E8">
        <v>1.8520000000000001</v>
      </c>
      <c r="F8">
        <v>1.258</v>
      </c>
      <c r="G8">
        <v>0.78800000000000003</v>
      </c>
      <c r="H8">
        <v>4.0179999999999998</v>
      </c>
      <c r="I8">
        <v>1.657</v>
      </c>
      <c r="J8">
        <v>2.6970000000000001</v>
      </c>
      <c r="K8">
        <v>1.3640000000000001</v>
      </c>
      <c r="L8">
        <v>1.282</v>
      </c>
      <c r="M8">
        <v>1.159</v>
      </c>
      <c r="N8">
        <v>3.2410000000000001</v>
      </c>
      <c r="P8">
        <v>2.2109999999999999</v>
      </c>
      <c r="Q8">
        <v>29.995000000000001</v>
      </c>
      <c r="R8">
        <v>389.53100000000001</v>
      </c>
    </row>
    <row r="9" spans="1:18" x14ac:dyDescent="0.2">
      <c r="A9" t="s">
        <v>130</v>
      </c>
      <c r="B9" t="s">
        <v>154</v>
      </c>
      <c r="C9" t="s">
        <v>38</v>
      </c>
      <c r="E9">
        <v>1.012</v>
      </c>
      <c r="F9">
        <v>0.50600000000000001</v>
      </c>
      <c r="G9">
        <v>0.92100000000000004</v>
      </c>
      <c r="H9">
        <v>1.79</v>
      </c>
      <c r="I9">
        <v>0.33100000000000002</v>
      </c>
      <c r="J9">
        <v>2.7040000000000002</v>
      </c>
      <c r="K9">
        <v>1.1930000000000001</v>
      </c>
      <c r="L9">
        <v>0.875</v>
      </c>
      <c r="M9">
        <v>1.7669999999999999</v>
      </c>
      <c r="N9">
        <v>4.3739999999999997</v>
      </c>
      <c r="O9">
        <v>2.8109999999999999</v>
      </c>
      <c r="P9">
        <v>2.504</v>
      </c>
      <c r="Q9">
        <v>26.695</v>
      </c>
      <c r="R9">
        <v>411.65800000000002</v>
      </c>
    </row>
    <row r="10" spans="1:18" x14ac:dyDescent="0.2">
      <c r="A10" t="s">
        <v>130</v>
      </c>
      <c r="B10" t="s">
        <v>141</v>
      </c>
      <c r="C10" t="s">
        <v>38</v>
      </c>
      <c r="D10" t="s">
        <v>21</v>
      </c>
      <c r="E10">
        <v>1.452</v>
      </c>
      <c r="F10">
        <v>1.165</v>
      </c>
      <c r="G10">
        <v>0</v>
      </c>
      <c r="H10">
        <v>4.4850000000000003</v>
      </c>
      <c r="I10">
        <v>1.3089999999999999</v>
      </c>
      <c r="J10">
        <v>2.8069999999999999</v>
      </c>
      <c r="K10">
        <v>1.113</v>
      </c>
      <c r="L10">
        <v>0.74199999999999999</v>
      </c>
      <c r="M10">
        <v>2.008</v>
      </c>
      <c r="N10">
        <v>2.8260000000000001</v>
      </c>
      <c r="O10">
        <v>3.4359999999999999</v>
      </c>
      <c r="P10">
        <v>5.7039999999999997</v>
      </c>
      <c r="Q10">
        <v>25.117000000000001</v>
      </c>
      <c r="R10">
        <v>522.52700000000004</v>
      </c>
    </row>
    <row r="11" spans="1:18" x14ac:dyDescent="0.2">
      <c r="A11" t="s">
        <v>130</v>
      </c>
      <c r="B11" t="s">
        <v>166</v>
      </c>
      <c r="C11" t="s">
        <v>54</v>
      </c>
      <c r="H11">
        <v>1.7949999999999999</v>
      </c>
      <c r="I11">
        <v>0.54600000000000004</v>
      </c>
      <c r="J11">
        <v>2.8159999999999998</v>
      </c>
      <c r="K11">
        <v>1.748</v>
      </c>
      <c r="L11">
        <v>1.444</v>
      </c>
      <c r="M11">
        <v>2.3039999999999998</v>
      </c>
      <c r="N11">
        <v>3.5489999999999999</v>
      </c>
      <c r="P11">
        <v>1.8460000000000001</v>
      </c>
      <c r="Q11">
        <v>19.225999999999999</v>
      </c>
      <c r="R11">
        <v>707.26599999999996</v>
      </c>
    </row>
    <row r="12" spans="1:18" x14ac:dyDescent="0.2">
      <c r="A12" t="s">
        <v>130</v>
      </c>
      <c r="B12" t="s">
        <v>167</v>
      </c>
      <c r="C12" t="s">
        <v>54</v>
      </c>
      <c r="E12">
        <v>0.873</v>
      </c>
      <c r="F12">
        <v>0.628</v>
      </c>
      <c r="H12">
        <v>3.1629999999999998</v>
      </c>
      <c r="I12">
        <v>0.79200000000000004</v>
      </c>
      <c r="J12">
        <v>2.8940000000000001</v>
      </c>
      <c r="K12">
        <v>1.302</v>
      </c>
      <c r="L12">
        <v>0.97799999999999998</v>
      </c>
      <c r="M12">
        <v>1.6910000000000001</v>
      </c>
      <c r="N12">
        <v>4.2220000000000004</v>
      </c>
      <c r="P12">
        <v>1.992</v>
      </c>
      <c r="Q12">
        <v>34.21</v>
      </c>
      <c r="R12">
        <v>872.88</v>
      </c>
    </row>
    <row r="13" spans="1:18" x14ac:dyDescent="0.2">
      <c r="A13" t="s">
        <v>130</v>
      </c>
      <c r="B13" t="s">
        <v>141</v>
      </c>
      <c r="C13" t="s">
        <v>38</v>
      </c>
      <c r="D13" t="s">
        <v>21</v>
      </c>
      <c r="E13">
        <v>1.835</v>
      </c>
      <c r="F13">
        <v>1.276</v>
      </c>
      <c r="G13">
        <v>0</v>
      </c>
      <c r="H13">
        <v>4.6970000000000001</v>
      </c>
      <c r="I13">
        <v>2.6</v>
      </c>
      <c r="J13">
        <v>2.9020000000000001</v>
      </c>
      <c r="K13">
        <v>1.3380000000000001</v>
      </c>
      <c r="L13">
        <v>0.95499999999999996</v>
      </c>
      <c r="M13">
        <v>1.379</v>
      </c>
      <c r="N13">
        <v>2.8479999999999999</v>
      </c>
      <c r="O13">
        <v>2.149</v>
      </c>
      <c r="P13">
        <v>4.8109999999999999</v>
      </c>
      <c r="Q13">
        <v>21.363</v>
      </c>
      <c r="R13">
        <v>711.61500000000001</v>
      </c>
    </row>
    <row r="14" spans="1:18" x14ac:dyDescent="0.2">
      <c r="A14" t="s">
        <v>130</v>
      </c>
      <c r="B14" t="s">
        <v>166</v>
      </c>
      <c r="C14" t="s">
        <v>54</v>
      </c>
      <c r="H14">
        <v>2.4540000000000002</v>
      </c>
      <c r="I14">
        <v>0.73699999999999999</v>
      </c>
      <c r="J14">
        <v>2.9409999999999998</v>
      </c>
      <c r="K14">
        <v>0.98399999999999999</v>
      </c>
      <c r="L14">
        <v>0.88100000000000001</v>
      </c>
      <c r="M14">
        <v>1.8979999999999999</v>
      </c>
      <c r="P14">
        <v>2.343</v>
      </c>
      <c r="Q14">
        <v>16.536000000000001</v>
      </c>
    </row>
    <row r="15" spans="1:18" x14ac:dyDescent="0.2">
      <c r="A15" t="s">
        <v>130</v>
      </c>
      <c r="B15" t="s">
        <v>140</v>
      </c>
      <c r="C15" t="s">
        <v>38</v>
      </c>
      <c r="D15" t="s">
        <v>21</v>
      </c>
      <c r="E15">
        <v>3.278</v>
      </c>
      <c r="F15">
        <v>1.083</v>
      </c>
      <c r="G15">
        <v>0</v>
      </c>
      <c r="H15">
        <v>6.9109999999999996</v>
      </c>
      <c r="I15">
        <v>2.569</v>
      </c>
      <c r="J15">
        <v>2.9510000000000001</v>
      </c>
      <c r="K15">
        <v>0.83199999999999996</v>
      </c>
      <c r="L15">
        <v>0.66100000000000003</v>
      </c>
      <c r="M15">
        <v>2.71</v>
      </c>
      <c r="N15">
        <v>2.8980000000000001</v>
      </c>
      <c r="O15">
        <v>3.419</v>
      </c>
      <c r="P15">
        <v>6.6740000000000004</v>
      </c>
      <c r="Q15">
        <v>24.638000000000002</v>
      </c>
      <c r="R15">
        <v>877.44200000000001</v>
      </c>
    </row>
    <row r="16" spans="1:18" x14ac:dyDescent="0.2">
      <c r="A16" t="s">
        <v>130</v>
      </c>
      <c r="B16" t="s">
        <v>159</v>
      </c>
      <c r="C16" t="s">
        <v>119</v>
      </c>
      <c r="E16">
        <v>1.139</v>
      </c>
      <c r="F16">
        <v>0.77600000000000002</v>
      </c>
      <c r="H16">
        <v>4.9340000000000002</v>
      </c>
      <c r="I16">
        <v>1.3440000000000001</v>
      </c>
      <c r="J16">
        <v>3.004</v>
      </c>
      <c r="K16">
        <v>1.369</v>
      </c>
      <c r="L16">
        <v>1.101</v>
      </c>
      <c r="M16">
        <v>1.619</v>
      </c>
      <c r="N16">
        <v>3.9889999999999999</v>
      </c>
      <c r="O16">
        <v>3.3279999999999998</v>
      </c>
      <c r="P16">
        <v>1.752</v>
      </c>
      <c r="Q16">
        <v>15.571999999999999</v>
      </c>
      <c r="R16">
        <v>459.04199999999997</v>
      </c>
    </row>
    <row r="17" spans="1:18" x14ac:dyDescent="0.2">
      <c r="A17" t="s">
        <v>130</v>
      </c>
      <c r="B17" t="s">
        <v>153</v>
      </c>
      <c r="C17" t="s">
        <v>107</v>
      </c>
      <c r="E17">
        <v>2.2029999999999998</v>
      </c>
      <c r="F17">
        <v>1.361</v>
      </c>
      <c r="G17">
        <v>0.73199999999999998</v>
      </c>
      <c r="H17">
        <v>2.129</v>
      </c>
      <c r="I17">
        <v>1.304</v>
      </c>
      <c r="J17">
        <v>3.0289999999999999</v>
      </c>
      <c r="K17">
        <v>1.46</v>
      </c>
      <c r="L17">
        <v>0.86399999999999999</v>
      </c>
      <c r="M17">
        <v>2.0449999999999999</v>
      </c>
      <c r="N17">
        <v>4.1109999999999998</v>
      </c>
      <c r="P17">
        <v>1.85</v>
      </c>
      <c r="Q17">
        <v>34.655999999999999</v>
      </c>
      <c r="R17">
        <v>700.83399999999995</v>
      </c>
    </row>
    <row r="18" spans="1:18" x14ac:dyDescent="0.2">
      <c r="A18" t="s">
        <v>130</v>
      </c>
      <c r="B18" t="s">
        <v>140</v>
      </c>
      <c r="C18" t="s">
        <v>38</v>
      </c>
      <c r="D18" t="s">
        <v>21</v>
      </c>
      <c r="E18">
        <v>2.9969999999999999</v>
      </c>
      <c r="F18">
        <v>0.94499999999999995</v>
      </c>
      <c r="G18">
        <v>0</v>
      </c>
      <c r="H18">
        <v>6.8540000000000001</v>
      </c>
      <c r="I18">
        <v>2.0289999999999999</v>
      </c>
      <c r="J18">
        <v>3.0640000000000001</v>
      </c>
      <c r="K18">
        <v>1.3080000000000001</v>
      </c>
      <c r="L18">
        <v>1.242</v>
      </c>
      <c r="M18">
        <v>1.8540000000000001</v>
      </c>
      <c r="N18">
        <v>2.9329999999999998</v>
      </c>
      <c r="O18">
        <v>2.4630000000000001</v>
      </c>
      <c r="P18">
        <v>6.2779999999999996</v>
      </c>
      <c r="Q18">
        <v>24.472999999999999</v>
      </c>
    </row>
    <row r="19" spans="1:18" x14ac:dyDescent="0.2">
      <c r="A19" t="s">
        <v>130</v>
      </c>
      <c r="B19" t="s">
        <v>142</v>
      </c>
      <c r="C19" t="s">
        <v>38</v>
      </c>
      <c r="D19" t="s">
        <v>21</v>
      </c>
      <c r="E19">
        <v>2.738</v>
      </c>
      <c r="F19">
        <v>0.57399999999999995</v>
      </c>
      <c r="G19">
        <v>0.93</v>
      </c>
      <c r="H19">
        <v>5.4320000000000004</v>
      </c>
      <c r="I19">
        <v>1.385</v>
      </c>
      <c r="J19">
        <v>3.0840000000000001</v>
      </c>
      <c r="K19">
        <v>0.748</v>
      </c>
      <c r="L19">
        <v>0.73499999999999999</v>
      </c>
      <c r="M19">
        <v>1.9159999999999999</v>
      </c>
      <c r="N19">
        <v>3.597</v>
      </c>
      <c r="O19">
        <v>2.7370000000000001</v>
      </c>
      <c r="P19">
        <v>6.6239999999999997</v>
      </c>
      <c r="Q19">
        <v>18.143000000000001</v>
      </c>
    </row>
    <row r="20" spans="1:18" x14ac:dyDescent="0.2">
      <c r="A20" t="s">
        <v>130</v>
      </c>
      <c r="B20" t="s">
        <v>142</v>
      </c>
      <c r="C20" t="s">
        <v>38</v>
      </c>
      <c r="D20" t="s">
        <v>21</v>
      </c>
      <c r="E20">
        <v>1.718</v>
      </c>
      <c r="F20">
        <v>0.65900000000000003</v>
      </c>
      <c r="G20">
        <v>0.91500000000000004</v>
      </c>
      <c r="H20">
        <v>7.03</v>
      </c>
      <c r="I20">
        <v>2.0569999999999999</v>
      </c>
      <c r="J20">
        <v>3.105</v>
      </c>
      <c r="K20">
        <v>0.875</v>
      </c>
      <c r="L20">
        <v>0.86299999999999999</v>
      </c>
      <c r="M20">
        <v>1.7430000000000001</v>
      </c>
      <c r="N20">
        <v>3.8479999999999999</v>
      </c>
      <c r="O20">
        <v>2.2069999999999999</v>
      </c>
      <c r="P20">
        <v>7.4379999999999997</v>
      </c>
      <c r="Q20">
        <v>10.856999999999999</v>
      </c>
    </row>
    <row r="21" spans="1:18" x14ac:dyDescent="0.2">
      <c r="A21" t="s">
        <v>130</v>
      </c>
      <c r="B21" t="s">
        <v>157</v>
      </c>
      <c r="C21" t="s">
        <v>54</v>
      </c>
      <c r="E21">
        <v>1.4550000000000001</v>
      </c>
      <c r="F21">
        <v>0.71099999999999997</v>
      </c>
      <c r="H21">
        <v>3.1760000000000002</v>
      </c>
      <c r="I21">
        <v>0.36299999999999999</v>
      </c>
      <c r="J21">
        <v>3.2229999999999999</v>
      </c>
      <c r="K21">
        <v>1.4419999999999999</v>
      </c>
      <c r="L21">
        <v>1.2250000000000001</v>
      </c>
      <c r="M21">
        <v>2.3620000000000001</v>
      </c>
      <c r="N21">
        <v>2.8839999999999999</v>
      </c>
      <c r="O21">
        <v>2.819</v>
      </c>
      <c r="P21">
        <v>0.88900000000000001</v>
      </c>
      <c r="Q21">
        <v>43.116</v>
      </c>
      <c r="R21">
        <v>794.44399999999996</v>
      </c>
    </row>
    <row r="22" spans="1:18" x14ac:dyDescent="0.2">
      <c r="A22" t="s">
        <v>130</v>
      </c>
      <c r="B22" t="s">
        <v>140</v>
      </c>
      <c r="C22" t="s">
        <v>38</v>
      </c>
      <c r="D22" t="s">
        <v>21</v>
      </c>
      <c r="E22">
        <v>3.07</v>
      </c>
      <c r="F22">
        <v>1.006</v>
      </c>
      <c r="G22">
        <v>0</v>
      </c>
      <c r="H22">
        <v>5.4580000000000002</v>
      </c>
      <c r="I22">
        <v>1.9390000000000001</v>
      </c>
      <c r="J22">
        <v>3.2269999999999999</v>
      </c>
      <c r="K22">
        <v>0.98499999999999999</v>
      </c>
      <c r="L22">
        <v>0.90900000000000003</v>
      </c>
      <c r="M22">
        <v>1.845</v>
      </c>
      <c r="N22">
        <v>2.8660000000000001</v>
      </c>
      <c r="O22">
        <v>3.2970000000000002</v>
      </c>
      <c r="P22">
        <v>3.5390000000000001</v>
      </c>
      <c r="Q22">
        <v>32.659999999999997</v>
      </c>
    </row>
    <row r="23" spans="1:18" x14ac:dyDescent="0.2">
      <c r="A23" t="s">
        <v>130</v>
      </c>
      <c r="B23" t="s">
        <v>168</v>
      </c>
      <c r="C23" t="s">
        <v>81</v>
      </c>
      <c r="E23">
        <v>0.95399999999999996</v>
      </c>
      <c r="F23">
        <v>0.77200000000000002</v>
      </c>
      <c r="G23">
        <v>1.091</v>
      </c>
      <c r="H23">
        <v>2.004</v>
      </c>
      <c r="I23">
        <v>0.24099999999999999</v>
      </c>
      <c r="J23">
        <v>3.262</v>
      </c>
      <c r="K23">
        <v>1.3979999999999999</v>
      </c>
      <c r="L23">
        <v>1.2789999999999999</v>
      </c>
      <c r="M23">
        <v>1.5629999999999999</v>
      </c>
      <c r="N23">
        <v>2.234</v>
      </c>
      <c r="O23">
        <v>4.2690000000000001</v>
      </c>
      <c r="P23">
        <v>2.5489999999999999</v>
      </c>
      <c r="Q23">
        <v>10.298999999999999</v>
      </c>
      <c r="R23">
        <v>684.17399999999998</v>
      </c>
    </row>
    <row r="24" spans="1:18" x14ac:dyDescent="0.2">
      <c r="A24" t="s">
        <v>130</v>
      </c>
      <c r="B24" t="s">
        <v>159</v>
      </c>
      <c r="C24" t="s">
        <v>119</v>
      </c>
      <c r="D24" t="s">
        <v>21</v>
      </c>
      <c r="E24">
        <v>1.65</v>
      </c>
      <c r="F24">
        <v>0.875</v>
      </c>
      <c r="G24">
        <v>0</v>
      </c>
      <c r="H24">
        <v>1.5249999999999999</v>
      </c>
      <c r="I24">
        <v>2.6840000000000002</v>
      </c>
      <c r="J24">
        <v>3.2639999999999998</v>
      </c>
      <c r="K24">
        <v>1.268</v>
      </c>
      <c r="L24">
        <v>1.0229999999999999</v>
      </c>
      <c r="M24">
        <v>1.425</v>
      </c>
      <c r="N24">
        <v>3.3660000000000001</v>
      </c>
      <c r="O24">
        <v>2.7170000000000001</v>
      </c>
      <c r="P24">
        <v>8.7509999999999994</v>
      </c>
      <c r="Q24">
        <v>21.036999999999999</v>
      </c>
    </row>
    <row r="25" spans="1:18" x14ac:dyDescent="0.2">
      <c r="A25" t="s">
        <v>130</v>
      </c>
      <c r="B25" t="s">
        <v>149</v>
      </c>
      <c r="C25" t="s">
        <v>50</v>
      </c>
      <c r="D25" t="s">
        <v>21</v>
      </c>
      <c r="E25">
        <v>1.9</v>
      </c>
      <c r="F25">
        <v>0.56200000000000006</v>
      </c>
      <c r="G25">
        <v>0.92100000000000004</v>
      </c>
      <c r="H25">
        <v>4.4429999999999996</v>
      </c>
      <c r="I25">
        <v>1.3009999999999999</v>
      </c>
      <c r="J25">
        <v>3.2709999999999999</v>
      </c>
      <c r="K25">
        <v>1.1719999999999999</v>
      </c>
      <c r="L25">
        <v>1.1519999999999999</v>
      </c>
      <c r="M25">
        <v>2.347</v>
      </c>
      <c r="N25">
        <v>3.3149999999999999</v>
      </c>
      <c r="O25">
        <v>3.8109999999999999</v>
      </c>
      <c r="P25">
        <v>2.6339999999999999</v>
      </c>
      <c r="Q25">
        <v>11.898999999999999</v>
      </c>
      <c r="R25">
        <v>631.351</v>
      </c>
    </row>
    <row r="26" spans="1:18" x14ac:dyDescent="0.2">
      <c r="A26" t="s">
        <v>130</v>
      </c>
      <c r="B26" t="s">
        <v>153</v>
      </c>
      <c r="C26" t="s">
        <v>107</v>
      </c>
      <c r="D26" t="s">
        <v>24</v>
      </c>
      <c r="E26">
        <v>2.3420000000000001</v>
      </c>
      <c r="F26">
        <v>1.7909999999999999</v>
      </c>
      <c r="G26">
        <v>0.72399999999999998</v>
      </c>
      <c r="H26">
        <v>3.282</v>
      </c>
      <c r="I26">
        <v>1.373</v>
      </c>
      <c r="J26">
        <v>3.4119999999999999</v>
      </c>
      <c r="K26">
        <v>1.4670000000000001</v>
      </c>
      <c r="L26">
        <v>1.099</v>
      </c>
      <c r="M26">
        <v>1.2889999999999999</v>
      </c>
      <c r="N26">
        <v>3.8530000000000002</v>
      </c>
      <c r="O26">
        <v>4.43</v>
      </c>
      <c r="P26">
        <v>2.02</v>
      </c>
      <c r="Q26">
        <v>36.683</v>
      </c>
      <c r="R26">
        <v>852.65599999999995</v>
      </c>
    </row>
    <row r="27" spans="1:18" x14ac:dyDescent="0.2">
      <c r="A27" t="s">
        <v>130</v>
      </c>
      <c r="B27" t="s">
        <v>141</v>
      </c>
      <c r="C27" t="s">
        <v>38</v>
      </c>
      <c r="D27" t="s">
        <v>21</v>
      </c>
      <c r="E27">
        <v>1.4590000000000001</v>
      </c>
      <c r="F27">
        <v>0.83199999999999996</v>
      </c>
      <c r="G27">
        <v>0</v>
      </c>
      <c r="H27">
        <v>4.4210000000000003</v>
      </c>
      <c r="I27">
        <v>1.9330000000000001</v>
      </c>
      <c r="J27">
        <v>3.43</v>
      </c>
      <c r="K27">
        <v>1.198</v>
      </c>
      <c r="L27">
        <v>1.1000000000000001</v>
      </c>
      <c r="M27">
        <v>2.089</v>
      </c>
      <c r="N27">
        <v>3.1379999999999999</v>
      </c>
      <c r="O27">
        <v>4.93</v>
      </c>
      <c r="P27">
        <v>4.2889999999999997</v>
      </c>
      <c r="Q27">
        <v>17.055</v>
      </c>
    </row>
    <row r="28" spans="1:18" x14ac:dyDescent="0.2">
      <c r="A28" t="s">
        <v>130</v>
      </c>
      <c r="B28" t="s">
        <v>157</v>
      </c>
      <c r="C28" t="s">
        <v>54</v>
      </c>
      <c r="E28">
        <v>0.85499999999999998</v>
      </c>
      <c r="F28">
        <v>0.747</v>
      </c>
      <c r="H28">
        <v>2.198</v>
      </c>
      <c r="I28">
        <v>0.41</v>
      </c>
      <c r="J28">
        <v>3.4340000000000002</v>
      </c>
      <c r="K28">
        <v>1.8320000000000001</v>
      </c>
      <c r="L28">
        <v>1.532</v>
      </c>
      <c r="M28">
        <v>1.5089999999999999</v>
      </c>
      <c r="N28">
        <v>3.7240000000000002</v>
      </c>
      <c r="O28">
        <v>2.52</v>
      </c>
      <c r="P28">
        <v>2.157</v>
      </c>
      <c r="Q28">
        <v>27.29</v>
      </c>
      <c r="R28">
        <v>698.34100000000001</v>
      </c>
    </row>
    <row r="29" spans="1:18" x14ac:dyDescent="0.2">
      <c r="A29" t="s">
        <v>130</v>
      </c>
      <c r="B29" t="s">
        <v>159</v>
      </c>
      <c r="C29" t="s">
        <v>119</v>
      </c>
      <c r="E29">
        <v>1.7030000000000001</v>
      </c>
      <c r="F29">
        <v>1.603</v>
      </c>
      <c r="H29">
        <v>4.5629999999999997</v>
      </c>
      <c r="I29">
        <v>3.4580000000000002</v>
      </c>
      <c r="J29">
        <v>3.4449999999999998</v>
      </c>
      <c r="K29">
        <v>1.0409999999999999</v>
      </c>
      <c r="L29">
        <v>0.98299999999999998</v>
      </c>
      <c r="M29">
        <v>1.7410000000000001</v>
      </c>
      <c r="N29">
        <v>3.339</v>
      </c>
      <c r="O29">
        <v>4.0350000000000001</v>
      </c>
      <c r="P29">
        <v>1.5249999999999999</v>
      </c>
      <c r="Q29">
        <v>14.333</v>
      </c>
      <c r="R29">
        <v>173.565</v>
      </c>
    </row>
    <row r="30" spans="1:18" x14ac:dyDescent="0.2">
      <c r="A30" t="s">
        <v>130</v>
      </c>
      <c r="B30" t="s">
        <v>149</v>
      </c>
      <c r="C30" t="s">
        <v>50</v>
      </c>
      <c r="D30" t="s">
        <v>21</v>
      </c>
      <c r="E30">
        <v>1.6539999999999999</v>
      </c>
      <c r="F30">
        <v>0.52400000000000002</v>
      </c>
      <c r="G30">
        <v>0.93100000000000005</v>
      </c>
      <c r="H30">
        <v>3.802</v>
      </c>
      <c r="I30">
        <v>1.825</v>
      </c>
      <c r="J30">
        <v>3.472</v>
      </c>
      <c r="K30">
        <v>1.4710000000000001</v>
      </c>
      <c r="L30">
        <v>0.88900000000000001</v>
      </c>
      <c r="M30">
        <v>2.581</v>
      </c>
      <c r="N30">
        <v>3.528</v>
      </c>
      <c r="O30">
        <v>3.528</v>
      </c>
      <c r="P30">
        <v>6.3419999999999996</v>
      </c>
      <c r="Q30">
        <v>12.746</v>
      </c>
    </row>
    <row r="31" spans="1:18" x14ac:dyDescent="0.2">
      <c r="A31" t="s">
        <v>130</v>
      </c>
      <c r="B31" t="s">
        <v>155</v>
      </c>
      <c r="C31" t="s">
        <v>38</v>
      </c>
      <c r="D31" t="s">
        <v>21</v>
      </c>
      <c r="E31">
        <v>2.2149999999999999</v>
      </c>
      <c r="F31">
        <v>1.2629999999999999</v>
      </c>
      <c r="G31">
        <v>0.97299999999999998</v>
      </c>
      <c r="H31">
        <v>9.6329999999999991</v>
      </c>
      <c r="I31">
        <v>1.694</v>
      </c>
      <c r="J31">
        <v>3.4849999999999999</v>
      </c>
      <c r="K31">
        <v>1.3460000000000001</v>
      </c>
      <c r="L31">
        <v>0.91</v>
      </c>
      <c r="M31">
        <v>2.8380000000000001</v>
      </c>
      <c r="N31">
        <v>3.8650000000000002</v>
      </c>
      <c r="O31">
        <v>4.0890000000000004</v>
      </c>
      <c r="P31">
        <v>2.6909999999999998</v>
      </c>
      <c r="Q31">
        <v>18.478999999999999</v>
      </c>
    </row>
    <row r="32" spans="1:18" x14ac:dyDescent="0.2">
      <c r="A32" t="s">
        <v>130</v>
      </c>
      <c r="B32" t="s">
        <v>159</v>
      </c>
      <c r="C32" t="s">
        <v>119</v>
      </c>
      <c r="D32" t="s">
        <v>21</v>
      </c>
      <c r="E32">
        <v>1.6850000000000001</v>
      </c>
      <c r="F32">
        <v>1.1830000000000001</v>
      </c>
      <c r="G32">
        <v>0</v>
      </c>
      <c r="H32">
        <v>6.2469999999999999</v>
      </c>
      <c r="I32">
        <v>1.9259999999999999</v>
      </c>
      <c r="J32">
        <v>3.5579999999999998</v>
      </c>
      <c r="K32">
        <v>1.411</v>
      </c>
      <c r="L32">
        <v>1.3169999999999999</v>
      </c>
      <c r="M32">
        <v>1.571</v>
      </c>
      <c r="N32">
        <v>3.7869999999999999</v>
      </c>
      <c r="O32">
        <v>3.34</v>
      </c>
      <c r="P32">
        <v>1.7190000000000001</v>
      </c>
      <c r="Q32">
        <v>28.667999999999999</v>
      </c>
    </row>
    <row r="33" spans="1:18" x14ac:dyDescent="0.2">
      <c r="A33" t="s">
        <v>130</v>
      </c>
      <c r="B33" t="s">
        <v>133</v>
      </c>
      <c r="C33" t="s">
        <v>54</v>
      </c>
      <c r="D33" t="s">
        <v>21</v>
      </c>
      <c r="E33">
        <v>1.0900000000000001</v>
      </c>
      <c r="F33">
        <v>0.439</v>
      </c>
      <c r="G33">
        <v>0</v>
      </c>
      <c r="H33">
        <v>5.3970000000000002</v>
      </c>
      <c r="I33">
        <v>2.1960000000000002</v>
      </c>
      <c r="J33">
        <v>3.5910000000000002</v>
      </c>
      <c r="K33">
        <v>1.522</v>
      </c>
      <c r="L33">
        <v>1.3260000000000001</v>
      </c>
      <c r="M33">
        <v>2.1539999999999999</v>
      </c>
      <c r="N33">
        <v>3.552</v>
      </c>
      <c r="O33">
        <v>2.8340000000000001</v>
      </c>
      <c r="P33">
        <v>1.177</v>
      </c>
      <c r="Q33">
        <v>11.337999999999999</v>
      </c>
    </row>
    <row r="34" spans="1:18" x14ac:dyDescent="0.2">
      <c r="A34" t="s">
        <v>130</v>
      </c>
      <c r="B34" t="s">
        <v>137</v>
      </c>
      <c r="C34" t="s">
        <v>81</v>
      </c>
      <c r="D34" t="s">
        <v>21</v>
      </c>
      <c r="E34">
        <v>1.5289999999999999</v>
      </c>
      <c r="F34">
        <v>0.99399999999999999</v>
      </c>
      <c r="G34">
        <v>0</v>
      </c>
      <c r="H34">
        <v>6.9710000000000001</v>
      </c>
      <c r="I34">
        <v>3.3849999999999998</v>
      </c>
      <c r="J34">
        <v>3.5920000000000001</v>
      </c>
      <c r="K34">
        <v>0.82299999999999995</v>
      </c>
      <c r="L34">
        <v>0.79300000000000004</v>
      </c>
      <c r="M34">
        <v>3.0840000000000001</v>
      </c>
      <c r="N34">
        <v>3.6659999999999999</v>
      </c>
      <c r="O34">
        <v>4.0490000000000004</v>
      </c>
      <c r="P34">
        <v>2.8250000000000002</v>
      </c>
      <c r="Q34">
        <v>22.266999999999999</v>
      </c>
    </row>
    <row r="35" spans="1:18" x14ac:dyDescent="0.2">
      <c r="A35" t="s">
        <v>130</v>
      </c>
      <c r="B35" t="s">
        <v>144</v>
      </c>
      <c r="C35" t="s">
        <v>119</v>
      </c>
      <c r="D35" t="s">
        <v>21</v>
      </c>
      <c r="E35">
        <v>1.569</v>
      </c>
      <c r="F35">
        <v>0.81499999999999995</v>
      </c>
      <c r="G35">
        <v>0</v>
      </c>
      <c r="H35">
        <v>4.3710000000000004</v>
      </c>
      <c r="I35">
        <v>1.917</v>
      </c>
      <c r="J35">
        <v>3.6179999999999999</v>
      </c>
      <c r="K35">
        <v>0.69499999999999995</v>
      </c>
      <c r="L35">
        <v>0.54600000000000004</v>
      </c>
      <c r="M35">
        <v>2.1349999999999998</v>
      </c>
      <c r="N35">
        <v>3.9079999999999999</v>
      </c>
      <c r="O35">
        <v>4.149</v>
      </c>
      <c r="P35">
        <v>3.806</v>
      </c>
      <c r="Q35">
        <v>8.6359999999999992</v>
      </c>
      <c r="R35">
        <v>730.74400000000003</v>
      </c>
    </row>
    <row r="36" spans="1:18" x14ac:dyDescent="0.2">
      <c r="A36" t="s">
        <v>130</v>
      </c>
      <c r="B36" t="s">
        <v>132</v>
      </c>
      <c r="C36" t="s">
        <v>54</v>
      </c>
      <c r="D36" t="s">
        <v>21</v>
      </c>
      <c r="E36">
        <v>1.5129999999999999</v>
      </c>
      <c r="F36">
        <v>0.76600000000000001</v>
      </c>
      <c r="G36">
        <v>0</v>
      </c>
      <c r="H36">
        <v>6.6349999999999998</v>
      </c>
      <c r="I36">
        <v>1.6870000000000001</v>
      </c>
      <c r="J36">
        <v>3.6459999999999999</v>
      </c>
      <c r="K36">
        <v>1.3440000000000001</v>
      </c>
      <c r="L36">
        <v>1.1739999999999999</v>
      </c>
      <c r="M36">
        <v>1.1830000000000001</v>
      </c>
      <c r="N36">
        <v>3.2269999999999999</v>
      </c>
      <c r="O36">
        <v>2.1960000000000002</v>
      </c>
      <c r="P36">
        <v>1.4690000000000001</v>
      </c>
      <c r="Q36">
        <v>7.0579999999999998</v>
      </c>
    </row>
    <row r="37" spans="1:18" x14ac:dyDescent="0.2">
      <c r="A37" t="s">
        <v>130</v>
      </c>
      <c r="B37" t="s">
        <v>152</v>
      </c>
      <c r="C37" t="s">
        <v>50</v>
      </c>
      <c r="D37" t="s">
        <v>21</v>
      </c>
      <c r="E37">
        <v>2.76</v>
      </c>
      <c r="F37">
        <v>1.821</v>
      </c>
      <c r="G37">
        <v>1.234</v>
      </c>
      <c r="H37">
        <v>3.3239999999999998</v>
      </c>
      <c r="I37">
        <v>1.389</v>
      </c>
      <c r="J37">
        <v>3.6739999999999999</v>
      </c>
      <c r="K37">
        <v>1.8109999999999999</v>
      </c>
      <c r="L37">
        <v>1.1040000000000001</v>
      </c>
      <c r="M37">
        <v>1.589</v>
      </c>
      <c r="N37">
        <v>3.8210000000000002</v>
      </c>
      <c r="O37">
        <v>4.5250000000000004</v>
      </c>
      <c r="P37">
        <v>2.29</v>
      </c>
      <c r="Q37">
        <v>16.216999999999999</v>
      </c>
      <c r="R37">
        <v>539.64300000000003</v>
      </c>
    </row>
    <row r="38" spans="1:18" x14ac:dyDescent="0.2">
      <c r="A38" t="s">
        <v>130</v>
      </c>
      <c r="B38" t="s">
        <v>132</v>
      </c>
      <c r="C38" t="s">
        <v>54</v>
      </c>
      <c r="D38" t="s">
        <v>21</v>
      </c>
      <c r="E38">
        <v>1.556</v>
      </c>
      <c r="F38">
        <v>0.81899999999999995</v>
      </c>
      <c r="G38">
        <v>0</v>
      </c>
      <c r="H38">
        <v>7.2229999999999999</v>
      </c>
      <c r="I38">
        <v>1.444</v>
      </c>
      <c r="J38">
        <v>3.677</v>
      </c>
      <c r="K38">
        <v>1.9610000000000001</v>
      </c>
      <c r="L38">
        <v>1.58</v>
      </c>
      <c r="M38">
        <v>1.4590000000000001</v>
      </c>
      <c r="N38">
        <v>4.5599999999999996</v>
      </c>
      <c r="O38">
        <v>5.1070000000000002</v>
      </c>
      <c r="P38">
        <v>1.86</v>
      </c>
      <c r="Q38">
        <v>8.157</v>
      </c>
      <c r="R38">
        <v>567.13300000000004</v>
      </c>
    </row>
    <row r="39" spans="1:18" x14ac:dyDescent="0.2">
      <c r="A39" t="s">
        <v>130</v>
      </c>
      <c r="B39" t="s">
        <v>139</v>
      </c>
      <c r="C39" t="s">
        <v>81</v>
      </c>
      <c r="D39" t="s">
        <v>21</v>
      </c>
      <c r="E39">
        <v>1.4079999999999999</v>
      </c>
      <c r="F39">
        <v>0.629</v>
      </c>
      <c r="G39">
        <v>0</v>
      </c>
      <c r="H39">
        <v>6.6959999999999997</v>
      </c>
      <c r="I39">
        <v>1.9219999999999999</v>
      </c>
      <c r="J39">
        <v>3.68</v>
      </c>
      <c r="K39">
        <v>0.93</v>
      </c>
      <c r="L39">
        <v>0.58099999999999996</v>
      </c>
      <c r="M39">
        <v>3.2389999999999999</v>
      </c>
      <c r="N39">
        <v>3.7509999999999999</v>
      </c>
      <c r="O39">
        <v>4.0529999999999999</v>
      </c>
      <c r="P39">
        <v>2.4500000000000002</v>
      </c>
      <c r="Q39">
        <v>41.173000000000002</v>
      </c>
      <c r="R39">
        <v>859.02800000000002</v>
      </c>
    </row>
    <row r="40" spans="1:18" x14ac:dyDescent="0.2">
      <c r="A40" t="s">
        <v>130</v>
      </c>
      <c r="B40" t="s">
        <v>139</v>
      </c>
      <c r="C40" t="s">
        <v>81</v>
      </c>
      <c r="D40" t="s">
        <v>21</v>
      </c>
      <c r="E40">
        <v>1.274</v>
      </c>
      <c r="F40">
        <v>0.879</v>
      </c>
      <c r="G40">
        <v>0</v>
      </c>
      <c r="H40">
        <v>6.4489999999999998</v>
      </c>
      <c r="I40">
        <v>2.0310000000000001</v>
      </c>
      <c r="J40">
        <v>3.7040000000000002</v>
      </c>
      <c r="K40">
        <v>2.2570000000000001</v>
      </c>
      <c r="L40">
        <v>1.992</v>
      </c>
      <c r="M40">
        <v>2.5640000000000001</v>
      </c>
      <c r="N40">
        <v>3.766</v>
      </c>
      <c r="O40">
        <v>4.077</v>
      </c>
      <c r="P40">
        <v>3.0750000000000002</v>
      </c>
      <c r="Q40">
        <v>32.503</v>
      </c>
    </row>
    <row r="41" spans="1:18" x14ac:dyDescent="0.2">
      <c r="A41" t="s">
        <v>130</v>
      </c>
      <c r="B41" t="s">
        <v>137</v>
      </c>
      <c r="C41" t="s">
        <v>81</v>
      </c>
      <c r="D41" t="s">
        <v>21</v>
      </c>
      <c r="E41">
        <v>1.323</v>
      </c>
      <c r="F41">
        <v>0.92700000000000005</v>
      </c>
      <c r="G41">
        <v>0</v>
      </c>
      <c r="H41">
        <v>5.6669999999999998</v>
      </c>
      <c r="I41">
        <v>2.7909999999999999</v>
      </c>
      <c r="J41">
        <v>3.7069999999999999</v>
      </c>
      <c r="K41">
        <v>1.139</v>
      </c>
      <c r="L41">
        <v>0.67600000000000005</v>
      </c>
      <c r="M41">
        <v>2.3370000000000002</v>
      </c>
      <c r="N41">
        <v>3.9239999999999999</v>
      </c>
      <c r="O41">
        <v>4.9660000000000002</v>
      </c>
      <c r="P41">
        <v>3.24</v>
      </c>
      <c r="Q41">
        <v>17.619</v>
      </c>
    </row>
    <row r="42" spans="1:18" x14ac:dyDescent="0.2">
      <c r="A42" t="s">
        <v>130</v>
      </c>
      <c r="B42" t="s">
        <v>134</v>
      </c>
      <c r="C42" t="s">
        <v>107</v>
      </c>
      <c r="D42" t="s">
        <v>21</v>
      </c>
      <c r="E42">
        <v>0.93799999999999994</v>
      </c>
      <c r="F42">
        <v>0.83</v>
      </c>
      <c r="G42">
        <v>0</v>
      </c>
      <c r="H42">
        <v>6.8810000000000002</v>
      </c>
      <c r="I42">
        <v>2.6669999999999998</v>
      </c>
      <c r="J42">
        <v>3.7109999999999999</v>
      </c>
      <c r="K42">
        <v>1.343</v>
      </c>
      <c r="L42">
        <v>1.1140000000000001</v>
      </c>
      <c r="M42">
        <v>2.234</v>
      </c>
      <c r="N42">
        <v>2.218</v>
      </c>
      <c r="O42">
        <v>2.3410000000000002</v>
      </c>
      <c r="P42">
        <v>2.0819999999999999</v>
      </c>
      <c r="Q42">
        <v>29.280999999999999</v>
      </c>
      <c r="R42">
        <v>776.70600000000002</v>
      </c>
    </row>
    <row r="43" spans="1:18" x14ac:dyDescent="0.2">
      <c r="A43" t="s">
        <v>130</v>
      </c>
      <c r="B43" t="s">
        <v>131</v>
      </c>
      <c r="C43" t="s">
        <v>54</v>
      </c>
      <c r="D43" t="s">
        <v>21</v>
      </c>
      <c r="E43">
        <v>0.86299999999999999</v>
      </c>
      <c r="F43">
        <v>0.504</v>
      </c>
      <c r="G43">
        <v>0</v>
      </c>
      <c r="H43">
        <v>3.5129999999999999</v>
      </c>
      <c r="I43">
        <v>1.702</v>
      </c>
      <c r="J43">
        <v>3.7170000000000001</v>
      </c>
      <c r="K43">
        <v>1.4750000000000001</v>
      </c>
      <c r="L43">
        <v>1.2</v>
      </c>
      <c r="M43">
        <v>2.5630000000000002</v>
      </c>
      <c r="N43">
        <v>2.3149999999999999</v>
      </c>
      <c r="O43">
        <v>3.15</v>
      </c>
      <c r="P43">
        <v>3.0710000000000002</v>
      </c>
      <c r="Q43">
        <v>15.907999999999999</v>
      </c>
    </row>
    <row r="44" spans="1:18" x14ac:dyDescent="0.2">
      <c r="A44" t="s">
        <v>130</v>
      </c>
      <c r="B44" t="s">
        <v>147</v>
      </c>
      <c r="C44" t="s">
        <v>50</v>
      </c>
      <c r="D44" t="s">
        <v>21</v>
      </c>
      <c r="E44">
        <v>1.1459999999999999</v>
      </c>
      <c r="F44">
        <v>0.60599999999999998</v>
      </c>
      <c r="G44">
        <v>1.008</v>
      </c>
      <c r="H44">
        <v>7.2130000000000001</v>
      </c>
      <c r="I44">
        <v>2.08</v>
      </c>
      <c r="J44">
        <v>3.7280000000000002</v>
      </c>
      <c r="K44">
        <v>1.008</v>
      </c>
      <c r="L44">
        <v>0.53</v>
      </c>
      <c r="M44">
        <v>3.0960000000000001</v>
      </c>
      <c r="N44">
        <v>3.2610000000000001</v>
      </c>
      <c r="O44">
        <v>3.7770000000000001</v>
      </c>
      <c r="P44">
        <v>12.105</v>
      </c>
      <c r="Q44">
        <v>15.401999999999999</v>
      </c>
    </row>
    <row r="45" spans="1:18" x14ac:dyDescent="0.2">
      <c r="A45" t="s">
        <v>130</v>
      </c>
      <c r="B45" t="s">
        <v>134</v>
      </c>
      <c r="C45" t="s">
        <v>107</v>
      </c>
      <c r="D45" t="s">
        <v>21</v>
      </c>
      <c r="E45">
        <v>0.996</v>
      </c>
      <c r="F45">
        <v>0.503</v>
      </c>
      <c r="G45">
        <v>0</v>
      </c>
      <c r="H45">
        <v>5.0179999999999998</v>
      </c>
      <c r="I45">
        <v>1.8340000000000001</v>
      </c>
      <c r="J45">
        <v>3.7320000000000002</v>
      </c>
      <c r="K45">
        <v>1.4530000000000001</v>
      </c>
      <c r="L45">
        <v>1.1379999999999999</v>
      </c>
      <c r="M45">
        <v>2.2010000000000001</v>
      </c>
      <c r="N45">
        <v>2.67</v>
      </c>
      <c r="O45">
        <v>2.2200000000000002</v>
      </c>
      <c r="P45">
        <v>1.657</v>
      </c>
      <c r="Q45">
        <v>35.667999999999999</v>
      </c>
      <c r="R45">
        <v>831.83900000000006</v>
      </c>
    </row>
    <row r="46" spans="1:18" x14ac:dyDescent="0.2">
      <c r="A46" t="s">
        <v>130</v>
      </c>
      <c r="B46" t="s">
        <v>133</v>
      </c>
      <c r="C46" t="s">
        <v>54</v>
      </c>
      <c r="D46" t="s">
        <v>21</v>
      </c>
      <c r="E46">
        <v>1.0369999999999999</v>
      </c>
      <c r="F46">
        <v>0.33300000000000002</v>
      </c>
      <c r="G46">
        <v>0</v>
      </c>
      <c r="H46">
        <v>4.7110000000000003</v>
      </c>
      <c r="I46">
        <v>2.12</v>
      </c>
      <c r="J46">
        <v>3.7589999999999999</v>
      </c>
      <c r="K46">
        <v>1.353</v>
      </c>
      <c r="L46">
        <v>1.35</v>
      </c>
      <c r="M46">
        <v>2.57</v>
      </c>
      <c r="N46">
        <v>3.0819999999999999</v>
      </c>
      <c r="O46">
        <v>4.0789999999999997</v>
      </c>
      <c r="P46">
        <v>1.522</v>
      </c>
      <c r="Q46">
        <v>9.5389999999999997</v>
      </c>
      <c r="R46">
        <v>557.82399999999996</v>
      </c>
    </row>
    <row r="47" spans="1:18" x14ac:dyDescent="0.2">
      <c r="A47" t="s">
        <v>130</v>
      </c>
      <c r="B47" t="s">
        <v>152</v>
      </c>
      <c r="C47" t="s">
        <v>50</v>
      </c>
      <c r="D47" t="s">
        <v>24</v>
      </c>
      <c r="E47">
        <v>2.5859999999999999</v>
      </c>
      <c r="F47">
        <v>1.782</v>
      </c>
      <c r="G47">
        <v>1.2909999999999999</v>
      </c>
      <c r="H47">
        <v>5.56</v>
      </c>
      <c r="I47">
        <v>2.024</v>
      </c>
      <c r="J47">
        <v>3.7589999999999999</v>
      </c>
      <c r="K47">
        <v>1.5529999999999999</v>
      </c>
      <c r="L47">
        <v>1.093</v>
      </c>
      <c r="M47">
        <v>1.8080000000000001</v>
      </c>
      <c r="N47">
        <v>3.5169999999999999</v>
      </c>
      <c r="O47">
        <v>4.09</v>
      </c>
      <c r="P47">
        <v>2.8279999999999998</v>
      </c>
      <c r="Q47">
        <v>15.074</v>
      </c>
    </row>
    <row r="48" spans="1:18" x14ac:dyDescent="0.2">
      <c r="A48" t="s">
        <v>130</v>
      </c>
      <c r="B48" t="s">
        <v>154</v>
      </c>
      <c r="C48" t="s">
        <v>38</v>
      </c>
      <c r="D48" t="s">
        <v>21</v>
      </c>
      <c r="E48">
        <v>2.403</v>
      </c>
      <c r="F48">
        <v>1.66</v>
      </c>
      <c r="G48">
        <v>1.0189999999999999</v>
      </c>
      <c r="H48">
        <v>4.2969999999999997</v>
      </c>
      <c r="I48">
        <v>1.238</v>
      </c>
      <c r="J48">
        <v>3.7589999999999999</v>
      </c>
      <c r="K48">
        <v>1.1160000000000001</v>
      </c>
      <c r="L48">
        <v>1.048</v>
      </c>
      <c r="M48">
        <v>3.347</v>
      </c>
      <c r="N48">
        <v>3.7879999999999998</v>
      </c>
      <c r="O48">
        <v>5.1210000000000004</v>
      </c>
      <c r="P48">
        <v>3.1520000000000001</v>
      </c>
      <c r="Q48">
        <v>49.823999999999998</v>
      </c>
      <c r="R48">
        <v>723.86800000000005</v>
      </c>
    </row>
    <row r="49" spans="1:18" x14ac:dyDescent="0.2">
      <c r="A49" t="s">
        <v>130</v>
      </c>
      <c r="B49" t="s">
        <v>147</v>
      </c>
      <c r="C49" t="s">
        <v>50</v>
      </c>
      <c r="D49" t="s">
        <v>21</v>
      </c>
      <c r="E49">
        <v>1.64</v>
      </c>
      <c r="F49">
        <v>0.86699999999999999</v>
      </c>
      <c r="G49">
        <v>1.379</v>
      </c>
      <c r="H49">
        <v>5.327</v>
      </c>
      <c r="I49">
        <v>1.3580000000000001</v>
      </c>
      <c r="J49">
        <v>3.762</v>
      </c>
      <c r="K49">
        <v>0.72099999999999997</v>
      </c>
      <c r="L49">
        <v>0.54100000000000004</v>
      </c>
      <c r="M49">
        <v>3.13</v>
      </c>
      <c r="N49">
        <v>3.3580000000000001</v>
      </c>
      <c r="O49">
        <v>3.4159999999999999</v>
      </c>
      <c r="P49">
        <v>4.1040000000000001</v>
      </c>
      <c r="Q49">
        <v>15.234999999999999</v>
      </c>
    </row>
    <row r="50" spans="1:18" x14ac:dyDescent="0.2">
      <c r="A50" t="s">
        <v>130</v>
      </c>
      <c r="B50" t="s">
        <v>146</v>
      </c>
      <c r="C50" t="s">
        <v>44</v>
      </c>
      <c r="D50" t="s">
        <v>21</v>
      </c>
      <c r="E50">
        <v>1.2929999999999999</v>
      </c>
      <c r="F50">
        <v>0.69199999999999995</v>
      </c>
      <c r="G50">
        <v>0</v>
      </c>
      <c r="H50">
        <v>5.1029999999999998</v>
      </c>
      <c r="I50">
        <v>2.6379999999999999</v>
      </c>
      <c r="J50">
        <v>3.79</v>
      </c>
      <c r="K50">
        <v>1.5609999999999999</v>
      </c>
      <c r="L50">
        <v>1.5049999999999999</v>
      </c>
      <c r="M50">
        <v>2.1120000000000001</v>
      </c>
      <c r="N50">
        <v>3.9510000000000001</v>
      </c>
      <c r="O50">
        <v>4.1680000000000001</v>
      </c>
      <c r="P50">
        <v>2.1019999999999999</v>
      </c>
      <c r="Q50">
        <v>17.837</v>
      </c>
    </row>
    <row r="51" spans="1:18" x14ac:dyDescent="0.2">
      <c r="A51" t="s">
        <v>130</v>
      </c>
      <c r="B51" t="s">
        <v>159</v>
      </c>
      <c r="C51" t="s">
        <v>119</v>
      </c>
      <c r="D51" t="s">
        <v>21</v>
      </c>
      <c r="E51">
        <v>1.694</v>
      </c>
      <c r="F51">
        <v>1.1679999999999999</v>
      </c>
      <c r="G51">
        <v>0</v>
      </c>
      <c r="H51">
        <v>6.7290000000000001</v>
      </c>
      <c r="I51">
        <v>2.1840000000000002</v>
      </c>
      <c r="J51">
        <v>3.8050000000000002</v>
      </c>
      <c r="K51">
        <v>1.66</v>
      </c>
      <c r="L51">
        <v>1.4590000000000001</v>
      </c>
      <c r="M51">
        <v>2.2909999999999999</v>
      </c>
      <c r="N51">
        <v>3.1549999999999998</v>
      </c>
      <c r="O51">
        <v>3.508</v>
      </c>
      <c r="P51">
        <v>2.141</v>
      </c>
      <c r="Q51">
        <v>31.797000000000001</v>
      </c>
    </row>
    <row r="52" spans="1:18" x14ac:dyDescent="0.2">
      <c r="A52" t="s">
        <v>130</v>
      </c>
      <c r="B52" t="s">
        <v>158</v>
      </c>
      <c r="C52" t="s">
        <v>54</v>
      </c>
      <c r="D52" t="s">
        <v>21</v>
      </c>
      <c r="E52">
        <v>2.58</v>
      </c>
      <c r="F52">
        <v>1.1220000000000001</v>
      </c>
      <c r="G52">
        <v>0</v>
      </c>
      <c r="H52">
        <v>4.9790000000000001</v>
      </c>
      <c r="I52">
        <v>1.4219999999999999</v>
      </c>
      <c r="J52">
        <v>3.835</v>
      </c>
      <c r="K52">
        <v>1.397</v>
      </c>
      <c r="L52">
        <v>0.55700000000000005</v>
      </c>
      <c r="M52">
        <v>2.2269999999999999</v>
      </c>
      <c r="N52">
        <v>3.1240000000000001</v>
      </c>
      <c r="O52">
        <v>2.3570000000000002</v>
      </c>
      <c r="P52">
        <v>2.4500000000000002</v>
      </c>
      <c r="Q52">
        <v>20.204000000000001</v>
      </c>
    </row>
    <row r="53" spans="1:18" x14ac:dyDescent="0.2">
      <c r="A53" t="s">
        <v>130</v>
      </c>
      <c r="B53" t="s">
        <v>149</v>
      </c>
      <c r="C53" t="s">
        <v>50</v>
      </c>
      <c r="D53" t="s">
        <v>21</v>
      </c>
      <c r="E53">
        <v>1.865</v>
      </c>
      <c r="F53">
        <v>0.65100000000000002</v>
      </c>
      <c r="G53">
        <v>0.89700000000000002</v>
      </c>
      <c r="H53">
        <v>2.5710000000000002</v>
      </c>
      <c r="I53">
        <v>1.1379999999999999</v>
      </c>
      <c r="J53">
        <v>3.8420000000000001</v>
      </c>
      <c r="K53">
        <v>1.3759999999999999</v>
      </c>
      <c r="L53">
        <v>0.85199999999999998</v>
      </c>
      <c r="M53">
        <v>2.62</v>
      </c>
      <c r="N53">
        <v>3.2490000000000001</v>
      </c>
      <c r="O53">
        <v>3.4990000000000001</v>
      </c>
      <c r="P53">
        <v>5.8040000000000003</v>
      </c>
      <c r="Q53">
        <v>10.835000000000001</v>
      </c>
    </row>
    <row r="54" spans="1:18" x14ac:dyDescent="0.2">
      <c r="A54" t="s">
        <v>130</v>
      </c>
      <c r="B54" t="s">
        <v>155</v>
      </c>
      <c r="C54" t="s">
        <v>38</v>
      </c>
      <c r="D54" t="s">
        <v>21</v>
      </c>
      <c r="E54">
        <v>2.125</v>
      </c>
      <c r="F54">
        <v>1.64</v>
      </c>
      <c r="G54">
        <v>0.90200000000000002</v>
      </c>
      <c r="H54">
        <v>7.2469999999999999</v>
      </c>
      <c r="I54">
        <v>1.1619999999999999</v>
      </c>
      <c r="J54">
        <v>3.8679999999999999</v>
      </c>
      <c r="K54">
        <v>0.93200000000000005</v>
      </c>
      <c r="L54">
        <v>0.53900000000000003</v>
      </c>
      <c r="M54">
        <v>2.3149999999999999</v>
      </c>
      <c r="N54">
        <v>4.8099999999999996</v>
      </c>
      <c r="O54">
        <v>5.2640000000000002</v>
      </c>
      <c r="P54">
        <v>2.9620000000000002</v>
      </c>
      <c r="Q54">
        <v>32.093000000000004</v>
      </c>
      <c r="R54">
        <v>849.77499999999998</v>
      </c>
    </row>
    <row r="55" spans="1:18" x14ac:dyDescent="0.2">
      <c r="A55" t="s">
        <v>130</v>
      </c>
      <c r="B55" t="s">
        <v>143</v>
      </c>
      <c r="C55" t="s">
        <v>119</v>
      </c>
      <c r="D55" t="s">
        <v>21</v>
      </c>
      <c r="E55">
        <v>1.742</v>
      </c>
      <c r="F55">
        <v>0.32300000000000001</v>
      </c>
      <c r="G55">
        <v>0</v>
      </c>
      <c r="H55">
        <v>7.1529999999999996</v>
      </c>
      <c r="I55">
        <v>2.4350000000000001</v>
      </c>
      <c r="J55">
        <v>3.8969999999999998</v>
      </c>
      <c r="K55">
        <v>1.381</v>
      </c>
      <c r="L55">
        <v>1.1319999999999999</v>
      </c>
      <c r="M55">
        <v>1.909</v>
      </c>
      <c r="N55">
        <v>4.2149999999999999</v>
      </c>
      <c r="O55">
        <v>4.3620000000000001</v>
      </c>
      <c r="P55">
        <v>5.8259999999999996</v>
      </c>
      <c r="Q55">
        <v>14.856999999999999</v>
      </c>
    </row>
    <row r="56" spans="1:18" x14ac:dyDescent="0.2">
      <c r="A56" t="s">
        <v>130</v>
      </c>
      <c r="B56" t="s">
        <v>160</v>
      </c>
      <c r="C56" t="s">
        <v>107</v>
      </c>
      <c r="D56" t="s">
        <v>21</v>
      </c>
      <c r="G56">
        <v>1.0489999999999999</v>
      </c>
      <c r="H56">
        <v>1.605</v>
      </c>
      <c r="I56">
        <v>0.375</v>
      </c>
      <c r="J56">
        <v>3.9049999999999998</v>
      </c>
      <c r="K56">
        <v>1.3959999999999999</v>
      </c>
      <c r="L56">
        <v>0.88300000000000001</v>
      </c>
      <c r="M56">
        <v>3.133</v>
      </c>
      <c r="P56">
        <v>2.819</v>
      </c>
      <c r="Q56">
        <v>5.9859999999999998</v>
      </c>
      <c r="R56">
        <v>713.649</v>
      </c>
    </row>
    <row r="57" spans="1:18" x14ac:dyDescent="0.2">
      <c r="A57" t="s">
        <v>130</v>
      </c>
      <c r="B57" t="s">
        <v>131</v>
      </c>
      <c r="C57" t="s">
        <v>54</v>
      </c>
      <c r="D57" t="s">
        <v>21</v>
      </c>
      <c r="E57">
        <v>0.60899999999999999</v>
      </c>
      <c r="F57">
        <v>0.434</v>
      </c>
      <c r="G57">
        <v>0</v>
      </c>
      <c r="H57">
        <v>4.6289999999999996</v>
      </c>
      <c r="I57">
        <v>2.0990000000000002</v>
      </c>
      <c r="J57">
        <v>3.9369999999999998</v>
      </c>
      <c r="K57">
        <v>2.0470000000000002</v>
      </c>
      <c r="L57">
        <v>1.6779999999999999</v>
      </c>
      <c r="M57">
        <v>2.1970000000000001</v>
      </c>
      <c r="N57">
        <v>3.5030000000000001</v>
      </c>
      <c r="O57">
        <v>4.1989999999999998</v>
      </c>
      <c r="P57">
        <v>7.3449999999999998</v>
      </c>
      <c r="Q57">
        <v>31.937000000000001</v>
      </c>
      <c r="R57">
        <v>701.47400000000005</v>
      </c>
    </row>
    <row r="58" spans="1:18" x14ac:dyDescent="0.2">
      <c r="A58" t="s">
        <v>130</v>
      </c>
      <c r="B58" t="s">
        <v>159</v>
      </c>
      <c r="C58" t="s">
        <v>119</v>
      </c>
      <c r="D58" t="s">
        <v>21</v>
      </c>
      <c r="E58">
        <v>1.591</v>
      </c>
      <c r="F58">
        <v>0.99099999999999999</v>
      </c>
      <c r="G58">
        <v>0</v>
      </c>
      <c r="H58">
        <v>3.085</v>
      </c>
      <c r="I58">
        <v>1.4079999999999999</v>
      </c>
      <c r="J58">
        <v>3.9390000000000001</v>
      </c>
      <c r="K58">
        <v>1.8420000000000001</v>
      </c>
      <c r="L58">
        <v>1.548</v>
      </c>
      <c r="M58">
        <v>2.7410000000000001</v>
      </c>
      <c r="N58">
        <v>3.5059999999999998</v>
      </c>
      <c r="O58">
        <v>2.855</v>
      </c>
      <c r="P58">
        <v>2.532</v>
      </c>
      <c r="Q58">
        <v>17.695</v>
      </c>
    </row>
    <row r="59" spans="1:18" x14ac:dyDescent="0.2">
      <c r="A59" t="s">
        <v>130</v>
      </c>
      <c r="B59" t="s">
        <v>143</v>
      </c>
      <c r="C59" t="s">
        <v>119</v>
      </c>
      <c r="D59" t="s">
        <v>21</v>
      </c>
      <c r="E59">
        <v>1.4279999999999999</v>
      </c>
      <c r="F59">
        <v>0.755</v>
      </c>
      <c r="G59">
        <v>0</v>
      </c>
      <c r="H59">
        <v>3.1859999999999999</v>
      </c>
      <c r="I59">
        <v>0.92900000000000005</v>
      </c>
      <c r="J59">
        <v>3.94</v>
      </c>
      <c r="K59">
        <v>1.214</v>
      </c>
      <c r="L59">
        <v>0.82399999999999995</v>
      </c>
      <c r="M59">
        <v>2.0230000000000001</v>
      </c>
      <c r="N59">
        <v>4.1929999999999996</v>
      </c>
      <c r="O59">
        <v>3.3370000000000002</v>
      </c>
      <c r="P59">
        <v>4.0819999999999999</v>
      </c>
      <c r="Q59">
        <v>9.99</v>
      </c>
      <c r="R59">
        <v>658.16099999999994</v>
      </c>
    </row>
    <row r="60" spans="1:18" x14ac:dyDescent="0.2">
      <c r="A60" t="s">
        <v>130</v>
      </c>
      <c r="B60" t="s">
        <v>160</v>
      </c>
      <c r="C60" t="s">
        <v>107</v>
      </c>
      <c r="D60" t="s">
        <v>21</v>
      </c>
      <c r="G60">
        <v>1.1259999999999999</v>
      </c>
      <c r="H60">
        <v>2.899</v>
      </c>
      <c r="I60">
        <v>0.71</v>
      </c>
      <c r="J60">
        <v>3.95</v>
      </c>
      <c r="K60">
        <v>2.33</v>
      </c>
      <c r="L60">
        <v>1.91</v>
      </c>
      <c r="M60">
        <v>2.8370000000000002</v>
      </c>
      <c r="P60">
        <v>2.9780000000000002</v>
      </c>
      <c r="Q60">
        <v>5.9749999999999996</v>
      </c>
    </row>
    <row r="61" spans="1:18" x14ac:dyDescent="0.2">
      <c r="A61" t="s">
        <v>130</v>
      </c>
      <c r="B61" t="s">
        <v>131</v>
      </c>
      <c r="C61" t="s">
        <v>54</v>
      </c>
      <c r="D61" t="s">
        <v>21</v>
      </c>
      <c r="E61">
        <v>0.68100000000000005</v>
      </c>
      <c r="F61">
        <v>0.502</v>
      </c>
      <c r="G61">
        <v>0</v>
      </c>
      <c r="H61">
        <v>5.157</v>
      </c>
      <c r="I61">
        <v>2.379</v>
      </c>
      <c r="J61">
        <v>3.9569999999999999</v>
      </c>
      <c r="K61">
        <v>1.512</v>
      </c>
      <c r="L61">
        <v>0.78300000000000003</v>
      </c>
      <c r="M61">
        <v>2.6429999999999998</v>
      </c>
      <c r="N61">
        <v>3.6549999999999998</v>
      </c>
      <c r="P61">
        <v>3.6150000000000002</v>
      </c>
      <c r="Q61">
        <v>22.692</v>
      </c>
      <c r="R61">
        <v>525.048</v>
      </c>
    </row>
    <row r="62" spans="1:18" x14ac:dyDescent="0.2">
      <c r="A62" t="s">
        <v>130</v>
      </c>
      <c r="B62" t="s">
        <v>133</v>
      </c>
      <c r="C62" t="s">
        <v>54</v>
      </c>
      <c r="D62" t="s">
        <v>21</v>
      </c>
      <c r="E62">
        <v>1.0369999999999999</v>
      </c>
      <c r="F62">
        <v>0.60799999999999998</v>
      </c>
      <c r="G62">
        <v>0</v>
      </c>
      <c r="H62">
        <v>3.5129999999999999</v>
      </c>
      <c r="I62">
        <v>1.0940000000000001</v>
      </c>
      <c r="J62">
        <v>3.9670000000000001</v>
      </c>
      <c r="K62">
        <v>1.629</v>
      </c>
      <c r="L62">
        <v>1.534</v>
      </c>
      <c r="M62">
        <v>2.133</v>
      </c>
      <c r="N62">
        <v>5.1120000000000001</v>
      </c>
      <c r="O62">
        <v>2.819</v>
      </c>
      <c r="P62">
        <v>1.377</v>
      </c>
      <c r="Q62">
        <v>7.4740000000000002</v>
      </c>
    </row>
    <row r="63" spans="1:18" x14ac:dyDescent="0.2">
      <c r="A63" t="s">
        <v>130</v>
      </c>
      <c r="B63" t="s">
        <v>153</v>
      </c>
      <c r="C63" t="s">
        <v>107</v>
      </c>
      <c r="D63" t="s">
        <v>21</v>
      </c>
      <c r="E63">
        <v>2.6549999999999998</v>
      </c>
      <c r="F63">
        <v>1.9570000000000001</v>
      </c>
      <c r="G63">
        <v>0.92400000000000004</v>
      </c>
      <c r="H63">
        <v>3.2509999999999999</v>
      </c>
      <c r="I63">
        <v>1.4490000000000001</v>
      </c>
      <c r="J63">
        <v>3.9969999999999999</v>
      </c>
      <c r="K63">
        <v>2.1219999999999999</v>
      </c>
      <c r="L63">
        <v>1.0449999999999999</v>
      </c>
      <c r="M63">
        <v>2.4860000000000002</v>
      </c>
      <c r="N63">
        <v>3.9350000000000001</v>
      </c>
      <c r="O63">
        <v>3.7850000000000001</v>
      </c>
      <c r="P63">
        <v>2.3370000000000002</v>
      </c>
      <c r="Q63">
        <v>29.978999999999999</v>
      </c>
      <c r="R63">
        <v>704.58600000000001</v>
      </c>
    </row>
    <row r="64" spans="1:18" x14ac:dyDescent="0.2">
      <c r="A64" t="s">
        <v>130</v>
      </c>
      <c r="B64" t="s">
        <v>156</v>
      </c>
      <c r="C64" t="s">
        <v>54</v>
      </c>
      <c r="E64">
        <v>1.391</v>
      </c>
      <c r="F64">
        <v>0.66400000000000003</v>
      </c>
      <c r="H64">
        <v>1.444</v>
      </c>
      <c r="I64">
        <v>0.114</v>
      </c>
      <c r="J64">
        <v>3.9990000000000001</v>
      </c>
      <c r="K64">
        <v>1.1830000000000001</v>
      </c>
      <c r="L64">
        <v>1.53</v>
      </c>
      <c r="M64">
        <v>1.5209999999999999</v>
      </c>
      <c r="N64">
        <v>4.59</v>
      </c>
      <c r="O64">
        <v>3.55</v>
      </c>
      <c r="P64">
        <v>1.0089999999999999</v>
      </c>
      <c r="Q64">
        <v>13.587999999999999</v>
      </c>
      <c r="R64">
        <v>253.42</v>
      </c>
    </row>
    <row r="65" spans="1:18" x14ac:dyDescent="0.2">
      <c r="A65" t="s">
        <v>130</v>
      </c>
      <c r="B65" t="s">
        <v>142</v>
      </c>
      <c r="C65" t="s">
        <v>38</v>
      </c>
      <c r="D65" t="s">
        <v>21</v>
      </c>
      <c r="E65">
        <v>1.873</v>
      </c>
      <c r="F65">
        <v>0.84099999999999997</v>
      </c>
      <c r="G65">
        <v>0.89900000000000002</v>
      </c>
      <c r="H65">
        <v>3.3820000000000001</v>
      </c>
      <c r="I65">
        <v>1.242</v>
      </c>
      <c r="J65">
        <v>4.0129999999999999</v>
      </c>
      <c r="K65">
        <v>0.83299999999999996</v>
      </c>
      <c r="L65">
        <v>0.68200000000000005</v>
      </c>
      <c r="M65">
        <v>2.238</v>
      </c>
      <c r="N65">
        <v>3.1560000000000001</v>
      </c>
      <c r="O65">
        <v>2.5339999999999998</v>
      </c>
      <c r="P65">
        <v>3.8050000000000002</v>
      </c>
      <c r="Q65">
        <v>16.451000000000001</v>
      </c>
      <c r="R65">
        <v>557.09799999999996</v>
      </c>
    </row>
    <row r="66" spans="1:18" x14ac:dyDescent="0.2">
      <c r="A66" t="s">
        <v>130</v>
      </c>
      <c r="B66" t="s">
        <v>154</v>
      </c>
      <c r="C66" t="s">
        <v>38</v>
      </c>
      <c r="D66" t="s">
        <v>21</v>
      </c>
      <c r="E66">
        <v>1.9910000000000001</v>
      </c>
      <c r="F66">
        <v>1.1890000000000001</v>
      </c>
      <c r="G66">
        <v>1.0489999999999999</v>
      </c>
      <c r="H66">
        <v>6.4569999999999999</v>
      </c>
      <c r="I66">
        <v>1.325</v>
      </c>
      <c r="J66">
        <v>4.0209999999999999</v>
      </c>
      <c r="K66">
        <v>1.0960000000000001</v>
      </c>
      <c r="L66">
        <v>0.996</v>
      </c>
      <c r="M66">
        <v>2.76</v>
      </c>
      <c r="N66">
        <v>4.1470000000000002</v>
      </c>
      <c r="O66">
        <v>5.3049999999999997</v>
      </c>
      <c r="P66">
        <v>2.9340000000000002</v>
      </c>
      <c r="Q66">
        <v>36.332000000000001</v>
      </c>
      <c r="R66">
        <v>733.98800000000006</v>
      </c>
    </row>
    <row r="67" spans="1:18" x14ac:dyDescent="0.2">
      <c r="A67" t="s">
        <v>130</v>
      </c>
      <c r="B67" t="s">
        <v>146</v>
      </c>
      <c r="C67" t="s">
        <v>44</v>
      </c>
      <c r="D67" t="s">
        <v>21</v>
      </c>
      <c r="E67">
        <v>1.151</v>
      </c>
      <c r="F67">
        <v>0.71699999999999997</v>
      </c>
      <c r="G67">
        <v>0</v>
      </c>
      <c r="H67">
        <v>4.3140000000000001</v>
      </c>
      <c r="I67">
        <v>2.1389999999999998</v>
      </c>
      <c r="J67">
        <v>4.0259999999999998</v>
      </c>
      <c r="M67">
        <v>2.9140000000000001</v>
      </c>
      <c r="N67">
        <v>3.2669999999999999</v>
      </c>
      <c r="O67">
        <v>4.367</v>
      </c>
      <c r="P67">
        <v>1.4970000000000001</v>
      </c>
      <c r="Q67">
        <v>12.853999999999999</v>
      </c>
      <c r="R67">
        <v>644.80700000000002</v>
      </c>
    </row>
    <row r="68" spans="1:18" x14ac:dyDescent="0.2">
      <c r="A68" t="s">
        <v>130</v>
      </c>
      <c r="B68" t="s">
        <v>162</v>
      </c>
      <c r="C68" t="s">
        <v>119</v>
      </c>
      <c r="E68">
        <v>1.5029999999999999</v>
      </c>
      <c r="F68">
        <v>0.79600000000000004</v>
      </c>
      <c r="H68">
        <v>1.5049999999999999</v>
      </c>
      <c r="I68">
        <v>0.48799999999999999</v>
      </c>
      <c r="J68">
        <v>4.0259999999999998</v>
      </c>
      <c r="K68">
        <v>2.194</v>
      </c>
      <c r="L68">
        <v>1.911</v>
      </c>
      <c r="M68">
        <v>1.909</v>
      </c>
      <c r="N68">
        <v>1.9379999999999999</v>
      </c>
      <c r="P68">
        <v>2.4430000000000001</v>
      </c>
      <c r="Q68">
        <v>20.555</v>
      </c>
      <c r="R68">
        <v>454.62099999999998</v>
      </c>
    </row>
    <row r="69" spans="1:18" x14ac:dyDescent="0.2">
      <c r="A69" t="s">
        <v>130</v>
      </c>
      <c r="B69" t="s">
        <v>168</v>
      </c>
      <c r="C69" t="s">
        <v>81</v>
      </c>
      <c r="E69">
        <v>0.84899999999999998</v>
      </c>
      <c r="F69">
        <v>0.67300000000000004</v>
      </c>
      <c r="G69">
        <v>1.22</v>
      </c>
      <c r="H69">
        <v>2.7719999999999998</v>
      </c>
      <c r="I69">
        <v>0.51300000000000001</v>
      </c>
      <c r="J69">
        <v>4.0439999999999996</v>
      </c>
      <c r="K69">
        <v>1.1890000000000001</v>
      </c>
      <c r="L69">
        <v>0.78500000000000003</v>
      </c>
      <c r="M69">
        <v>1.6020000000000001</v>
      </c>
      <c r="N69">
        <v>3.081</v>
      </c>
      <c r="O69">
        <v>4.3029999999999999</v>
      </c>
      <c r="P69">
        <v>3.0139999999999998</v>
      </c>
      <c r="Q69">
        <v>9.2899999999999991</v>
      </c>
    </row>
    <row r="70" spans="1:18" x14ac:dyDescent="0.2">
      <c r="A70" t="s">
        <v>130</v>
      </c>
      <c r="B70" t="s">
        <v>158</v>
      </c>
      <c r="C70" t="s">
        <v>54</v>
      </c>
      <c r="D70" t="s">
        <v>21</v>
      </c>
      <c r="E70">
        <v>2.1230000000000002</v>
      </c>
      <c r="F70">
        <v>1.06</v>
      </c>
      <c r="G70">
        <v>0</v>
      </c>
      <c r="H70">
        <v>3.25</v>
      </c>
      <c r="I70">
        <v>1.3160000000000001</v>
      </c>
      <c r="J70">
        <v>4.0629999999999997</v>
      </c>
      <c r="K70">
        <v>1.02</v>
      </c>
      <c r="L70">
        <v>1.544</v>
      </c>
      <c r="M70">
        <v>1.9570000000000001</v>
      </c>
      <c r="N70">
        <v>3.3759999999999999</v>
      </c>
      <c r="O70">
        <v>3.165</v>
      </c>
      <c r="P70">
        <v>2.2200000000000002</v>
      </c>
      <c r="Q70">
        <v>13.545999999999999</v>
      </c>
    </row>
    <row r="71" spans="1:18" x14ac:dyDescent="0.2">
      <c r="A71" t="s">
        <v>130</v>
      </c>
      <c r="B71" t="s">
        <v>143</v>
      </c>
      <c r="C71" t="s">
        <v>119</v>
      </c>
      <c r="D71" t="s">
        <v>21</v>
      </c>
      <c r="E71">
        <v>2.1</v>
      </c>
      <c r="F71">
        <v>0.53700000000000003</v>
      </c>
      <c r="G71">
        <v>0</v>
      </c>
      <c r="H71">
        <v>4.62</v>
      </c>
      <c r="I71">
        <v>1.2929999999999999</v>
      </c>
      <c r="J71">
        <v>4.0759999999999996</v>
      </c>
      <c r="K71">
        <v>1.456</v>
      </c>
      <c r="L71">
        <v>1.2150000000000001</v>
      </c>
      <c r="M71">
        <v>2.0049999999999999</v>
      </c>
      <c r="N71">
        <v>2.637</v>
      </c>
      <c r="O71">
        <v>4.6840000000000002</v>
      </c>
      <c r="P71">
        <v>6.4729999999999999</v>
      </c>
      <c r="Q71">
        <v>24.419</v>
      </c>
    </row>
    <row r="72" spans="1:18" x14ac:dyDescent="0.2">
      <c r="A72" t="s">
        <v>130</v>
      </c>
      <c r="B72" t="s">
        <v>137</v>
      </c>
      <c r="C72" t="s">
        <v>81</v>
      </c>
      <c r="D72" t="s">
        <v>21</v>
      </c>
      <c r="E72">
        <v>1.514</v>
      </c>
      <c r="F72">
        <v>0.79200000000000004</v>
      </c>
      <c r="G72">
        <v>0</v>
      </c>
      <c r="H72">
        <v>5.2640000000000002</v>
      </c>
      <c r="I72">
        <v>4.0439999999999996</v>
      </c>
      <c r="J72">
        <v>4.1219999999999999</v>
      </c>
      <c r="K72">
        <v>1.399</v>
      </c>
      <c r="L72">
        <v>1.0920000000000001</v>
      </c>
      <c r="M72">
        <v>2.9009999999999998</v>
      </c>
      <c r="N72">
        <v>3</v>
      </c>
      <c r="O72">
        <v>4.766</v>
      </c>
      <c r="P72">
        <v>3.4670000000000001</v>
      </c>
      <c r="Q72">
        <v>15.698</v>
      </c>
      <c r="R72">
        <v>629.75199999999995</v>
      </c>
    </row>
    <row r="73" spans="1:18" x14ac:dyDescent="0.2">
      <c r="A73" t="s">
        <v>130</v>
      </c>
      <c r="B73" t="s">
        <v>158</v>
      </c>
      <c r="C73" t="s">
        <v>54</v>
      </c>
      <c r="D73" t="s">
        <v>21</v>
      </c>
      <c r="E73">
        <v>2.2120000000000002</v>
      </c>
      <c r="F73">
        <v>1.413</v>
      </c>
      <c r="G73">
        <v>0</v>
      </c>
      <c r="H73">
        <v>5.7279999999999998</v>
      </c>
      <c r="I73">
        <v>1.909</v>
      </c>
      <c r="J73">
        <v>4.1440000000000001</v>
      </c>
      <c r="K73">
        <v>1.4570000000000001</v>
      </c>
      <c r="L73">
        <v>0.93700000000000006</v>
      </c>
      <c r="M73">
        <v>2.359</v>
      </c>
      <c r="N73">
        <v>3.286</v>
      </c>
      <c r="O73">
        <v>2.76</v>
      </c>
      <c r="P73">
        <v>1.68</v>
      </c>
      <c r="Q73">
        <v>30.838000000000001</v>
      </c>
      <c r="R73">
        <v>758.36</v>
      </c>
    </row>
    <row r="74" spans="1:18" x14ac:dyDescent="0.2">
      <c r="A74" t="s">
        <v>130</v>
      </c>
      <c r="B74" t="s">
        <v>147</v>
      </c>
      <c r="C74" t="s">
        <v>50</v>
      </c>
      <c r="D74" t="s">
        <v>21</v>
      </c>
      <c r="E74">
        <v>1.3959999999999999</v>
      </c>
      <c r="F74">
        <v>0.67300000000000004</v>
      </c>
      <c r="G74">
        <v>1.03</v>
      </c>
      <c r="H74">
        <v>7.3929999999999998</v>
      </c>
      <c r="I74">
        <v>2.2789999999999999</v>
      </c>
      <c r="J74">
        <v>4.1500000000000004</v>
      </c>
      <c r="K74">
        <v>0.97499999999999998</v>
      </c>
      <c r="L74">
        <v>0.91400000000000003</v>
      </c>
      <c r="M74">
        <v>3.3180000000000001</v>
      </c>
      <c r="N74">
        <v>3.4039999999999999</v>
      </c>
      <c r="O74">
        <v>3.339</v>
      </c>
      <c r="P74">
        <v>6.3479999999999999</v>
      </c>
      <c r="Q74">
        <v>14.391</v>
      </c>
      <c r="R74">
        <v>723.64400000000001</v>
      </c>
    </row>
    <row r="75" spans="1:18" x14ac:dyDescent="0.2">
      <c r="A75" t="s">
        <v>130</v>
      </c>
      <c r="B75" t="s">
        <v>132</v>
      </c>
      <c r="C75" t="s">
        <v>54</v>
      </c>
      <c r="D75" t="s">
        <v>21</v>
      </c>
      <c r="E75">
        <v>1.196</v>
      </c>
      <c r="F75">
        <v>0.84499999999999997</v>
      </c>
      <c r="G75">
        <v>0</v>
      </c>
      <c r="H75">
        <v>3.5129999999999999</v>
      </c>
      <c r="I75">
        <v>1.3029999999999999</v>
      </c>
      <c r="J75">
        <v>4.1580000000000004</v>
      </c>
      <c r="K75">
        <v>1.4710000000000001</v>
      </c>
      <c r="L75">
        <v>1.23</v>
      </c>
      <c r="M75">
        <v>1.72</v>
      </c>
      <c r="N75">
        <v>5.2190000000000003</v>
      </c>
      <c r="O75">
        <v>3.254</v>
      </c>
      <c r="P75">
        <v>1.5980000000000001</v>
      </c>
      <c r="Q75">
        <v>8.4</v>
      </c>
    </row>
    <row r="76" spans="1:18" x14ac:dyDescent="0.2">
      <c r="A76" t="s">
        <v>130</v>
      </c>
      <c r="B76" t="s">
        <v>159</v>
      </c>
      <c r="C76" t="s">
        <v>119</v>
      </c>
      <c r="D76" t="s">
        <v>21</v>
      </c>
      <c r="E76">
        <v>2.161</v>
      </c>
      <c r="F76">
        <v>1.0169999999999999</v>
      </c>
      <c r="G76">
        <v>0</v>
      </c>
      <c r="H76">
        <v>3.105</v>
      </c>
      <c r="I76">
        <v>1.4430000000000001</v>
      </c>
      <c r="J76">
        <v>4.1859999999999999</v>
      </c>
      <c r="K76">
        <v>1.4770000000000001</v>
      </c>
      <c r="L76">
        <v>1.323</v>
      </c>
      <c r="M76">
        <v>2.1760000000000002</v>
      </c>
      <c r="N76">
        <v>2.2069999999999999</v>
      </c>
      <c r="O76">
        <v>3.6749999999999998</v>
      </c>
      <c r="P76">
        <v>1.4279999999999999</v>
      </c>
      <c r="Q76">
        <v>24.798999999999999</v>
      </c>
      <c r="R76">
        <v>926.57799999999997</v>
      </c>
    </row>
    <row r="77" spans="1:18" x14ac:dyDescent="0.2">
      <c r="A77" t="s">
        <v>130</v>
      </c>
      <c r="B77" t="s">
        <v>168</v>
      </c>
      <c r="C77" t="s">
        <v>81</v>
      </c>
      <c r="E77">
        <v>0.879</v>
      </c>
      <c r="F77">
        <v>0.78800000000000003</v>
      </c>
      <c r="G77">
        <v>0.92500000000000004</v>
      </c>
      <c r="H77">
        <v>3.3340000000000001</v>
      </c>
      <c r="I77">
        <v>0.55000000000000004</v>
      </c>
      <c r="J77">
        <v>4.2439999999999998</v>
      </c>
      <c r="K77">
        <v>1.288</v>
      </c>
      <c r="L77">
        <v>0.89100000000000001</v>
      </c>
      <c r="M77">
        <v>1.361</v>
      </c>
      <c r="N77">
        <v>3.5920000000000001</v>
      </c>
      <c r="O77">
        <v>3.6219999999999999</v>
      </c>
      <c r="P77">
        <v>3.0009999999999999</v>
      </c>
      <c r="Q77">
        <v>9.1880000000000006</v>
      </c>
      <c r="R77">
        <v>516.423</v>
      </c>
    </row>
    <row r="78" spans="1:18" x14ac:dyDescent="0.2">
      <c r="A78" t="s">
        <v>130</v>
      </c>
      <c r="B78" t="s">
        <v>153</v>
      </c>
      <c r="C78" t="s">
        <v>107</v>
      </c>
      <c r="D78" t="s">
        <v>21</v>
      </c>
      <c r="E78">
        <v>2.266</v>
      </c>
      <c r="F78">
        <v>1.734</v>
      </c>
      <c r="G78">
        <v>0.69299999999999995</v>
      </c>
      <c r="H78">
        <v>3.7490000000000001</v>
      </c>
      <c r="I78">
        <v>1.5129999999999999</v>
      </c>
      <c r="J78">
        <v>4.2969999999999997</v>
      </c>
      <c r="K78">
        <v>1.462</v>
      </c>
      <c r="L78">
        <v>0.94399999999999995</v>
      </c>
      <c r="M78">
        <v>2.3239999999999998</v>
      </c>
      <c r="N78">
        <v>3.5920000000000001</v>
      </c>
      <c r="O78">
        <v>3.7709999999999999</v>
      </c>
      <c r="P78">
        <v>1.6619999999999999</v>
      </c>
      <c r="Q78">
        <v>23.616</v>
      </c>
    </row>
    <row r="79" spans="1:18" x14ac:dyDescent="0.2">
      <c r="A79" t="s">
        <v>130</v>
      </c>
      <c r="B79" t="s">
        <v>157</v>
      </c>
      <c r="C79" t="s">
        <v>54</v>
      </c>
      <c r="D79" t="s">
        <v>21</v>
      </c>
      <c r="E79">
        <v>2.681</v>
      </c>
      <c r="F79">
        <v>1.6379999999999999</v>
      </c>
      <c r="G79">
        <v>0</v>
      </c>
      <c r="H79">
        <v>4.3810000000000002</v>
      </c>
      <c r="I79">
        <v>1.843</v>
      </c>
      <c r="J79">
        <v>4.3079999999999998</v>
      </c>
      <c r="K79">
        <v>1.5960000000000001</v>
      </c>
      <c r="L79">
        <v>0.72299999999999998</v>
      </c>
      <c r="M79">
        <v>2.7810000000000001</v>
      </c>
      <c r="N79">
        <v>3.234</v>
      </c>
      <c r="O79">
        <v>2.0710000000000002</v>
      </c>
      <c r="P79">
        <v>2.7850000000000001</v>
      </c>
      <c r="Q79">
        <v>21.800999999999998</v>
      </c>
      <c r="R79">
        <v>796.35</v>
      </c>
    </row>
    <row r="80" spans="1:18" x14ac:dyDescent="0.2">
      <c r="A80" t="s">
        <v>130</v>
      </c>
      <c r="B80" t="s">
        <v>144</v>
      </c>
      <c r="C80" t="s">
        <v>119</v>
      </c>
      <c r="D80" t="s">
        <v>21</v>
      </c>
      <c r="E80">
        <v>1.167</v>
      </c>
      <c r="F80">
        <v>0.55100000000000005</v>
      </c>
      <c r="G80">
        <v>0</v>
      </c>
      <c r="H80">
        <v>5.3849999999999998</v>
      </c>
      <c r="I80">
        <v>1.4630000000000001</v>
      </c>
      <c r="J80">
        <v>4.3250000000000002</v>
      </c>
      <c r="K80">
        <v>1.349</v>
      </c>
      <c r="L80">
        <v>1.0329999999999999</v>
      </c>
      <c r="M80">
        <v>1.9379999999999999</v>
      </c>
      <c r="N80">
        <v>3.2629999999999999</v>
      </c>
      <c r="O80">
        <v>3.2360000000000002</v>
      </c>
      <c r="P80">
        <v>7.4349999999999996</v>
      </c>
      <c r="Q80">
        <v>16.916</v>
      </c>
      <c r="R80">
        <v>781.95600000000002</v>
      </c>
    </row>
    <row r="81" spans="1:18" x14ac:dyDescent="0.2">
      <c r="A81" t="s">
        <v>130</v>
      </c>
      <c r="B81" t="s">
        <v>139</v>
      </c>
      <c r="C81" t="s">
        <v>81</v>
      </c>
      <c r="D81" t="s">
        <v>21</v>
      </c>
      <c r="E81">
        <v>1.1930000000000001</v>
      </c>
      <c r="F81">
        <v>0.61499999999999999</v>
      </c>
      <c r="G81">
        <v>0</v>
      </c>
      <c r="H81">
        <v>7.2350000000000003</v>
      </c>
      <c r="I81">
        <v>1.9570000000000001</v>
      </c>
      <c r="J81">
        <v>4.3449999999999998</v>
      </c>
      <c r="K81">
        <v>2.181</v>
      </c>
      <c r="L81">
        <v>2.1579999999999999</v>
      </c>
      <c r="M81">
        <v>2.133</v>
      </c>
      <c r="N81">
        <v>3.4009999999999998</v>
      </c>
      <c r="O81">
        <v>4.7720000000000002</v>
      </c>
      <c r="P81">
        <v>3.5049999999999999</v>
      </c>
      <c r="Q81">
        <v>16.625</v>
      </c>
    </row>
    <row r="82" spans="1:18" x14ac:dyDescent="0.2">
      <c r="A82" t="s">
        <v>130</v>
      </c>
      <c r="B82" t="s">
        <v>159</v>
      </c>
      <c r="C82" t="s">
        <v>119</v>
      </c>
      <c r="D82" t="s">
        <v>21</v>
      </c>
      <c r="E82">
        <v>2.1520000000000001</v>
      </c>
      <c r="F82">
        <v>1.077</v>
      </c>
      <c r="G82">
        <v>0</v>
      </c>
      <c r="H82">
        <v>4.6120000000000001</v>
      </c>
      <c r="I82">
        <v>1.847</v>
      </c>
      <c r="J82">
        <v>4.4169999999999998</v>
      </c>
      <c r="K82">
        <v>1.54</v>
      </c>
      <c r="L82">
        <v>1.1459999999999999</v>
      </c>
      <c r="M82">
        <v>2.609</v>
      </c>
      <c r="N82">
        <v>3.548</v>
      </c>
      <c r="O82">
        <v>3.3849999999999998</v>
      </c>
      <c r="P82">
        <v>1.7729999999999999</v>
      </c>
      <c r="Q82">
        <v>15.894</v>
      </c>
    </row>
    <row r="83" spans="1:18" x14ac:dyDescent="0.2">
      <c r="A83" t="s">
        <v>130</v>
      </c>
      <c r="B83" t="s">
        <v>138</v>
      </c>
      <c r="C83" t="s">
        <v>81</v>
      </c>
      <c r="D83" t="s">
        <v>21</v>
      </c>
      <c r="E83">
        <v>1.853</v>
      </c>
      <c r="F83">
        <v>0.89200000000000002</v>
      </c>
      <c r="G83">
        <v>0</v>
      </c>
      <c r="H83">
        <v>8.1329999999999991</v>
      </c>
      <c r="I83">
        <v>2.3780000000000001</v>
      </c>
      <c r="J83">
        <v>4.4189999999999996</v>
      </c>
      <c r="K83">
        <v>1.306</v>
      </c>
      <c r="L83">
        <v>0.81899999999999995</v>
      </c>
      <c r="M83">
        <v>3.1960000000000002</v>
      </c>
      <c r="N83">
        <v>2.9350000000000001</v>
      </c>
      <c r="O83">
        <v>5.3470000000000004</v>
      </c>
      <c r="P83">
        <v>4.2220000000000004</v>
      </c>
      <c r="Q83">
        <v>9.6319999999999997</v>
      </c>
      <c r="R83">
        <v>679.41099999999994</v>
      </c>
    </row>
    <row r="84" spans="1:18" x14ac:dyDescent="0.2">
      <c r="A84" t="s">
        <v>130</v>
      </c>
      <c r="B84" t="s">
        <v>157</v>
      </c>
      <c r="C84" t="s">
        <v>54</v>
      </c>
      <c r="D84" t="s">
        <v>21</v>
      </c>
      <c r="E84">
        <v>2.7440000000000002</v>
      </c>
      <c r="F84">
        <v>1.9039999999999999</v>
      </c>
      <c r="G84">
        <v>0</v>
      </c>
      <c r="H84">
        <v>7.8310000000000004</v>
      </c>
      <c r="I84">
        <v>2.4289999999999998</v>
      </c>
      <c r="J84">
        <v>4.4619999999999997</v>
      </c>
      <c r="K84">
        <v>1.016</v>
      </c>
      <c r="L84">
        <v>0.72</v>
      </c>
      <c r="M84">
        <v>2.298</v>
      </c>
      <c r="N84">
        <v>3.6779999999999999</v>
      </c>
      <c r="O84">
        <v>4.7060000000000004</v>
      </c>
      <c r="P84">
        <v>3.9220000000000002</v>
      </c>
      <c r="Q84">
        <v>43.83</v>
      </c>
      <c r="R84">
        <v>815.08799999999997</v>
      </c>
    </row>
    <row r="85" spans="1:18" x14ac:dyDescent="0.2">
      <c r="A85" t="s">
        <v>130</v>
      </c>
      <c r="B85" t="s">
        <v>159</v>
      </c>
      <c r="C85" t="s">
        <v>119</v>
      </c>
      <c r="D85" t="s">
        <v>21</v>
      </c>
      <c r="E85">
        <v>1.448</v>
      </c>
      <c r="F85">
        <v>1.095</v>
      </c>
      <c r="G85">
        <v>0</v>
      </c>
      <c r="H85">
        <v>3.8690000000000002</v>
      </c>
      <c r="I85">
        <v>1.226</v>
      </c>
      <c r="J85">
        <v>4.5179999999999998</v>
      </c>
      <c r="K85">
        <v>1.5569999999999999</v>
      </c>
      <c r="L85">
        <v>1.5309999999999999</v>
      </c>
      <c r="M85">
        <v>2.1059999999999999</v>
      </c>
      <c r="N85">
        <v>3.1419999999999999</v>
      </c>
      <c r="O85">
        <v>3.3839999999999999</v>
      </c>
      <c r="P85">
        <v>2.5779999999999998</v>
      </c>
      <c r="Q85">
        <v>36.545999999999999</v>
      </c>
    </row>
    <row r="86" spans="1:18" x14ac:dyDescent="0.2">
      <c r="A86" t="s">
        <v>130</v>
      </c>
      <c r="B86" t="s">
        <v>156</v>
      </c>
      <c r="C86" t="s">
        <v>54</v>
      </c>
      <c r="D86" t="s">
        <v>21</v>
      </c>
      <c r="E86">
        <v>1.8120000000000001</v>
      </c>
      <c r="F86">
        <v>1.4379999999999999</v>
      </c>
      <c r="G86">
        <v>0</v>
      </c>
      <c r="H86">
        <v>4.508</v>
      </c>
      <c r="I86">
        <v>0.97799999999999998</v>
      </c>
      <c r="J86">
        <v>4.5549999999999997</v>
      </c>
      <c r="K86">
        <v>2.2869999999999999</v>
      </c>
      <c r="L86">
        <v>1.575</v>
      </c>
      <c r="M86">
        <v>2.37</v>
      </c>
      <c r="N86">
        <v>3.8540000000000001</v>
      </c>
      <c r="O86">
        <v>3.7040000000000002</v>
      </c>
      <c r="P86">
        <v>4.9139999999999997</v>
      </c>
      <c r="Q86">
        <v>14.461</v>
      </c>
    </row>
    <row r="87" spans="1:18" x14ac:dyDescent="0.2">
      <c r="A87" t="s">
        <v>130</v>
      </c>
      <c r="B87" t="s">
        <v>160</v>
      </c>
      <c r="C87" t="s">
        <v>107</v>
      </c>
      <c r="D87" t="s">
        <v>21</v>
      </c>
      <c r="G87">
        <v>0.52600000000000002</v>
      </c>
      <c r="H87">
        <v>1.0669999999999999</v>
      </c>
      <c r="I87">
        <v>0.34</v>
      </c>
      <c r="J87">
        <v>4.5860000000000003</v>
      </c>
      <c r="K87">
        <v>1.143</v>
      </c>
      <c r="L87">
        <v>0.88800000000000001</v>
      </c>
      <c r="M87">
        <v>3.2090000000000001</v>
      </c>
      <c r="P87">
        <v>3.0139999999999998</v>
      </c>
      <c r="Q87">
        <v>2.306</v>
      </c>
    </row>
    <row r="88" spans="1:18" x14ac:dyDescent="0.2">
      <c r="A88" t="s">
        <v>130</v>
      </c>
      <c r="B88" t="s">
        <v>159</v>
      </c>
      <c r="C88" t="s">
        <v>119</v>
      </c>
      <c r="D88" t="s">
        <v>21</v>
      </c>
      <c r="E88">
        <v>2.0329999999999999</v>
      </c>
      <c r="F88">
        <v>1.0229999999999999</v>
      </c>
      <c r="G88">
        <v>0</v>
      </c>
      <c r="H88">
        <v>4.4770000000000003</v>
      </c>
      <c r="I88">
        <v>1.972</v>
      </c>
      <c r="J88">
        <v>4.6130000000000004</v>
      </c>
      <c r="K88">
        <v>1.9159999999999999</v>
      </c>
      <c r="L88">
        <v>1.365</v>
      </c>
      <c r="M88">
        <v>2.6259999999999999</v>
      </c>
      <c r="N88">
        <v>4.1159999999999997</v>
      </c>
      <c r="O88">
        <v>4.6239999999999997</v>
      </c>
      <c r="P88">
        <v>1.762</v>
      </c>
      <c r="Q88">
        <v>14.348000000000001</v>
      </c>
    </row>
    <row r="89" spans="1:18" x14ac:dyDescent="0.2">
      <c r="A89" t="s">
        <v>130</v>
      </c>
      <c r="B89" t="s">
        <v>152</v>
      </c>
      <c r="C89" t="s">
        <v>50</v>
      </c>
      <c r="D89" t="s">
        <v>24</v>
      </c>
      <c r="E89">
        <v>3.5419999999999998</v>
      </c>
      <c r="F89">
        <v>1.972</v>
      </c>
      <c r="G89">
        <v>1.37</v>
      </c>
      <c r="H89">
        <v>5.4660000000000002</v>
      </c>
      <c r="I89">
        <v>2.3860000000000001</v>
      </c>
      <c r="J89">
        <v>4.6589999999999998</v>
      </c>
      <c r="K89">
        <v>1.754</v>
      </c>
      <c r="L89">
        <v>1.625</v>
      </c>
      <c r="M89">
        <v>1.595</v>
      </c>
      <c r="N89">
        <v>4.085</v>
      </c>
      <c r="O89">
        <v>4.4429999999999996</v>
      </c>
      <c r="P89">
        <v>3.0510000000000002</v>
      </c>
      <c r="Q89">
        <v>18.366</v>
      </c>
      <c r="R89">
        <v>668.47900000000004</v>
      </c>
    </row>
    <row r="90" spans="1:18" x14ac:dyDescent="0.2">
      <c r="A90" t="s">
        <v>130</v>
      </c>
      <c r="B90" t="s">
        <v>138</v>
      </c>
      <c r="C90" t="s">
        <v>81</v>
      </c>
      <c r="D90" t="s">
        <v>21</v>
      </c>
      <c r="E90">
        <v>1.333</v>
      </c>
      <c r="F90">
        <v>0.85199999999999998</v>
      </c>
      <c r="G90">
        <v>0</v>
      </c>
      <c r="H90">
        <v>6.9470000000000001</v>
      </c>
      <c r="I90">
        <v>2.6269999999999998</v>
      </c>
      <c r="J90">
        <v>4.6749999999999998</v>
      </c>
      <c r="K90">
        <v>1.153</v>
      </c>
      <c r="L90">
        <v>0.78500000000000003</v>
      </c>
      <c r="M90">
        <v>2.8109999999999999</v>
      </c>
      <c r="N90">
        <v>2.7759999999999998</v>
      </c>
      <c r="O90">
        <v>4.1120000000000001</v>
      </c>
      <c r="P90">
        <v>8.1720000000000006</v>
      </c>
      <c r="Q90">
        <v>10.941000000000001</v>
      </c>
    </row>
    <row r="91" spans="1:18" x14ac:dyDescent="0.2">
      <c r="A91" t="s">
        <v>130</v>
      </c>
      <c r="B91" t="s">
        <v>165</v>
      </c>
      <c r="C91" t="s">
        <v>119</v>
      </c>
      <c r="E91">
        <v>1.085</v>
      </c>
      <c r="F91">
        <v>0.64900000000000002</v>
      </c>
      <c r="G91">
        <v>1.0429999999999999</v>
      </c>
      <c r="H91">
        <v>2.9820000000000002</v>
      </c>
      <c r="I91">
        <v>0.76500000000000001</v>
      </c>
      <c r="J91">
        <v>4.6779999999999999</v>
      </c>
      <c r="K91">
        <v>2.1619999999999999</v>
      </c>
      <c r="L91">
        <v>1.8540000000000001</v>
      </c>
      <c r="M91">
        <v>2.048</v>
      </c>
      <c r="P91">
        <v>1.569</v>
      </c>
      <c r="Q91">
        <v>6.3029999999999999</v>
      </c>
      <c r="R91">
        <v>187.589</v>
      </c>
    </row>
    <row r="92" spans="1:18" x14ac:dyDescent="0.2">
      <c r="A92" t="s">
        <v>130</v>
      </c>
      <c r="B92" t="s">
        <v>155</v>
      </c>
      <c r="C92" t="s">
        <v>38</v>
      </c>
      <c r="D92" t="s">
        <v>21</v>
      </c>
      <c r="E92">
        <v>2.15</v>
      </c>
      <c r="F92">
        <v>1.8420000000000001</v>
      </c>
      <c r="G92">
        <v>1.115</v>
      </c>
      <c r="H92">
        <v>9.4670000000000005</v>
      </c>
      <c r="I92">
        <v>1.55</v>
      </c>
      <c r="J92">
        <v>4.7649999999999997</v>
      </c>
      <c r="K92">
        <v>1.4630000000000001</v>
      </c>
      <c r="L92">
        <v>1.4370000000000001</v>
      </c>
      <c r="M92">
        <v>2.3740000000000001</v>
      </c>
      <c r="N92">
        <v>4.766</v>
      </c>
      <c r="O92">
        <v>4.3890000000000002</v>
      </c>
      <c r="P92">
        <v>3.7149999999999999</v>
      </c>
      <c r="Q92">
        <v>24.686</v>
      </c>
    </row>
    <row r="93" spans="1:18" x14ac:dyDescent="0.2">
      <c r="A93" t="s">
        <v>130</v>
      </c>
      <c r="B93" t="s">
        <v>154</v>
      </c>
      <c r="C93" t="s">
        <v>38</v>
      </c>
      <c r="D93" t="s">
        <v>21</v>
      </c>
      <c r="E93">
        <v>1.958</v>
      </c>
      <c r="F93">
        <v>1.2270000000000001</v>
      </c>
      <c r="G93">
        <v>1.1559999999999999</v>
      </c>
      <c r="H93">
        <v>4.5880000000000001</v>
      </c>
      <c r="I93">
        <v>1.3580000000000001</v>
      </c>
      <c r="J93">
        <v>4.7750000000000004</v>
      </c>
      <c r="K93">
        <v>1.121</v>
      </c>
      <c r="L93">
        <v>0.63300000000000001</v>
      </c>
      <c r="M93">
        <v>2.86</v>
      </c>
      <c r="N93">
        <v>3.198</v>
      </c>
      <c r="O93">
        <v>3.536</v>
      </c>
      <c r="P93">
        <v>3.5550000000000002</v>
      </c>
      <c r="Q93">
        <v>26.231999999999999</v>
      </c>
    </row>
    <row r="94" spans="1:18" x14ac:dyDescent="0.2">
      <c r="A94" t="s">
        <v>130</v>
      </c>
      <c r="B94" t="s">
        <v>145</v>
      </c>
      <c r="C94" t="s">
        <v>119</v>
      </c>
      <c r="D94" t="s">
        <v>21</v>
      </c>
      <c r="E94">
        <v>1.927</v>
      </c>
      <c r="F94">
        <v>0.61399999999999999</v>
      </c>
      <c r="G94">
        <v>0</v>
      </c>
      <c r="H94">
        <v>5.1029999999999998</v>
      </c>
      <c r="I94">
        <v>2.6379999999999999</v>
      </c>
      <c r="J94">
        <v>4.798</v>
      </c>
      <c r="K94">
        <v>2.274</v>
      </c>
      <c r="L94">
        <v>2.0760000000000001</v>
      </c>
      <c r="M94">
        <v>1.851</v>
      </c>
      <c r="N94">
        <v>4.4450000000000003</v>
      </c>
      <c r="O94">
        <v>2.5779999999999998</v>
      </c>
      <c r="P94">
        <v>5.7080000000000002</v>
      </c>
      <c r="Q94">
        <v>20.942</v>
      </c>
    </row>
    <row r="95" spans="1:18" x14ac:dyDescent="0.2">
      <c r="A95" t="s">
        <v>130</v>
      </c>
      <c r="B95" t="s">
        <v>156</v>
      </c>
      <c r="C95" t="s">
        <v>54</v>
      </c>
      <c r="E95">
        <v>1.1890000000000001</v>
      </c>
      <c r="F95">
        <v>0.81699999999999995</v>
      </c>
      <c r="H95">
        <v>0.95799999999999996</v>
      </c>
      <c r="I95">
        <v>0.20100000000000001</v>
      </c>
      <c r="J95">
        <v>4.8070000000000004</v>
      </c>
      <c r="K95">
        <v>2.286</v>
      </c>
      <c r="L95">
        <v>1.6759999999999999</v>
      </c>
      <c r="M95">
        <v>2.6080000000000001</v>
      </c>
      <c r="N95">
        <v>4.593</v>
      </c>
      <c r="O95">
        <v>3.992</v>
      </c>
      <c r="P95">
        <v>1.1240000000000001</v>
      </c>
      <c r="Q95">
        <v>14.621</v>
      </c>
      <c r="R95">
        <v>198.429</v>
      </c>
    </row>
    <row r="96" spans="1:18" x14ac:dyDescent="0.2">
      <c r="A96" t="s">
        <v>130</v>
      </c>
      <c r="B96" t="s">
        <v>151</v>
      </c>
      <c r="C96" t="s">
        <v>119</v>
      </c>
      <c r="E96">
        <v>1.714</v>
      </c>
      <c r="F96">
        <v>0.97899999999999998</v>
      </c>
      <c r="G96">
        <v>0</v>
      </c>
      <c r="H96">
        <v>6.3979999999999997</v>
      </c>
      <c r="I96">
        <v>2.4169999999999998</v>
      </c>
      <c r="J96">
        <v>4.88</v>
      </c>
      <c r="M96">
        <v>2.169</v>
      </c>
      <c r="N96">
        <v>3.4609999999999999</v>
      </c>
      <c r="O96">
        <v>3.6779999999999999</v>
      </c>
      <c r="P96">
        <v>2.1669999999999998</v>
      </c>
      <c r="Q96">
        <v>9.9990000000000006</v>
      </c>
    </row>
    <row r="97" spans="1:18" x14ac:dyDescent="0.2">
      <c r="A97" t="s">
        <v>130</v>
      </c>
      <c r="B97" t="s">
        <v>138</v>
      </c>
      <c r="C97" t="s">
        <v>81</v>
      </c>
      <c r="D97" t="s">
        <v>21</v>
      </c>
      <c r="E97">
        <v>1.504</v>
      </c>
      <c r="F97">
        <v>0.70699999999999996</v>
      </c>
      <c r="G97">
        <v>0</v>
      </c>
      <c r="H97">
        <v>7.6349999999999998</v>
      </c>
      <c r="I97">
        <v>2.7719999999999998</v>
      </c>
      <c r="J97">
        <v>4.9850000000000003</v>
      </c>
      <c r="K97">
        <v>1.1459999999999999</v>
      </c>
      <c r="L97">
        <v>1.1439999999999999</v>
      </c>
      <c r="M97">
        <v>3.1019999999999999</v>
      </c>
      <c r="N97">
        <v>3.42</v>
      </c>
      <c r="O97">
        <v>5.0389999999999997</v>
      </c>
      <c r="P97">
        <v>4.0949999999999998</v>
      </c>
      <c r="Q97">
        <v>12.566000000000001</v>
      </c>
      <c r="R97">
        <v>627.89099999999996</v>
      </c>
    </row>
    <row r="98" spans="1:18" x14ac:dyDescent="0.2">
      <c r="A98" t="s">
        <v>130</v>
      </c>
      <c r="B98" t="s">
        <v>145</v>
      </c>
      <c r="C98" t="s">
        <v>119</v>
      </c>
      <c r="D98" t="s">
        <v>21</v>
      </c>
      <c r="E98">
        <v>1.712</v>
      </c>
      <c r="F98">
        <v>0.70299999999999996</v>
      </c>
      <c r="G98">
        <v>0</v>
      </c>
      <c r="H98">
        <v>4.3140000000000001</v>
      </c>
      <c r="I98">
        <v>2.1389999999999998</v>
      </c>
      <c r="J98">
        <v>5.1619999999999999</v>
      </c>
      <c r="K98">
        <v>2.4420000000000002</v>
      </c>
      <c r="L98">
        <v>1.8080000000000001</v>
      </c>
      <c r="M98">
        <v>2.8610000000000002</v>
      </c>
      <c r="N98">
        <v>3.4220000000000002</v>
      </c>
      <c r="O98">
        <v>2.9409999999999998</v>
      </c>
      <c r="P98">
        <v>4.9020000000000001</v>
      </c>
      <c r="Q98">
        <v>17.943000000000001</v>
      </c>
      <c r="R98">
        <v>1052.3879999999999</v>
      </c>
    </row>
    <row r="99" spans="1:18" x14ac:dyDescent="0.2">
      <c r="A99" t="s">
        <v>130</v>
      </c>
      <c r="B99" t="s">
        <v>157</v>
      </c>
      <c r="C99" t="s">
        <v>54</v>
      </c>
      <c r="D99" t="s">
        <v>21</v>
      </c>
      <c r="E99">
        <v>3.399</v>
      </c>
      <c r="F99">
        <v>1.337</v>
      </c>
      <c r="G99">
        <v>0</v>
      </c>
      <c r="H99">
        <v>8.6050000000000004</v>
      </c>
      <c r="I99">
        <v>2.4900000000000002</v>
      </c>
      <c r="J99">
        <v>5.1820000000000004</v>
      </c>
      <c r="K99">
        <v>1.9530000000000001</v>
      </c>
      <c r="L99">
        <v>1.246</v>
      </c>
      <c r="M99">
        <v>2.847</v>
      </c>
      <c r="N99">
        <v>2.9420000000000002</v>
      </c>
      <c r="O99">
        <v>3.3130000000000002</v>
      </c>
      <c r="P99">
        <v>3.9020000000000001</v>
      </c>
      <c r="Q99">
        <v>27.372</v>
      </c>
      <c r="R99">
        <v>806.274</v>
      </c>
    </row>
    <row r="100" spans="1:18" x14ac:dyDescent="0.2">
      <c r="A100" t="s">
        <v>130</v>
      </c>
      <c r="B100" t="s">
        <v>161</v>
      </c>
      <c r="C100" t="s">
        <v>107</v>
      </c>
      <c r="E100">
        <v>1.048</v>
      </c>
      <c r="F100">
        <v>0.97099999999999997</v>
      </c>
      <c r="H100">
        <v>2.036</v>
      </c>
      <c r="I100">
        <v>0.38100000000000001</v>
      </c>
      <c r="J100">
        <v>5.2759999999999998</v>
      </c>
      <c r="K100">
        <v>2.12</v>
      </c>
      <c r="L100">
        <v>2.0019999999999998</v>
      </c>
      <c r="M100">
        <v>2.0499999999999998</v>
      </c>
      <c r="N100">
        <v>3.43</v>
      </c>
      <c r="P100">
        <v>3.1309999999999998</v>
      </c>
      <c r="Q100">
        <v>2.6619999999999999</v>
      </c>
      <c r="R100">
        <v>601.13099999999997</v>
      </c>
    </row>
    <row r="101" spans="1:18" x14ac:dyDescent="0.2">
      <c r="A101" t="s">
        <v>130</v>
      </c>
      <c r="B101" t="s">
        <v>151</v>
      </c>
      <c r="C101" t="s">
        <v>119</v>
      </c>
      <c r="E101">
        <v>1.3740000000000001</v>
      </c>
      <c r="F101">
        <v>1.016</v>
      </c>
      <c r="G101">
        <v>0</v>
      </c>
      <c r="H101">
        <v>7.577</v>
      </c>
      <c r="I101">
        <v>2.617</v>
      </c>
      <c r="J101">
        <v>5.2990000000000004</v>
      </c>
      <c r="K101">
        <v>1.702</v>
      </c>
      <c r="L101">
        <v>0.95399999999999996</v>
      </c>
      <c r="M101">
        <v>2.6659999999999999</v>
      </c>
      <c r="N101">
        <v>2.6360000000000001</v>
      </c>
      <c r="O101">
        <v>2.7570000000000001</v>
      </c>
      <c r="P101">
        <v>2.2490000000000001</v>
      </c>
      <c r="Q101">
        <v>22.425999999999998</v>
      </c>
      <c r="R101">
        <v>731.41600000000005</v>
      </c>
    </row>
    <row r="102" spans="1:18" x14ac:dyDescent="0.2">
      <c r="A102" t="s">
        <v>130</v>
      </c>
      <c r="B102" t="s">
        <v>145</v>
      </c>
      <c r="C102" t="s">
        <v>119</v>
      </c>
      <c r="D102" t="s">
        <v>21</v>
      </c>
      <c r="E102">
        <v>2.14</v>
      </c>
      <c r="F102">
        <v>0.73599999999999999</v>
      </c>
      <c r="G102">
        <v>0</v>
      </c>
      <c r="H102">
        <v>3.6539999999999999</v>
      </c>
      <c r="I102">
        <v>2.1059999999999999</v>
      </c>
      <c r="J102">
        <v>5.726</v>
      </c>
      <c r="K102">
        <v>0.85599999999999998</v>
      </c>
      <c r="L102">
        <v>0.44400000000000001</v>
      </c>
      <c r="M102">
        <v>4.2869999999999999</v>
      </c>
      <c r="N102">
        <v>5.0439999999999996</v>
      </c>
      <c r="O102">
        <v>3.867</v>
      </c>
      <c r="P102">
        <v>4.476</v>
      </c>
      <c r="Q102">
        <v>17.86</v>
      </c>
    </row>
    <row r="103" spans="1:18" x14ac:dyDescent="0.2">
      <c r="A103" t="s">
        <v>130</v>
      </c>
      <c r="B103" t="s">
        <v>156</v>
      </c>
      <c r="C103" t="s">
        <v>54</v>
      </c>
      <c r="D103" t="s">
        <v>21</v>
      </c>
      <c r="E103">
        <v>1.7250000000000001</v>
      </c>
      <c r="F103">
        <v>1.2270000000000001</v>
      </c>
      <c r="G103">
        <v>0</v>
      </c>
      <c r="H103">
        <v>4.0410000000000004</v>
      </c>
      <c r="I103">
        <v>1.139</v>
      </c>
      <c r="J103">
        <v>5.7759999999999998</v>
      </c>
      <c r="K103">
        <v>1.5429999999999999</v>
      </c>
      <c r="L103">
        <v>1.472</v>
      </c>
      <c r="M103">
        <v>3.1589999999999998</v>
      </c>
      <c r="N103">
        <v>4.7220000000000004</v>
      </c>
      <c r="O103">
        <v>2.5790000000000002</v>
      </c>
      <c r="P103">
        <v>5.359</v>
      </c>
      <c r="Q103">
        <v>12.121</v>
      </c>
    </row>
    <row r="104" spans="1:18" x14ac:dyDescent="0.2">
      <c r="A104" t="s">
        <v>130</v>
      </c>
      <c r="B104" t="s">
        <v>156</v>
      </c>
      <c r="C104" t="s">
        <v>54</v>
      </c>
      <c r="D104" t="s">
        <v>21</v>
      </c>
      <c r="E104">
        <v>1.92</v>
      </c>
      <c r="F104">
        <v>1.474</v>
      </c>
      <c r="G104">
        <v>0</v>
      </c>
      <c r="H104">
        <v>4.8099999999999996</v>
      </c>
      <c r="I104">
        <v>1.3979999999999999</v>
      </c>
      <c r="J104">
        <v>5.8920000000000003</v>
      </c>
      <c r="K104">
        <v>2.004</v>
      </c>
      <c r="L104">
        <v>1.51</v>
      </c>
      <c r="M104">
        <v>3.46</v>
      </c>
      <c r="N104">
        <v>4.7279999999999998</v>
      </c>
      <c r="O104">
        <v>5.6790000000000003</v>
      </c>
      <c r="P104">
        <v>3.8719999999999999</v>
      </c>
      <c r="Q104">
        <v>27.44</v>
      </c>
      <c r="R104">
        <v>615.17600000000004</v>
      </c>
    </row>
    <row r="105" spans="1:18" x14ac:dyDescent="0.2">
      <c r="A105" t="s">
        <v>130</v>
      </c>
      <c r="B105" t="s">
        <v>151</v>
      </c>
      <c r="C105" t="s">
        <v>119</v>
      </c>
      <c r="E105">
        <v>1.3</v>
      </c>
      <c r="F105">
        <v>0.86499999999999999</v>
      </c>
      <c r="G105">
        <v>0</v>
      </c>
      <c r="J105">
        <v>6.6120000000000001</v>
      </c>
      <c r="K105">
        <v>3.3559999999999999</v>
      </c>
      <c r="L105">
        <v>2.87</v>
      </c>
      <c r="M105">
        <v>2.9910000000000001</v>
      </c>
      <c r="N105">
        <v>3.9079999999999999</v>
      </c>
      <c r="O105">
        <v>3.3559999999999999</v>
      </c>
      <c r="P105">
        <v>5.63</v>
      </c>
      <c r="Q105">
        <v>13.242000000000001</v>
      </c>
    </row>
    <row r="106" spans="1:18" x14ac:dyDescent="0.2">
      <c r="A106" t="s">
        <v>130</v>
      </c>
      <c r="B106" t="s">
        <v>134</v>
      </c>
      <c r="C106" t="s">
        <v>107</v>
      </c>
      <c r="D106" t="s">
        <v>21</v>
      </c>
      <c r="E106">
        <v>0.95399999999999996</v>
      </c>
      <c r="F106">
        <v>0.45</v>
      </c>
      <c r="G106">
        <v>0</v>
      </c>
      <c r="H106">
        <v>3.5129999999999999</v>
      </c>
      <c r="I106">
        <v>2.8980000000000001</v>
      </c>
      <c r="N106">
        <v>2.5640000000000001</v>
      </c>
      <c r="P106">
        <v>1.738</v>
      </c>
      <c r="Q106">
        <v>21.696000000000002</v>
      </c>
    </row>
    <row r="107" spans="1:18" x14ac:dyDescent="0.2">
      <c r="A107" t="s">
        <v>130</v>
      </c>
      <c r="B107" t="s">
        <v>135</v>
      </c>
      <c r="C107" t="s">
        <v>107</v>
      </c>
      <c r="D107" t="s">
        <v>21</v>
      </c>
      <c r="E107">
        <v>1.484</v>
      </c>
      <c r="F107">
        <v>0.95799999999999996</v>
      </c>
      <c r="G107">
        <v>0</v>
      </c>
      <c r="H107">
        <v>2.794</v>
      </c>
      <c r="I107">
        <v>0.83899999999999997</v>
      </c>
      <c r="P107">
        <v>5.0709999999999997</v>
      </c>
      <c r="Q107">
        <v>16.716000000000001</v>
      </c>
    </row>
    <row r="108" spans="1:18" x14ac:dyDescent="0.2">
      <c r="A108" t="s">
        <v>130</v>
      </c>
      <c r="B108" t="s">
        <v>135</v>
      </c>
      <c r="C108" t="s">
        <v>107</v>
      </c>
      <c r="D108" t="s">
        <v>21</v>
      </c>
      <c r="E108">
        <v>1.377</v>
      </c>
      <c r="F108">
        <v>0.74399999999999999</v>
      </c>
      <c r="G108">
        <v>0</v>
      </c>
      <c r="H108">
        <v>2.9660000000000002</v>
      </c>
      <c r="I108">
        <v>1.0649999999999999</v>
      </c>
      <c r="P108">
        <v>4.0069999999999997</v>
      </c>
    </row>
    <row r="109" spans="1:18" x14ac:dyDescent="0.2">
      <c r="A109" t="s">
        <v>130</v>
      </c>
      <c r="B109" t="s">
        <v>135</v>
      </c>
      <c r="C109" t="s">
        <v>107</v>
      </c>
      <c r="D109" t="s">
        <v>21</v>
      </c>
      <c r="E109">
        <v>1.359</v>
      </c>
      <c r="F109">
        <v>0.53900000000000003</v>
      </c>
      <c r="G109">
        <v>0</v>
      </c>
      <c r="H109">
        <v>3.5129999999999999</v>
      </c>
      <c r="I109">
        <v>1.014</v>
      </c>
      <c r="P109">
        <v>3.5419999999999998</v>
      </c>
    </row>
    <row r="110" spans="1:18" x14ac:dyDescent="0.2">
      <c r="A110" t="s">
        <v>130</v>
      </c>
      <c r="B110" t="s">
        <v>136</v>
      </c>
      <c r="C110" t="s">
        <v>107</v>
      </c>
      <c r="D110" t="s">
        <v>21</v>
      </c>
      <c r="E110">
        <v>1.411</v>
      </c>
      <c r="F110">
        <v>0.68899999999999995</v>
      </c>
      <c r="G110">
        <v>0</v>
      </c>
      <c r="H110">
        <v>6.4749999999999996</v>
      </c>
      <c r="I110">
        <v>2.343</v>
      </c>
    </row>
    <row r="111" spans="1:18" x14ac:dyDescent="0.2">
      <c r="A111" t="s">
        <v>130</v>
      </c>
      <c r="B111" t="s">
        <v>136</v>
      </c>
      <c r="C111" t="s">
        <v>107</v>
      </c>
      <c r="D111" t="s">
        <v>21</v>
      </c>
      <c r="E111">
        <v>1.2689999999999999</v>
      </c>
      <c r="F111">
        <v>0.63800000000000001</v>
      </c>
      <c r="G111">
        <v>0</v>
      </c>
      <c r="H111">
        <v>4.5289999999999999</v>
      </c>
      <c r="I111">
        <v>1.121</v>
      </c>
    </row>
    <row r="112" spans="1:18" x14ac:dyDescent="0.2">
      <c r="A112" t="s">
        <v>130</v>
      </c>
      <c r="B112" t="s">
        <v>136</v>
      </c>
      <c r="C112" t="s">
        <v>107</v>
      </c>
      <c r="D112" t="s">
        <v>21</v>
      </c>
      <c r="E112">
        <v>1.579</v>
      </c>
      <c r="F112">
        <v>0.46</v>
      </c>
      <c r="G112">
        <v>0</v>
      </c>
      <c r="H112">
        <v>7.3570000000000002</v>
      </c>
      <c r="I112">
        <v>2.04</v>
      </c>
    </row>
    <row r="113" spans="1:18" x14ac:dyDescent="0.2">
      <c r="A113" t="s">
        <v>130</v>
      </c>
      <c r="B113" t="s">
        <v>144</v>
      </c>
      <c r="C113" t="s">
        <v>119</v>
      </c>
      <c r="D113" t="s">
        <v>21</v>
      </c>
      <c r="E113">
        <v>1.385</v>
      </c>
      <c r="F113">
        <v>0.82799999999999996</v>
      </c>
      <c r="G113">
        <v>0</v>
      </c>
      <c r="H113">
        <v>4.7720000000000002</v>
      </c>
      <c r="I113">
        <v>1.611</v>
      </c>
      <c r="N113">
        <v>4.9459999999999997</v>
      </c>
      <c r="O113">
        <v>3.8740000000000001</v>
      </c>
      <c r="P113">
        <v>3.5209999999999999</v>
      </c>
      <c r="Q113">
        <v>13.015000000000001</v>
      </c>
    </row>
    <row r="114" spans="1:18" x14ac:dyDescent="0.2">
      <c r="A114" t="s">
        <v>130</v>
      </c>
      <c r="B114" t="s">
        <v>146</v>
      </c>
      <c r="C114" t="s">
        <v>44</v>
      </c>
      <c r="D114" t="s">
        <v>21</v>
      </c>
      <c r="E114">
        <v>1.167</v>
      </c>
      <c r="F114">
        <v>0.75600000000000001</v>
      </c>
      <c r="G114">
        <v>0</v>
      </c>
      <c r="H114">
        <v>4.3419999999999996</v>
      </c>
      <c r="I114">
        <v>1.2529999999999999</v>
      </c>
      <c r="N114">
        <v>3.3140000000000001</v>
      </c>
      <c r="P114">
        <v>1.8009999999999999</v>
      </c>
      <c r="Q114">
        <v>11.88</v>
      </c>
    </row>
    <row r="115" spans="1:18" x14ac:dyDescent="0.2">
      <c r="A115" t="s">
        <v>130</v>
      </c>
      <c r="B115" t="s">
        <v>148</v>
      </c>
      <c r="C115" t="s">
        <v>50</v>
      </c>
      <c r="D115" t="s">
        <v>21</v>
      </c>
      <c r="E115">
        <v>1.135</v>
      </c>
      <c r="F115">
        <v>0.83099999999999996</v>
      </c>
      <c r="G115">
        <v>1.0349999999999999</v>
      </c>
      <c r="H115">
        <v>4.4429999999999996</v>
      </c>
      <c r="I115">
        <v>1.3009999999999999</v>
      </c>
      <c r="R115">
        <v>600.35900000000004</v>
      </c>
    </row>
    <row r="116" spans="1:18" x14ac:dyDescent="0.2">
      <c r="A116" t="s">
        <v>130</v>
      </c>
      <c r="B116" t="s">
        <v>148</v>
      </c>
      <c r="C116" t="s">
        <v>50</v>
      </c>
      <c r="D116" t="s">
        <v>21</v>
      </c>
      <c r="E116">
        <v>1.5469999999999999</v>
      </c>
      <c r="F116">
        <v>0.41599999999999998</v>
      </c>
      <c r="G116">
        <v>0.78100000000000003</v>
      </c>
      <c r="H116">
        <v>2.5710000000000002</v>
      </c>
      <c r="I116">
        <v>1.1379999999999999</v>
      </c>
    </row>
    <row r="117" spans="1:18" x14ac:dyDescent="0.2">
      <c r="A117" t="s">
        <v>130</v>
      </c>
      <c r="B117" t="s">
        <v>148</v>
      </c>
      <c r="C117" t="s">
        <v>50</v>
      </c>
      <c r="D117" t="s">
        <v>21</v>
      </c>
      <c r="E117">
        <v>2.0840000000000001</v>
      </c>
      <c r="F117">
        <v>0.69299999999999995</v>
      </c>
      <c r="G117">
        <v>0.86699999999999999</v>
      </c>
      <c r="H117">
        <v>3.871</v>
      </c>
      <c r="I117">
        <v>1.0549999999999999</v>
      </c>
    </row>
    <row r="118" spans="1:18" x14ac:dyDescent="0.2">
      <c r="A118" t="s">
        <v>130</v>
      </c>
      <c r="B118" t="s">
        <v>150</v>
      </c>
      <c r="C118" t="s">
        <v>81</v>
      </c>
      <c r="D118" t="s">
        <v>21</v>
      </c>
      <c r="E118">
        <v>1.871</v>
      </c>
      <c r="F118">
        <v>0.92500000000000004</v>
      </c>
      <c r="G118">
        <v>0</v>
      </c>
      <c r="H118">
        <v>4.9260000000000002</v>
      </c>
      <c r="I118">
        <v>2.1230000000000002</v>
      </c>
      <c r="N118">
        <v>2.7730000000000001</v>
      </c>
      <c r="O118">
        <v>1.333</v>
      </c>
      <c r="P118">
        <v>1.143</v>
      </c>
      <c r="Q118">
        <v>16.003</v>
      </c>
      <c r="R118">
        <v>255.36799999999999</v>
      </c>
    </row>
    <row r="119" spans="1:18" x14ac:dyDescent="0.2">
      <c r="A119" t="s">
        <v>130</v>
      </c>
      <c r="B119" t="s">
        <v>150</v>
      </c>
      <c r="C119" t="s">
        <v>81</v>
      </c>
      <c r="D119" t="s">
        <v>21</v>
      </c>
      <c r="E119">
        <v>1.639</v>
      </c>
      <c r="F119">
        <v>0.91600000000000004</v>
      </c>
      <c r="G119">
        <v>0</v>
      </c>
      <c r="H119">
        <v>3.895</v>
      </c>
      <c r="I119">
        <v>2.09</v>
      </c>
      <c r="N119">
        <v>2.2519999999999998</v>
      </c>
      <c r="O119">
        <v>2.718</v>
      </c>
      <c r="P119">
        <v>3.5859999999999999</v>
      </c>
      <c r="Q119">
        <v>13.175000000000001</v>
      </c>
      <c r="R119">
        <v>732.89</v>
      </c>
    </row>
    <row r="120" spans="1:18" x14ac:dyDescent="0.2">
      <c r="A120" t="s">
        <v>130</v>
      </c>
      <c r="B120" t="s">
        <v>150</v>
      </c>
      <c r="C120" t="s">
        <v>81</v>
      </c>
      <c r="D120" t="s">
        <v>21</v>
      </c>
      <c r="E120">
        <v>1.8939999999999999</v>
      </c>
      <c r="F120">
        <v>0.746</v>
      </c>
      <c r="G120">
        <v>0</v>
      </c>
      <c r="H120">
        <v>5.2210000000000001</v>
      </c>
      <c r="I120">
        <v>2.5019999999999998</v>
      </c>
      <c r="N120">
        <v>2.5339999999999998</v>
      </c>
      <c r="O120">
        <v>3.0609999999999999</v>
      </c>
      <c r="P120">
        <v>2.4790000000000001</v>
      </c>
      <c r="Q120">
        <v>21.972999999999999</v>
      </c>
      <c r="R120">
        <v>416.90199999999999</v>
      </c>
    </row>
    <row r="121" spans="1:18" x14ac:dyDescent="0.2">
      <c r="A121" t="s">
        <v>130</v>
      </c>
      <c r="B121" t="s">
        <v>159</v>
      </c>
      <c r="C121" t="s">
        <v>119</v>
      </c>
      <c r="D121" t="s">
        <v>21</v>
      </c>
      <c r="E121">
        <v>2.0830000000000002</v>
      </c>
      <c r="F121">
        <v>0.80200000000000005</v>
      </c>
      <c r="G121">
        <v>0</v>
      </c>
      <c r="H121">
        <v>4.6029999999999998</v>
      </c>
      <c r="I121">
        <v>1.9810000000000001</v>
      </c>
      <c r="N121">
        <v>3.8010000000000002</v>
      </c>
      <c r="O121">
        <v>2.4550000000000001</v>
      </c>
      <c r="P121">
        <v>1.609</v>
      </c>
      <c r="Q121">
        <v>16.488</v>
      </c>
    </row>
    <row r="122" spans="1:18" x14ac:dyDescent="0.2">
      <c r="A122" t="s">
        <v>130</v>
      </c>
      <c r="B122" t="s">
        <v>161</v>
      </c>
      <c r="C122" t="s">
        <v>107</v>
      </c>
      <c r="E122">
        <v>1.591</v>
      </c>
      <c r="F122">
        <v>0.78400000000000003</v>
      </c>
      <c r="H122">
        <v>2.0649999999999999</v>
      </c>
      <c r="I122">
        <v>0.45600000000000002</v>
      </c>
      <c r="P122">
        <v>2.0670000000000002</v>
      </c>
      <c r="Q122">
        <v>11.257999999999999</v>
      </c>
    </row>
    <row r="123" spans="1:18" x14ac:dyDescent="0.2">
      <c r="A123" t="s">
        <v>130</v>
      </c>
      <c r="B123" t="s">
        <v>161</v>
      </c>
      <c r="C123" t="s">
        <v>107</v>
      </c>
      <c r="E123">
        <v>1.181</v>
      </c>
      <c r="F123">
        <v>0.94299999999999995</v>
      </c>
      <c r="H123">
        <v>1.7509999999999999</v>
      </c>
      <c r="I123">
        <v>0.27</v>
      </c>
      <c r="P123">
        <v>2.319</v>
      </c>
      <c r="Q123">
        <v>12.909000000000001</v>
      </c>
    </row>
    <row r="124" spans="1:18" x14ac:dyDescent="0.2">
      <c r="A124" t="s">
        <v>130</v>
      </c>
      <c r="B124" t="s">
        <v>162</v>
      </c>
      <c r="C124" t="s">
        <v>119</v>
      </c>
      <c r="E124">
        <v>1.5429999999999999</v>
      </c>
      <c r="F124">
        <v>0.91</v>
      </c>
      <c r="H124">
        <v>2.1949999999999998</v>
      </c>
      <c r="I124">
        <v>0.47199999999999998</v>
      </c>
      <c r="P124">
        <v>2.5329999999999999</v>
      </c>
      <c r="Q124">
        <v>16.940999999999999</v>
      </c>
      <c r="R124">
        <v>557.42700000000002</v>
      </c>
    </row>
    <row r="125" spans="1:18" x14ac:dyDescent="0.2">
      <c r="A125" t="s">
        <v>130</v>
      </c>
      <c r="B125" t="s">
        <v>162</v>
      </c>
      <c r="C125" t="s">
        <v>119</v>
      </c>
      <c r="E125">
        <v>1.6140000000000001</v>
      </c>
      <c r="F125">
        <v>0.91200000000000003</v>
      </c>
      <c r="H125">
        <v>4</v>
      </c>
      <c r="I125">
        <v>0.627</v>
      </c>
      <c r="P125">
        <v>3.2930000000000001</v>
      </c>
      <c r="Q125">
        <v>14.183</v>
      </c>
      <c r="R125">
        <v>401.99799999999999</v>
      </c>
    </row>
    <row r="126" spans="1:18" x14ac:dyDescent="0.2">
      <c r="A126" t="s">
        <v>130</v>
      </c>
      <c r="B126" t="s">
        <v>152</v>
      </c>
      <c r="C126" t="s">
        <v>50</v>
      </c>
      <c r="E126">
        <v>1.7290000000000001</v>
      </c>
      <c r="F126">
        <v>1.181</v>
      </c>
      <c r="G126">
        <v>0.74199999999999999</v>
      </c>
      <c r="H126">
        <v>2.855</v>
      </c>
      <c r="I126">
        <v>0.56599999999999995</v>
      </c>
      <c r="P126">
        <v>3.3380000000000001</v>
      </c>
      <c r="Q126">
        <v>16.242999999999999</v>
      </c>
      <c r="R126">
        <v>276.49700000000001</v>
      </c>
    </row>
    <row r="127" spans="1:18" x14ac:dyDescent="0.2">
      <c r="A127" t="s">
        <v>130</v>
      </c>
      <c r="B127" t="s">
        <v>163</v>
      </c>
    </row>
    <row r="128" spans="1:18" x14ac:dyDescent="0.2">
      <c r="A128" t="s">
        <v>130</v>
      </c>
      <c r="B128" t="s">
        <v>164</v>
      </c>
    </row>
    <row r="129" spans="1:18" x14ac:dyDescent="0.2">
      <c r="A129" t="s">
        <v>130</v>
      </c>
      <c r="B129" t="s">
        <v>165</v>
      </c>
      <c r="C129" t="s">
        <v>119</v>
      </c>
      <c r="E129">
        <v>1.349</v>
      </c>
      <c r="F129">
        <v>0.98499999999999999</v>
      </c>
      <c r="G129">
        <v>0.97099999999999997</v>
      </c>
      <c r="H129">
        <v>3.8780000000000001</v>
      </c>
      <c r="I129">
        <v>1.4059999999999999</v>
      </c>
      <c r="Q129">
        <v>1.155</v>
      </c>
    </row>
    <row r="130" spans="1:18" x14ac:dyDescent="0.2">
      <c r="A130" t="s">
        <v>130</v>
      </c>
      <c r="B130" t="s">
        <v>165</v>
      </c>
      <c r="C130" t="s">
        <v>119</v>
      </c>
      <c r="E130">
        <v>1.0760000000000001</v>
      </c>
      <c r="F130">
        <v>0.89</v>
      </c>
      <c r="G130">
        <v>0.83399999999999996</v>
      </c>
      <c r="H130">
        <v>1.347</v>
      </c>
      <c r="I130">
        <v>0.51</v>
      </c>
      <c r="Q130">
        <v>1.6</v>
      </c>
    </row>
    <row r="131" spans="1:18" x14ac:dyDescent="0.2">
      <c r="A131" t="s">
        <v>130</v>
      </c>
      <c r="B131" t="s">
        <v>167</v>
      </c>
      <c r="C131" t="s">
        <v>54</v>
      </c>
      <c r="E131">
        <v>1.1220000000000001</v>
      </c>
      <c r="F131">
        <v>0.93200000000000005</v>
      </c>
      <c r="H131">
        <v>3.044</v>
      </c>
      <c r="I131">
        <v>0.34399999999999997</v>
      </c>
      <c r="P131">
        <v>2.04</v>
      </c>
      <c r="Q131">
        <v>23.495000000000001</v>
      </c>
    </row>
    <row r="132" spans="1:18" x14ac:dyDescent="0.2">
      <c r="A132" t="s">
        <v>130</v>
      </c>
      <c r="B132" t="s">
        <v>167</v>
      </c>
      <c r="C132" t="s">
        <v>54</v>
      </c>
      <c r="E132">
        <v>1.806</v>
      </c>
      <c r="F132">
        <v>0.56999999999999995</v>
      </c>
      <c r="H132">
        <v>2.5920000000000001</v>
      </c>
      <c r="I132">
        <v>0.61099999999999999</v>
      </c>
      <c r="P132">
        <v>1.397</v>
      </c>
      <c r="Q132">
        <v>22.25</v>
      </c>
    </row>
    <row r="133" spans="1:18" x14ac:dyDescent="0.2">
      <c r="A133" t="s">
        <v>130</v>
      </c>
      <c r="B133" t="s">
        <v>156</v>
      </c>
      <c r="C133" t="s">
        <v>54</v>
      </c>
      <c r="E133">
        <v>0.91</v>
      </c>
      <c r="F133">
        <v>0.88900000000000001</v>
      </c>
      <c r="H133">
        <v>1.8919999999999999</v>
      </c>
      <c r="I133">
        <v>0.32300000000000001</v>
      </c>
      <c r="P133">
        <v>2.0920000000000001</v>
      </c>
      <c r="Q133">
        <v>13.654999999999999</v>
      </c>
    </row>
    <row r="134" spans="1:18" x14ac:dyDescent="0.2">
      <c r="A134" t="s">
        <v>130</v>
      </c>
      <c r="B134" t="s">
        <v>157</v>
      </c>
      <c r="C134" t="s">
        <v>54</v>
      </c>
      <c r="E134">
        <v>0.91100000000000003</v>
      </c>
      <c r="F134">
        <v>0.79400000000000004</v>
      </c>
      <c r="H134">
        <v>1.845</v>
      </c>
      <c r="I134">
        <v>0.191</v>
      </c>
      <c r="P134">
        <v>1.111</v>
      </c>
      <c r="Q134">
        <v>9.3520000000000003</v>
      </c>
    </row>
    <row r="135" spans="1:18" x14ac:dyDescent="0.2">
      <c r="A135" t="s">
        <v>130</v>
      </c>
      <c r="B135" t="s">
        <v>159</v>
      </c>
      <c r="C135" t="s">
        <v>119</v>
      </c>
      <c r="E135">
        <v>1.3120000000000001</v>
      </c>
      <c r="F135">
        <v>0.88100000000000001</v>
      </c>
      <c r="H135">
        <v>3.2480000000000002</v>
      </c>
      <c r="I135">
        <v>1.3819999999999999</v>
      </c>
      <c r="P135">
        <v>1.9530000000000001</v>
      </c>
      <c r="Q135">
        <v>11.567</v>
      </c>
      <c r="R135">
        <v>444.63900000000001</v>
      </c>
    </row>
  </sheetData>
  <sortState xmlns:xlrd2="http://schemas.microsoft.com/office/spreadsheetml/2017/richdata2" ref="A2:R135">
    <sortCondition ref="J2:J1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A327-343E-264A-96A4-FFDE252EECC6}">
  <dimension ref="A1:R32"/>
  <sheetViews>
    <sheetView workbookViewId="0">
      <selection activeCell="G1" sqref="G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127</v>
      </c>
      <c r="B2" t="s">
        <v>128</v>
      </c>
      <c r="C2" t="s">
        <v>129</v>
      </c>
      <c r="D2" t="s">
        <v>21</v>
      </c>
      <c r="E2">
        <v>1.79</v>
      </c>
      <c r="F2">
        <v>1.04</v>
      </c>
      <c r="G2">
        <v>0.73</v>
      </c>
      <c r="H2">
        <v>2.86</v>
      </c>
      <c r="I2">
        <v>4.97</v>
      </c>
      <c r="J2">
        <v>9.51</v>
      </c>
      <c r="K2">
        <v>4.28</v>
      </c>
      <c r="L2">
        <v>2.44</v>
      </c>
      <c r="M2">
        <v>4.7</v>
      </c>
      <c r="N2">
        <v>1.58</v>
      </c>
      <c r="O2">
        <v>1.57</v>
      </c>
      <c r="P2">
        <v>1.79</v>
      </c>
      <c r="Q2">
        <v>14.27</v>
      </c>
    </row>
    <row r="3" spans="1:18" x14ac:dyDescent="0.2">
      <c r="A3" t="s">
        <v>127</v>
      </c>
      <c r="B3" t="s">
        <v>128</v>
      </c>
      <c r="C3" t="s">
        <v>129</v>
      </c>
      <c r="D3" t="s">
        <v>21</v>
      </c>
      <c r="E3">
        <v>2.34</v>
      </c>
      <c r="F3">
        <v>0.88</v>
      </c>
      <c r="G3">
        <v>0.61</v>
      </c>
      <c r="H3">
        <v>1.1499999999999999</v>
      </c>
      <c r="I3">
        <v>2.58</v>
      </c>
      <c r="J3">
        <v>9.3699999999999992</v>
      </c>
      <c r="K3">
        <v>3.26</v>
      </c>
      <c r="L3">
        <v>1.31</v>
      </c>
      <c r="M3">
        <v>4.99</v>
      </c>
      <c r="N3">
        <v>1.1499999999999999</v>
      </c>
      <c r="O3">
        <v>0.99</v>
      </c>
      <c r="P3">
        <v>3.84</v>
      </c>
      <c r="Q3">
        <v>11.29</v>
      </c>
    </row>
    <row r="4" spans="1:18" x14ac:dyDescent="0.2">
      <c r="A4" t="s">
        <v>127</v>
      </c>
      <c r="B4" t="s">
        <v>128</v>
      </c>
      <c r="C4" t="s">
        <v>129</v>
      </c>
      <c r="D4" t="s">
        <v>21</v>
      </c>
      <c r="E4">
        <v>2.57</v>
      </c>
      <c r="F4">
        <v>1.22</v>
      </c>
      <c r="G4">
        <v>0.45</v>
      </c>
      <c r="H4">
        <v>1.28</v>
      </c>
      <c r="I4">
        <v>2.0299999999999998</v>
      </c>
      <c r="J4">
        <v>9.5500000000000007</v>
      </c>
      <c r="K4">
        <v>1.8</v>
      </c>
      <c r="L4">
        <v>0.78</v>
      </c>
      <c r="M4">
        <v>5.0599999999999996</v>
      </c>
      <c r="N4">
        <v>2.17</v>
      </c>
      <c r="O4">
        <v>0</v>
      </c>
      <c r="P4">
        <v>2.69</v>
      </c>
      <c r="Q4">
        <v>10.14</v>
      </c>
    </row>
    <row r="5" spans="1:18" x14ac:dyDescent="0.2">
      <c r="A5" t="s">
        <v>127</v>
      </c>
      <c r="B5" t="s">
        <v>183</v>
      </c>
      <c r="C5" t="s">
        <v>184</v>
      </c>
      <c r="D5" t="s">
        <v>21</v>
      </c>
      <c r="E5">
        <v>0</v>
      </c>
      <c r="F5">
        <v>0</v>
      </c>
      <c r="G5">
        <v>0</v>
      </c>
      <c r="H5">
        <v>3.2570000000000001</v>
      </c>
      <c r="I5">
        <v>1.143</v>
      </c>
      <c r="R5">
        <v>493.50900000000001</v>
      </c>
    </row>
    <row r="6" spans="1:18" x14ac:dyDescent="0.2">
      <c r="A6" t="s">
        <v>127</v>
      </c>
      <c r="B6" t="s">
        <v>183</v>
      </c>
      <c r="C6" t="s">
        <v>184</v>
      </c>
      <c r="D6" t="s">
        <v>21</v>
      </c>
      <c r="E6">
        <v>0</v>
      </c>
      <c r="F6">
        <v>0</v>
      </c>
      <c r="G6">
        <v>0</v>
      </c>
      <c r="H6">
        <v>2.677</v>
      </c>
      <c r="I6">
        <v>1.123</v>
      </c>
    </row>
    <row r="7" spans="1:18" x14ac:dyDescent="0.2">
      <c r="A7" t="s">
        <v>127</v>
      </c>
      <c r="B7" t="s">
        <v>183</v>
      </c>
      <c r="C7" t="s">
        <v>184</v>
      </c>
      <c r="D7" t="s">
        <v>21</v>
      </c>
      <c r="E7">
        <v>0</v>
      </c>
      <c r="F7">
        <v>0</v>
      </c>
      <c r="G7">
        <v>0</v>
      </c>
      <c r="H7">
        <v>2.7970000000000002</v>
      </c>
      <c r="I7">
        <v>1.5629999999999999</v>
      </c>
    </row>
    <row r="8" spans="1:18" x14ac:dyDescent="0.2">
      <c r="A8" t="s">
        <v>127</v>
      </c>
      <c r="B8" t="s">
        <v>185</v>
      </c>
      <c r="C8" t="s">
        <v>129</v>
      </c>
      <c r="D8" t="s">
        <v>21</v>
      </c>
      <c r="E8">
        <v>1.23</v>
      </c>
      <c r="F8">
        <v>0.95699999999999996</v>
      </c>
      <c r="G8">
        <v>0</v>
      </c>
      <c r="H8">
        <v>4.12</v>
      </c>
      <c r="I8">
        <v>1.7170000000000001</v>
      </c>
      <c r="R8">
        <v>673.57399999999996</v>
      </c>
    </row>
    <row r="9" spans="1:18" x14ac:dyDescent="0.2">
      <c r="A9" t="s">
        <v>127</v>
      </c>
      <c r="B9" t="s">
        <v>185</v>
      </c>
      <c r="C9" t="s">
        <v>129</v>
      </c>
      <c r="D9" t="s">
        <v>21</v>
      </c>
      <c r="E9">
        <v>1.44</v>
      </c>
      <c r="F9">
        <v>0.63</v>
      </c>
      <c r="G9">
        <v>0</v>
      </c>
      <c r="H9">
        <v>6.2279999999999998</v>
      </c>
      <c r="I9">
        <v>2.282</v>
      </c>
    </row>
    <row r="10" spans="1:18" x14ac:dyDescent="0.2">
      <c r="A10" t="s">
        <v>127</v>
      </c>
      <c r="B10" t="s">
        <v>185</v>
      </c>
      <c r="C10" t="s">
        <v>129</v>
      </c>
      <c r="D10" t="s">
        <v>21</v>
      </c>
      <c r="E10">
        <v>0.98799999999999999</v>
      </c>
      <c r="F10">
        <v>0.93400000000000005</v>
      </c>
      <c r="G10">
        <v>0</v>
      </c>
      <c r="H10">
        <v>5.9349999999999996</v>
      </c>
      <c r="I10">
        <v>2.899</v>
      </c>
    </row>
    <row r="11" spans="1:18" x14ac:dyDescent="0.2">
      <c r="A11" t="s">
        <v>127</v>
      </c>
      <c r="B11" t="s">
        <v>186</v>
      </c>
      <c r="C11" t="s">
        <v>187</v>
      </c>
      <c r="D11" t="s">
        <v>21</v>
      </c>
      <c r="E11">
        <v>1.0920000000000001</v>
      </c>
      <c r="F11">
        <v>0.626</v>
      </c>
      <c r="G11">
        <v>0</v>
      </c>
      <c r="H11">
        <v>4.8819999999999997</v>
      </c>
      <c r="I11">
        <v>1.9690000000000001</v>
      </c>
      <c r="P11">
        <v>1.702</v>
      </c>
      <c r="R11">
        <v>390.524</v>
      </c>
    </row>
    <row r="12" spans="1:18" x14ac:dyDescent="0.2">
      <c r="A12" t="s">
        <v>127</v>
      </c>
      <c r="B12" t="s">
        <v>186</v>
      </c>
      <c r="C12" t="s">
        <v>187</v>
      </c>
      <c r="D12" t="s">
        <v>21</v>
      </c>
      <c r="E12">
        <v>1.175</v>
      </c>
      <c r="F12">
        <v>0.437</v>
      </c>
      <c r="G12">
        <v>0</v>
      </c>
      <c r="H12">
        <v>4.766</v>
      </c>
      <c r="I12">
        <v>2.6070000000000002</v>
      </c>
      <c r="P12">
        <v>2.2509999999999999</v>
      </c>
    </row>
    <row r="13" spans="1:18" x14ac:dyDescent="0.2">
      <c r="A13" t="s">
        <v>127</v>
      </c>
      <c r="B13" t="s">
        <v>186</v>
      </c>
      <c r="C13" t="s">
        <v>187</v>
      </c>
      <c r="D13" t="s">
        <v>21</v>
      </c>
      <c r="E13">
        <v>0.879</v>
      </c>
      <c r="F13">
        <v>0.84699999999999998</v>
      </c>
      <c r="G13">
        <v>0</v>
      </c>
      <c r="H13">
        <v>3.048</v>
      </c>
      <c r="I13">
        <v>1.857</v>
      </c>
      <c r="P13">
        <v>1.1659999999999999</v>
      </c>
    </row>
    <row r="14" spans="1:18" x14ac:dyDescent="0.2">
      <c r="A14" t="s">
        <v>127</v>
      </c>
      <c r="B14" t="s">
        <v>188</v>
      </c>
      <c r="C14" t="s">
        <v>187</v>
      </c>
      <c r="D14" t="s">
        <v>21</v>
      </c>
      <c r="E14">
        <v>1.0920000000000001</v>
      </c>
      <c r="F14">
        <v>0.76600000000000001</v>
      </c>
      <c r="G14">
        <v>0</v>
      </c>
      <c r="H14">
        <v>9.3859999999999992</v>
      </c>
      <c r="I14">
        <v>2.9540000000000002</v>
      </c>
      <c r="J14">
        <v>8.0359999999999996</v>
      </c>
      <c r="K14">
        <v>3.6440000000000001</v>
      </c>
      <c r="L14">
        <v>3.19</v>
      </c>
      <c r="M14">
        <v>3.25</v>
      </c>
      <c r="N14">
        <v>1.992</v>
      </c>
      <c r="O14">
        <v>1.0109999999999999</v>
      </c>
      <c r="P14">
        <v>2.1989999999999998</v>
      </c>
      <c r="Q14">
        <v>3.8260000000000001</v>
      </c>
      <c r="R14">
        <v>609.67999999999995</v>
      </c>
    </row>
    <row r="15" spans="1:18" x14ac:dyDescent="0.2">
      <c r="A15" t="s">
        <v>127</v>
      </c>
      <c r="B15" t="s">
        <v>188</v>
      </c>
      <c r="C15" t="s">
        <v>187</v>
      </c>
      <c r="D15" t="s">
        <v>21</v>
      </c>
      <c r="E15">
        <v>1.6850000000000001</v>
      </c>
      <c r="F15">
        <v>0.745</v>
      </c>
      <c r="G15">
        <v>0</v>
      </c>
      <c r="H15">
        <v>8.6530000000000005</v>
      </c>
      <c r="I15">
        <v>3.3719999999999999</v>
      </c>
      <c r="J15">
        <v>6.9749999999999996</v>
      </c>
      <c r="K15">
        <v>3.794</v>
      </c>
      <c r="L15">
        <v>2.0449999999999999</v>
      </c>
      <c r="M15">
        <v>3.1040000000000001</v>
      </c>
      <c r="N15">
        <v>1.88</v>
      </c>
      <c r="O15">
        <v>0.432</v>
      </c>
      <c r="P15">
        <v>1.2629999999999999</v>
      </c>
      <c r="Q15">
        <v>8.4239999999999995</v>
      </c>
    </row>
    <row r="16" spans="1:18" x14ac:dyDescent="0.2">
      <c r="A16" t="s">
        <v>127</v>
      </c>
      <c r="B16" t="s">
        <v>188</v>
      </c>
      <c r="C16" t="s">
        <v>187</v>
      </c>
      <c r="D16" t="s">
        <v>21</v>
      </c>
      <c r="E16">
        <v>0.95899999999999996</v>
      </c>
      <c r="F16">
        <v>0.71699999999999997</v>
      </c>
      <c r="G16">
        <v>0</v>
      </c>
      <c r="H16">
        <v>5.1159999999999997</v>
      </c>
      <c r="I16">
        <v>2.302</v>
      </c>
      <c r="N16">
        <v>1.036</v>
      </c>
      <c r="O16">
        <v>1.1100000000000001</v>
      </c>
      <c r="P16">
        <v>1.2110000000000001</v>
      </c>
      <c r="Q16">
        <v>4.008</v>
      </c>
    </row>
    <row r="17" spans="1:18" x14ac:dyDescent="0.2">
      <c r="A17" t="s">
        <v>127</v>
      </c>
      <c r="B17" t="s">
        <v>189</v>
      </c>
      <c r="C17" t="s">
        <v>190</v>
      </c>
      <c r="D17" t="s">
        <v>21</v>
      </c>
      <c r="E17">
        <v>1.052</v>
      </c>
      <c r="F17">
        <v>0.79</v>
      </c>
      <c r="G17">
        <v>0</v>
      </c>
      <c r="H17">
        <v>2.6640000000000001</v>
      </c>
      <c r="I17">
        <v>0.86299999999999999</v>
      </c>
      <c r="P17">
        <v>1.8540000000000001</v>
      </c>
      <c r="Q17">
        <v>9.5709999999999997</v>
      </c>
      <c r="R17">
        <v>340.86</v>
      </c>
    </row>
    <row r="18" spans="1:18" x14ac:dyDescent="0.2">
      <c r="A18" t="s">
        <v>127</v>
      </c>
      <c r="B18" t="s">
        <v>189</v>
      </c>
      <c r="C18" t="s">
        <v>190</v>
      </c>
      <c r="D18" t="s">
        <v>21</v>
      </c>
      <c r="E18">
        <v>1.087</v>
      </c>
      <c r="F18">
        <v>0.75700000000000001</v>
      </c>
      <c r="G18">
        <v>0</v>
      </c>
      <c r="H18">
        <v>2.19</v>
      </c>
      <c r="I18">
        <v>1.099</v>
      </c>
      <c r="P18">
        <v>2.6829999999999998</v>
      </c>
      <c r="Q18">
        <v>7.0670000000000002</v>
      </c>
      <c r="R18">
        <v>415.27699999999999</v>
      </c>
    </row>
    <row r="19" spans="1:18" x14ac:dyDescent="0.2">
      <c r="A19" t="s">
        <v>127</v>
      </c>
      <c r="B19" t="s">
        <v>189</v>
      </c>
      <c r="C19" t="s">
        <v>190</v>
      </c>
      <c r="D19" t="s">
        <v>21</v>
      </c>
      <c r="E19">
        <v>0.94799999999999995</v>
      </c>
      <c r="F19">
        <v>0.72499999999999998</v>
      </c>
      <c r="G19">
        <v>0</v>
      </c>
      <c r="H19">
        <v>4.7919999999999998</v>
      </c>
      <c r="I19">
        <v>1.35</v>
      </c>
      <c r="P19">
        <v>4.5839999999999996</v>
      </c>
      <c r="Q19">
        <v>3.9849999999999999</v>
      </c>
    </row>
    <row r="20" spans="1:18" x14ac:dyDescent="0.2">
      <c r="A20" t="s">
        <v>127</v>
      </c>
      <c r="B20" t="s">
        <v>191</v>
      </c>
      <c r="C20" t="s">
        <v>192</v>
      </c>
      <c r="D20" t="s">
        <v>21</v>
      </c>
    </row>
    <row r="21" spans="1:18" x14ac:dyDescent="0.2">
      <c r="A21" t="s">
        <v>127</v>
      </c>
      <c r="B21" t="s">
        <v>191</v>
      </c>
      <c r="C21" t="s">
        <v>192</v>
      </c>
      <c r="D21" t="s">
        <v>21</v>
      </c>
    </row>
    <row r="22" spans="1:18" x14ac:dyDescent="0.2">
      <c r="A22" t="s">
        <v>127</v>
      </c>
      <c r="B22" t="s">
        <v>191</v>
      </c>
      <c r="C22" t="s">
        <v>192</v>
      </c>
      <c r="D22" t="s">
        <v>21</v>
      </c>
    </row>
    <row r="23" spans="1:18" x14ac:dyDescent="0.2">
      <c r="A23" t="s">
        <v>127</v>
      </c>
      <c r="B23" t="s">
        <v>193</v>
      </c>
      <c r="C23" t="s">
        <v>123</v>
      </c>
      <c r="E23">
        <v>1.482</v>
      </c>
      <c r="F23">
        <v>0.442</v>
      </c>
      <c r="G23">
        <v>0</v>
      </c>
      <c r="H23">
        <v>4.1130000000000004</v>
      </c>
      <c r="I23">
        <v>1.8149999999999999</v>
      </c>
      <c r="J23">
        <v>7.93</v>
      </c>
      <c r="K23">
        <v>5.2889999999999997</v>
      </c>
      <c r="L23">
        <v>3.9489999999999998</v>
      </c>
      <c r="M23">
        <v>5.5620000000000003</v>
      </c>
      <c r="N23">
        <v>1.895</v>
      </c>
      <c r="O23">
        <v>1.391</v>
      </c>
      <c r="P23">
        <v>2.5990000000000002</v>
      </c>
      <c r="Q23">
        <v>10.135999999999999</v>
      </c>
      <c r="R23">
        <v>391.72399999999999</v>
      </c>
    </row>
    <row r="24" spans="1:18" x14ac:dyDescent="0.2">
      <c r="A24" t="s">
        <v>127</v>
      </c>
      <c r="B24" t="s">
        <v>193</v>
      </c>
      <c r="C24" t="s">
        <v>123</v>
      </c>
      <c r="E24">
        <v>1.0640000000000001</v>
      </c>
      <c r="F24">
        <v>0.82599999999999996</v>
      </c>
      <c r="G24">
        <v>0</v>
      </c>
      <c r="H24">
        <v>2.258</v>
      </c>
      <c r="I24">
        <v>0.56899999999999995</v>
      </c>
      <c r="J24">
        <v>9.1419999999999995</v>
      </c>
      <c r="K24">
        <v>4.57</v>
      </c>
      <c r="L24">
        <v>3.1120000000000001</v>
      </c>
      <c r="M24">
        <v>5.0570000000000004</v>
      </c>
      <c r="N24">
        <v>2.1549999999999998</v>
      </c>
      <c r="O24">
        <v>0.89800000000000002</v>
      </c>
      <c r="P24">
        <v>2.4529999999999998</v>
      </c>
      <c r="Q24">
        <v>6.4320000000000004</v>
      </c>
      <c r="R24">
        <v>272.04700000000003</v>
      </c>
    </row>
    <row r="25" spans="1:18" x14ac:dyDescent="0.2">
      <c r="A25" t="s">
        <v>127</v>
      </c>
      <c r="B25" t="s">
        <v>193</v>
      </c>
      <c r="C25" t="s">
        <v>123</v>
      </c>
      <c r="E25">
        <v>0.93899999999999995</v>
      </c>
      <c r="F25">
        <v>0.92800000000000005</v>
      </c>
      <c r="G25">
        <v>0</v>
      </c>
      <c r="H25">
        <v>2.6259999999999999</v>
      </c>
      <c r="I25">
        <v>0.58799999999999997</v>
      </c>
      <c r="J25">
        <v>10.103999999999999</v>
      </c>
      <c r="K25">
        <v>4.5910000000000002</v>
      </c>
      <c r="L25">
        <v>3.6419999999999999</v>
      </c>
      <c r="M25">
        <v>5.266</v>
      </c>
      <c r="N25">
        <v>2.2570000000000001</v>
      </c>
      <c r="O25">
        <v>1.284</v>
      </c>
      <c r="P25">
        <v>2.778</v>
      </c>
      <c r="Q25">
        <v>7.3620000000000001</v>
      </c>
      <c r="R25">
        <v>547.47699999999998</v>
      </c>
    </row>
    <row r="26" spans="1:18" x14ac:dyDescent="0.2">
      <c r="A26" t="s">
        <v>127</v>
      </c>
      <c r="B26" t="s">
        <v>194</v>
      </c>
    </row>
    <row r="27" spans="1:18" x14ac:dyDescent="0.2">
      <c r="A27" t="s">
        <v>127</v>
      </c>
      <c r="B27" t="s">
        <v>195</v>
      </c>
      <c r="C27" t="s">
        <v>196</v>
      </c>
      <c r="E27">
        <v>0</v>
      </c>
      <c r="F27">
        <v>0</v>
      </c>
      <c r="G27">
        <v>0</v>
      </c>
      <c r="H27">
        <v>2.2400000000000002</v>
      </c>
      <c r="I27">
        <v>0.753</v>
      </c>
      <c r="J27">
        <v>2.7839999999999998</v>
      </c>
      <c r="K27">
        <v>3.3340000000000001</v>
      </c>
      <c r="L27">
        <v>1.827</v>
      </c>
      <c r="M27">
        <v>1.895</v>
      </c>
      <c r="N27">
        <v>1.52</v>
      </c>
      <c r="O27">
        <v>1.22</v>
      </c>
      <c r="P27">
        <v>1.5760000000000001</v>
      </c>
      <c r="Q27">
        <v>8.1059999999999999</v>
      </c>
      <c r="R27">
        <v>429.29300000000001</v>
      </c>
    </row>
    <row r="28" spans="1:18" x14ac:dyDescent="0.2">
      <c r="A28" t="s">
        <v>127</v>
      </c>
      <c r="B28" t="s">
        <v>195</v>
      </c>
      <c r="C28" t="s">
        <v>196</v>
      </c>
      <c r="E28">
        <v>0</v>
      </c>
      <c r="F28">
        <v>0</v>
      </c>
      <c r="G28">
        <v>0</v>
      </c>
      <c r="H28">
        <v>2.4620000000000002</v>
      </c>
      <c r="I28">
        <v>0.46800000000000003</v>
      </c>
      <c r="J28">
        <v>3.6579999999999999</v>
      </c>
      <c r="K28">
        <v>2.8210000000000002</v>
      </c>
      <c r="L28">
        <v>1.714</v>
      </c>
      <c r="M28">
        <v>1.653</v>
      </c>
      <c r="N28">
        <v>1.31</v>
      </c>
      <c r="P28">
        <v>2.4620000000000002</v>
      </c>
      <c r="Q28">
        <v>7.03</v>
      </c>
      <c r="R28">
        <v>455.90600000000001</v>
      </c>
    </row>
    <row r="29" spans="1:18" x14ac:dyDescent="0.2">
      <c r="A29" t="s">
        <v>127</v>
      </c>
      <c r="B29" t="s">
        <v>195</v>
      </c>
      <c r="C29" t="s">
        <v>196</v>
      </c>
      <c r="E29">
        <v>0</v>
      </c>
      <c r="F29">
        <v>0</v>
      </c>
      <c r="G29">
        <v>0</v>
      </c>
      <c r="H29">
        <v>1.7989999999999999</v>
      </c>
      <c r="I29">
        <v>0.46200000000000002</v>
      </c>
      <c r="J29">
        <v>4.5490000000000004</v>
      </c>
      <c r="K29">
        <v>1.655</v>
      </c>
      <c r="L29">
        <v>1.266</v>
      </c>
      <c r="M29">
        <v>2.5649999999999999</v>
      </c>
      <c r="N29">
        <v>1.1200000000000001</v>
      </c>
      <c r="P29">
        <v>2.2519999999999998</v>
      </c>
      <c r="Q29">
        <v>1.784</v>
      </c>
      <c r="R29">
        <v>369.08600000000001</v>
      </c>
    </row>
    <row r="30" spans="1:18" x14ac:dyDescent="0.2">
      <c r="A30" t="s">
        <v>127</v>
      </c>
      <c r="B30" t="s">
        <v>197</v>
      </c>
      <c r="C30" t="s">
        <v>129</v>
      </c>
      <c r="E30">
        <v>0.89900000000000002</v>
      </c>
      <c r="F30">
        <v>0.65300000000000002</v>
      </c>
      <c r="H30">
        <v>1.6379999999999999</v>
      </c>
      <c r="I30">
        <v>0.316</v>
      </c>
      <c r="J30">
        <v>7.0259999999999998</v>
      </c>
      <c r="K30">
        <v>3.9630000000000001</v>
      </c>
      <c r="L30">
        <v>3.2549999999999999</v>
      </c>
      <c r="M30">
        <v>2.8370000000000002</v>
      </c>
      <c r="N30">
        <v>3.0009999999999999</v>
      </c>
      <c r="O30">
        <v>2.4910000000000001</v>
      </c>
      <c r="P30">
        <v>4.149</v>
      </c>
      <c r="Q30">
        <v>9.2469999999999999</v>
      </c>
      <c r="R30">
        <v>342.9</v>
      </c>
    </row>
    <row r="31" spans="1:18" x14ac:dyDescent="0.2">
      <c r="A31" t="s">
        <v>127</v>
      </c>
      <c r="B31" t="s">
        <v>197</v>
      </c>
      <c r="C31" t="s">
        <v>129</v>
      </c>
      <c r="E31">
        <v>0.70699999999999996</v>
      </c>
      <c r="F31">
        <v>0.66</v>
      </c>
      <c r="H31">
        <v>1.0900000000000001</v>
      </c>
      <c r="I31">
        <v>0.46400000000000002</v>
      </c>
      <c r="P31">
        <v>2.4769999999999999</v>
      </c>
      <c r="Q31">
        <v>10.802</v>
      </c>
      <c r="R31">
        <v>401.62400000000002</v>
      </c>
    </row>
    <row r="32" spans="1:18" x14ac:dyDescent="0.2">
      <c r="A32" t="s">
        <v>127</v>
      </c>
      <c r="B32" t="s">
        <v>197</v>
      </c>
      <c r="C32" t="s">
        <v>129</v>
      </c>
      <c r="E32">
        <v>1.097</v>
      </c>
      <c r="F32">
        <v>1.0129999999999999</v>
      </c>
      <c r="H32">
        <v>2.2810000000000001</v>
      </c>
      <c r="I32">
        <v>0.46700000000000003</v>
      </c>
      <c r="J32">
        <v>5.4790000000000001</v>
      </c>
      <c r="K32">
        <v>3.774</v>
      </c>
      <c r="L32">
        <v>2.153</v>
      </c>
      <c r="M32">
        <v>2.8940000000000001</v>
      </c>
      <c r="N32">
        <v>3.8959999999999999</v>
      </c>
      <c r="O32">
        <v>2.6829999999999998</v>
      </c>
      <c r="P32">
        <v>2.6269999999999998</v>
      </c>
      <c r="Q32">
        <v>6.9169999999999998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ECBB-26C1-E244-B901-EFA8AF0A6B4D}">
  <dimension ref="A1:R52"/>
  <sheetViews>
    <sheetView workbookViewId="0">
      <selection activeCell="J1" sqref="J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104</v>
      </c>
      <c r="B2" t="s">
        <v>105</v>
      </c>
      <c r="C2" t="s">
        <v>44</v>
      </c>
      <c r="D2" t="s">
        <v>21</v>
      </c>
      <c r="E2">
        <v>1.5469999999999999</v>
      </c>
      <c r="F2">
        <v>0.68300000000000005</v>
      </c>
      <c r="G2">
        <v>0</v>
      </c>
      <c r="H2">
        <v>4.7539999999999996</v>
      </c>
      <c r="I2">
        <v>1.913</v>
      </c>
      <c r="J2">
        <v>4.1710000000000003</v>
      </c>
      <c r="M2">
        <v>2.3610000000000002</v>
      </c>
      <c r="N2">
        <v>2.7229999999999999</v>
      </c>
      <c r="O2">
        <v>4.0670000000000002</v>
      </c>
      <c r="P2">
        <v>7.7149999999999999</v>
      </c>
      <c r="Q2">
        <v>9.8740000000000006</v>
      </c>
      <c r="R2">
        <v>448.35599999999999</v>
      </c>
    </row>
    <row r="3" spans="1:18" x14ac:dyDescent="0.2">
      <c r="A3" t="s">
        <v>104</v>
      </c>
      <c r="B3" t="s">
        <v>105</v>
      </c>
      <c r="C3" t="s">
        <v>44</v>
      </c>
      <c r="D3" t="s">
        <v>21</v>
      </c>
      <c r="E3">
        <v>2.2599999999999998</v>
      </c>
      <c r="F3">
        <v>0.61699999999999999</v>
      </c>
      <c r="G3">
        <v>0</v>
      </c>
    </row>
    <row r="4" spans="1:18" x14ac:dyDescent="0.2">
      <c r="A4" t="s">
        <v>104</v>
      </c>
      <c r="B4" t="s">
        <v>105</v>
      </c>
      <c r="C4" t="s">
        <v>44</v>
      </c>
      <c r="D4" t="s">
        <v>21</v>
      </c>
      <c r="E4">
        <v>1.649</v>
      </c>
      <c r="F4">
        <v>0.53800000000000003</v>
      </c>
      <c r="G4">
        <v>0</v>
      </c>
    </row>
    <row r="5" spans="1:18" x14ac:dyDescent="0.2">
      <c r="A5" t="s">
        <v>104</v>
      </c>
      <c r="B5" t="s">
        <v>106</v>
      </c>
      <c r="C5" t="s">
        <v>107</v>
      </c>
      <c r="D5" t="s">
        <v>21</v>
      </c>
      <c r="E5">
        <v>1.0169999999999999</v>
      </c>
      <c r="F5">
        <v>0.64</v>
      </c>
      <c r="G5">
        <v>0</v>
      </c>
      <c r="H5">
        <v>4.4279999999999999</v>
      </c>
      <c r="I5">
        <v>1.4</v>
      </c>
      <c r="J5">
        <v>6.0860000000000003</v>
      </c>
      <c r="K5">
        <v>2.6989999999999998</v>
      </c>
      <c r="L5">
        <v>1.246</v>
      </c>
      <c r="M5">
        <v>2.181</v>
      </c>
      <c r="N5">
        <v>2.1509999999999998</v>
      </c>
      <c r="O5">
        <v>2.0739999999999998</v>
      </c>
      <c r="P5">
        <v>2.444</v>
      </c>
      <c r="Q5">
        <v>6.7210000000000001</v>
      </c>
      <c r="R5">
        <v>515.17600000000004</v>
      </c>
    </row>
    <row r="6" spans="1:18" x14ac:dyDescent="0.2">
      <c r="A6" t="s">
        <v>104</v>
      </c>
      <c r="B6" t="s">
        <v>106</v>
      </c>
      <c r="C6" t="s">
        <v>107</v>
      </c>
      <c r="D6" t="s">
        <v>21</v>
      </c>
      <c r="E6">
        <v>1.0620000000000001</v>
      </c>
      <c r="F6">
        <v>0.72699999999999998</v>
      </c>
      <c r="G6">
        <v>0</v>
      </c>
      <c r="H6">
        <v>4.4960000000000004</v>
      </c>
      <c r="I6">
        <v>1.3460000000000001</v>
      </c>
      <c r="N6">
        <v>1.9079999999999999</v>
      </c>
      <c r="O6">
        <v>1.266</v>
      </c>
      <c r="P6">
        <v>3.7170000000000001</v>
      </c>
      <c r="Q6">
        <v>6.0880000000000001</v>
      </c>
    </row>
    <row r="7" spans="1:18" x14ac:dyDescent="0.2">
      <c r="A7" t="s">
        <v>104</v>
      </c>
      <c r="B7" t="s">
        <v>106</v>
      </c>
      <c r="C7" t="s">
        <v>107</v>
      </c>
      <c r="D7" t="s">
        <v>21</v>
      </c>
      <c r="E7">
        <v>1.494</v>
      </c>
      <c r="F7">
        <v>0.98099999999999998</v>
      </c>
      <c r="G7">
        <v>0</v>
      </c>
      <c r="H7">
        <v>4.952</v>
      </c>
      <c r="I7">
        <v>1.651</v>
      </c>
      <c r="N7">
        <v>2.16</v>
      </c>
      <c r="P7">
        <v>2.109</v>
      </c>
      <c r="Q7">
        <v>12.161</v>
      </c>
    </row>
    <row r="8" spans="1:18" x14ac:dyDescent="0.2">
      <c r="A8" t="s">
        <v>104</v>
      </c>
      <c r="B8" t="s">
        <v>108</v>
      </c>
      <c r="C8" t="s">
        <v>107</v>
      </c>
      <c r="D8" t="s">
        <v>21</v>
      </c>
      <c r="E8">
        <v>2.2189999999999999</v>
      </c>
      <c r="F8">
        <v>0.81799999999999995</v>
      </c>
      <c r="G8">
        <v>0</v>
      </c>
      <c r="H8">
        <v>9.51</v>
      </c>
      <c r="I8">
        <v>3.4409999999999998</v>
      </c>
      <c r="N8">
        <v>3.351</v>
      </c>
      <c r="P8">
        <v>1.161</v>
      </c>
      <c r="Q8">
        <v>13.968999999999999</v>
      </c>
      <c r="R8">
        <v>743.21500000000003</v>
      </c>
    </row>
    <row r="9" spans="1:18" x14ac:dyDescent="0.2">
      <c r="A9" t="s">
        <v>104</v>
      </c>
      <c r="B9" t="s">
        <v>108</v>
      </c>
      <c r="C9" t="s">
        <v>107</v>
      </c>
      <c r="D9" t="s">
        <v>21</v>
      </c>
      <c r="E9">
        <v>1.835</v>
      </c>
      <c r="F9">
        <v>0.82899999999999996</v>
      </c>
      <c r="G9">
        <v>0</v>
      </c>
      <c r="H9">
        <v>9.1310000000000002</v>
      </c>
      <c r="I9">
        <v>2.694</v>
      </c>
      <c r="P9">
        <v>1.3380000000000001</v>
      </c>
      <c r="Q9">
        <v>13.032</v>
      </c>
    </row>
    <row r="10" spans="1:18" x14ac:dyDescent="0.2">
      <c r="A10" t="s">
        <v>104</v>
      </c>
      <c r="B10" t="s">
        <v>108</v>
      </c>
      <c r="C10" t="s">
        <v>107</v>
      </c>
      <c r="D10" t="s">
        <v>21</v>
      </c>
      <c r="E10">
        <v>1.8779999999999999</v>
      </c>
      <c r="F10">
        <v>0.82699999999999996</v>
      </c>
      <c r="G10">
        <v>0</v>
      </c>
      <c r="H10">
        <v>9.2110000000000003</v>
      </c>
      <c r="I10">
        <v>1.899</v>
      </c>
      <c r="P10">
        <v>1.7629999999999999</v>
      </c>
      <c r="Q10">
        <v>5.5659999999999998</v>
      </c>
    </row>
    <row r="11" spans="1:18" x14ac:dyDescent="0.2">
      <c r="A11" t="s">
        <v>104</v>
      </c>
      <c r="B11" t="s">
        <v>109</v>
      </c>
      <c r="C11" t="s">
        <v>107</v>
      </c>
      <c r="D11" t="s">
        <v>21</v>
      </c>
      <c r="E11">
        <v>1.276</v>
      </c>
      <c r="F11">
        <v>0.72</v>
      </c>
      <c r="G11">
        <v>0</v>
      </c>
      <c r="H11">
        <v>6.5439999999999996</v>
      </c>
      <c r="I11">
        <v>2.5950000000000002</v>
      </c>
      <c r="J11">
        <v>9.8119999999999994</v>
      </c>
      <c r="K11">
        <v>4.8330000000000002</v>
      </c>
      <c r="L11">
        <v>3.423</v>
      </c>
      <c r="M11">
        <v>2.637</v>
      </c>
      <c r="N11">
        <v>2.524</v>
      </c>
      <c r="O11">
        <v>1.929</v>
      </c>
      <c r="P11">
        <v>3.637</v>
      </c>
      <c r="Q11">
        <v>4.343</v>
      </c>
      <c r="R11">
        <v>652.39400000000001</v>
      </c>
    </row>
    <row r="12" spans="1:18" x14ac:dyDescent="0.2">
      <c r="A12" t="s">
        <v>104</v>
      </c>
      <c r="B12" t="s">
        <v>109</v>
      </c>
      <c r="C12" t="s">
        <v>107</v>
      </c>
      <c r="D12" t="s">
        <v>21</v>
      </c>
      <c r="E12">
        <v>1.1970000000000001</v>
      </c>
      <c r="F12">
        <v>0.81399999999999995</v>
      </c>
      <c r="G12">
        <v>0</v>
      </c>
      <c r="N12">
        <v>1.2310000000000001</v>
      </c>
      <c r="P12">
        <v>4.0199999999999996</v>
      </c>
      <c r="Q12">
        <v>2.5059999999999998</v>
      </c>
    </row>
    <row r="13" spans="1:18" x14ac:dyDescent="0.2">
      <c r="A13" t="s">
        <v>104</v>
      </c>
      <c r="B13" t="s">
        <v>109</v>
      </c>
      <c r="C13" t="s">
        <v>107</v>
      </c>
      <c r="D13" t="s">
        <v>21</v>
      </c>
      <c r="E13">
        <v>1.1359999999999999</v>
      </c>
      <c r="F13">
        <v>0.68899999999999995</v>
      </c>
      <c r="G13">
        <v>0</v>
      </c>
      <c r="N13">
        <v>1.6859999999999999</v>
      </c>
      <c r="P13">
        <v>3.2879999999999998</v>
      </c>
      <c r="Q13">
        <v>3.3839999999999999</v>
      </c>
    </row>
    <row r="14" spans="1:18" x14ac:dyDescent="0.2">
      <c r="A14" t="s">
        <v>104</v>
      </c>
      <c r="B14" t="s">
        <v>110</v>
      </c>
      <c r="C14" t="s">
        <v>81</v>
      </c>
      <c r="D14" t="s">
        <v>21</v>
      </c>
      <c r="E14">
        <v>1.4279999999999999</v>
      </c>
      <c r="F14">
        <v>0.71799999999999997</v>
      </c>
      <c r="G14">
        <v>0</v>
      </c>
      <c r="H14">
        <v>9.8460000000000001</v>
      </c>
      <c r="I14">
        <v>6.625</v>
      </c>
      <c r="N14">
        <v>2.33</v>
      </c>
      <c r="O14">
        <v>2.4220000000000002</v>
      </c>
      <c r="P14">
        <v>1.835</v>
      </c>
      <c r="Q14">
        <v>9.5830000000000002</v>
      </c>
      <c r="R14">
        <v>751.31200000000001</v>
      </c>
    </row>
    <row r="15" spans="1:18" x14ac:dyDescent="0.2">
      <c r="A15" t="s">
        <v>104</v>
      </c>
      <c r="B15" t="s">
        <v>110</v>
      </c>
      <c r="C15" t="s">
        <v>81</v>
      </c>
      <c r="D15" t="s">
        <v>21</v>
      </c>
      <c r="E15">
        <v>1.2130000000000001</v>
      </c>
      <c r="F15">
        <v>0.65800000000000003</v>
      </c>
      <c r="G15">
        <v>0</v>
      </c>
      <c r="H15">
        <v>9.8699999999999992</v>
      </c>
      <c r="I15">
        <v>5.4710000000000001</v>
      </c>
      <c r="N15">
        <v>2.2629999999999999</v>
      </c>
      <c r="O15">
        <v>2.734</v>
      </c>
      <c r="P15">
        <v>1.5089999999999999</v>
      </c>
      <c r="Q15">
        <v>8.4969999999999999</v>
      </c>
      <c r="R15">
        <v>662.45799999999997</v>
      </c>
    </row>
    <row r="16" spans="1:18" x14ac:dyDescent="0.2">
      <c r="A16" t="s">
        <v>104</v>
      </c>
      <c r="B16" t="s">
        <v>110</v>
      </c>
      <c r="C16" t="s">
        <v>81</v>
      </c>
      <c r="D16" t="s">
        <v>21</v>
      </c>
      <c r="E16">
        <v>1.3220000000000001</v>
      </c>
      <c r="F16">
        <v>0.53200000000000003</v>
      </c>
      <c r="G16">
        <v>0</v>
      </c>
      <c r="H16">
        <v>9.0809999999999995</v>
      </c>
      <c r="I16">
        <v>2.9580000000000002</v>
      </c>
      <c r="N16">
        <v>2.0430000000000001</v>
      </c>
      <c r="P16">
        <v>1.417</v>
      </c>
      <c r="Q16">
        <v>14.193</v>
      </c>
    </row>
    <row r="17" spans="1:18" x14ac:dyDescent="0.2">
      <c r="A17" t="s">
        <v>104</v>
      </c>
      <c r="B17" t="s">
        <v>111</v>
      </c>
      <c r="C17" t="s">
        <v>112</v>
      </c>
      <c r="D17" t="s">
        <v>21</v>
      </c>
      <c r="E17">
        <v>1.4830000000000001</v>
      </c>
      <c r="F17">
        <v>0.71</v>
      </c>
      <c r="G17">
        <v>0</v>
      </c>
      <c r="H17">
        <v>4.585</v>
      </c>
      <c r="I17">
        <v>2.7749999999999999</v>
      </c>
      <c r="N17">
        <v>2.036</v>
      </c>
      <c r="O17">
        <v>1.673</v>
      </c>
      <c r="P17">
        <v>0.85499999999999998</v>
      </c>
      <c r="Q17">
        <v>9.7029999999999994</v>
      </c>
      <c r="R17">
        <v>538.41499999999996</v>
      </c>
    </row>
    <row r="18" spans="1:18" x14ac:dyDescent="0.2">
      <c r="A18" t="s">
        <v>104</v>
      </c>
      <c r="B18" t="s">
        <v>111</v>
      </c>
      <c r="C18" t="s">
        <v>112</v>
      </c>
      <c r="D18" t="s">
        <v>21</v>
      </c>
      <c r="E18">
        <v>1.337</v>
      </c>
      <c r="F18">
        <v>0.77400000000000002</v>
      </c>
      <c r="G18">
        <v>0</v>
      </c>
      <c r="H18">
        <v>2.823</v>
      </c>
      <c r="I18">
        <v>1.659</v>
      </c>
      <c r="N18">
        <v>2.1419999999999999</v>
      </c>
      <c r="O18">
        <v>1.7689999999999999</v>
      </c>
      <c r="P18">
        <v>1.847</v>
      </c>
      <c r="Q18">
        <v>12.912000000000001</v>
      </c>
    </row>
    <row r="19" spans="1:18" x14ac:dyDescent="0.2">
      <c r="A19" t="s">
        <v>104</v>
      </c>
      <c r="B19" t="s">
        <v>111</v>
      </c>
      <c r="C19" t="s">
        <v>112</v>
      </c>
      <c r="D19" t="s">
        <v>21</v>
      </c>
      <c r="E19">
        <v>1.367</v>
      </c>
      <c r="F19">
        <v>0.53400000000000003</v>
      </c>
      <c r="G19">
        <v>0</v>
      </c>
      <c r="H19">
        <v>2.855</v>
      </c>
      <c r="I19">
        <v>1.855</v>
      </c>
      <c r="N19">
        <v>1.1259999999999999</v>
      </c>
      <c r="P19">
        <v>2.044</v>
      </c>
      <c r="Q19">
        <v>5.8620000000000001</v>
      </c>
    </row>
    <row r="20" spans="1:18" x14ac:dyDescent="0.2">
      <c r="A20" t="s">
        <v>104</v>
      </c>
      <c r="B20" t="s">
        <v>113</v>
      </c>
      <c r="C20" t="s">
        <v>112</v>
      </c>
      <c r="D20" t="s">
        <v>21</v>
      </c>
      <c r="E20">
        <v>1.786</v>
      </c>
      <c r="F20">
        <v>0.68100000000000005</v>
      </c>
      <c r="G20">
        <v>0</v>
      </c>
      <c r="H20">
        <v>6.8540000000000001</v>
      </c>
      <c r="I20">
        <v>1.681</v>
      </c>
      <c r="N20">
        <v>1.827</v>
      </c>
      <c r="O20">
        <v>1.601</v>
      </c>
      <c r="P20">
        <v>1.5049999999999999</v>
      </c>
      <c r="Q20">
        <v>21.292999999999999</v>
      </c>
      <c r="R20">
        <v>860.53399999999999</v>
      </c>
    </row>
    <row r="21" spans="1:18" x14ac:dyDescent="0.2">
      <c r="A21" t="s">
        <v>104</v>
      </c>
      <c r="B21" t="s">
        <v>113</v>
      </c>
      <c r="C21" t="s">
        <v>112</v>
      </c>
      <c r="D21" t="s">
        <v>21</v>
      </c>
      <c r="E21">
        <v>1.9410000000000001</v>
      </c>
      <c r="F21">
        <v>0.51400000000000001</v>
      </c>
      <c r="G21">
        <v>0</v>
      </c>
      <c r="H21">
        <v>4.8170000000000002</v>
      </c>
      <c r="I21">
        <v>2.67</v>
      </c>
      <c r="N21">
        <v>1.177</v>
      </c>
      <c r="P21">
        <v>3.3</v>
      </c>
      <c r="Q21">
        <v>19.725999999999999</v>
      </c>
    </row>
    <row r="22" spans="1:18" x14ac:dyDescent="0.2">
      <c r="A22" t="s">
        <v>104</v>
      </c>
      <c r="B22" t="s">
        <v>113</v>
      </c>
      <c r="C22" t="s">
        <v>112</v>
      </c>
      <c r="D22" t="s">
        <v>21</v>
      </c>
      <c r="E22">
        <v>1.3260000000000001</v>
      </c>
      <c r="F22">
        <v>0.85799999999999998</v>
      </c>
      <c r="G22">
        <v>0</v>
      </c>
      <c r="H22">
        <v>4.4950000000000001</v>
      </c>
      <c r="I22">
        <v>1.4410000000000001</v>
      </c>
      <c r="N22">
        <v>1.8680000000000001</v>
      </c>
      <c r="P22">
        <v>3.1379999999999999</v>
      </c>
      <c r="Q22">
        <v>16.718</v>
      </c>
    </row>
    <row r="23" spans="1:18" x14ac:dyDescent="0.2">
      <c r="A23" t="s">
        <v>104</v>
      </c>
      <c r="B23" t="s">
        <v>114</v>
      </c>
      <c r="C23" t="s">
        <v>112</v>
      </c>
      <c r="D23" t="s">
        <v>21</v>
      </c>
      <c r="E23">
        <v>2.3610000000000002</v>
      </c>
      <c r="F23">
        <v>1.113</v>
      </c>
      <c r="G23">
        <v>0</v>
      </c>
      <c r="H23">
        <v>5.31</v>
      </c>
      <c r="I23">
        <v>1.62</v>
      </c>
      <c r="J23">
        <v>8.0730000000000004</v>
      </c>
      <c r="K23">
        <v>4.1500000000000004</v>
      </c>
      <c r="L23">
        <v>3.2589999999999999</v>
      </c>
      <c r="M23">
        <v>2.3420000000000001</v>
      </c>
      <c r="N23">
        <v>1.679</v>
      </c>
      <c r="O23">
        <v>0.81</v>
      </c>
      <c r="P23">
        <v>4.9859999999999998</v>
      </c>
      <c r="Q23">
        <v>11.977</v>
      </c>
      <c r="R23">
        <v>630.35900000000004</v>
      </c>
    </row>
    <row r="24" spans="1:18" x14ac:dyDescent="0.2">
      <c r="A24" t="s">
        <v>104</v>
      </c>
      <c r="B24" t="s">
        <v>114</v>
      </c>
      <c r="C24" t="s">
        <v>112</v>
      </c>
      <c r="D24" t="s">
        <v>21</v>
      </c>
      <c r="E24">
        <v>1.7869999999999999</v>
      </c>
      <c r="F24">
        <v>0.97199999999999998</v>
      </c>
      <c r="G24">
        <v>0</v>
      </c>
      <c r="H24">
        <v>6.0449999999999999</v>
      </c>
      <c r="I24">
        <v>2.2189999999999999</v>
      </c>
      <c r="J24">
        <v>6.3079999999999998</v>
      </c>
      <c r="K24">
        <v>3.5230000000000001</v>
      </c>
      <c r="L24">
        <v>2.944</v>
      </c>
      <c r="M24">
        <v>2.2149999999999999</v>
      </c>
      <c r="N24">
        <v>1.837</v>
      </c>
      <c r="P24">
        <v>2.4529999999999998</v>
      </c>
      <c r="Q24">
        <v>5.8860000000000001</v>
      </c>
      <c r="R24">
        <v>527.72199999999998</v>
      </c>
    </row>
    <row r="25" spans="1:18" x14ac:dyDescent="0.2">
      <c r="A25" t="s">
        <v>104</v>
      </c>
      <c r="B25" t="s">
        <v>114</v>
      </c>
      <c r="C25" t="s">
        <v>112</v>
      </c>
      <c r="D25" t="s">
        <v>21</v>
      </c>
      <c r="E25">
        <v>1.6879999999999999</v>
      </c>
      <c r="F25">
        <v>1.034</v>
      </c>
      <c r="G25">
        <v>0</v>
      </c>
      <c r="H25">
        <v>6.298</v>
      </c>
      <c r="I25">
        <v>2.3839999999999999</v>
      </c>
      <c r="J25">
        <v>8.4440000000000008</v>
      </c>
      <c r="K25">
        <v>2.2440000000000002</v>
      </c>
      <c r="L25">
        <v>1.9730000000000001</v>
      </c>
      <c r="M25">
        <v>2.3730000000000002</v>
      </c>
      <c r="N25">
        <v>2.3069999999999999</v>
      </c>
      <c r="P25">
        <v>3.1760000000000002</v>
      </c>
      <c r="Q25">
        <v>14.425000000000001</v>
      </c>
    </row>
    <row r="26" spans="1:18" x14ac:dyDescent="0.2">
      <c r="A26" t="s">
        <v>104</v>
      </c>
      <c r="B26" t="s">
        <v>115</v>
      </c>
      <c r="C26" t="s">
        <v>116</v>
      </c>
      <c r="D26" t="s">
        <v>21</v>
      </c>
      <c r="E26">
        <v>1.5940000000000001</v>
      </c>
      <c r="F26">
        <v>0.74299999999999999</v>
      </c>
      <c r="G26">
        <v>0</v>
      </c>
      <c r="H26">
        <v>4.2279999999999998</v>
      </c>
      <c r="I26">
        <v>2.605</v>
      </c>
      <c r="N26">
        <v>1.423</v>
      </c>
      <c r="P26">
        <v>1.5149999999999999</v>
      </c>
      <c r="R26">
        <v>489.58199999999999</v>
      </c>
    </row>
    <row r="27" spans="1:18" x14ac:dyDescent="0.2">
      <c r="A27" t="s">
        <v>104</v>
      </c>
      <c r="B27" t="s">
        <v>115</v>
      </c>
      <c r="C27" t="s">
        <v>116</v>
      </c>
      <c r="D27" t="s">
        <v>21</v>
      </c>
      <c r="E27">
        <v>1.254</v>
      </c>
      <c r="F27">
        <v>0.97</v>
      </c>
      <c r="G27">
        <v>0</v>
      </c>
      <c r="H27">
        <v>3.4319999999999999</v>
      </c>
      <c r="I27">
        <v>1.7390000000000001</v>
      </c>
      <c r="N27">
        <v>2.137</v>
      </c>
      <c r="P27">
        <v>2.423</v>
      </c>
      <c r="R27">
        <v>474.596</v>
      </c>
    </row>
    <row r="28" spans="1:18" x14ac:dyDescent="0.2">
      <c r="A28" t="s">
        <v>104</v>
      </c>
      <c r="B28" t="s">
        <v>115</v>
      </c>
      <c r="C28" t="s">
        <v>116</v>
      </c>
      <c r="D28" t="s">
        <v>21</v>
      </c>
      <c r="E28">
        <v>1.653</v>
      </c>
      <c r="F28">
        <v>0.73499999999999999</v>
      </c>
      <c r="G28">
        <v>0</v>
      </c>
      <c r="H28">
        <v>3.9180000000000001</v>
      </c>
      <c r="I28">
        <v>1.349</v>
      </c>
      <c r="N28">
        <v>1.875</v>
      </c>
      <c r="P28">
        <v>1.921</v>
      </c>
    </row>
    <row r="29" spans="1:18" x14ac:dyDescent="0.2">
      <c r="A29" t="s">
        <v>104</v>
      </c>
      <c r="B29" t="s">
        <v>117</v>
      </c>
      <c r="C29" t="s">
        <v>116</v>
      </c>
      <c r="D29" t="s">
        <v>21</v>
      </c>
      <c r="E29">
        <v>1.5089999999999999</v>
      </c>
      <c r="F29">
        <v>0.94899999999999995</v>
      </c>
      <c r="G29">
        <v>0</v>
      </c>
      <c r="H29">
        <v>4.726</v>
      </c>
      <c r="I29">
        <v>2.4119999999999999</v>
      </c>
      <c r="N29">
        <v>2.8250000000000002</v>
      </c>
      <c r="O29">
        <v>3.0670000000000002</v>
      </c>
      <c r="P29">
        <v>2.64</v>
      </c>
      <c r="Q29">
        <v>10.125</v>
      </c>
      <c r="R29">
        <v>520.35199999999998</v>
      </c>
    </row>
    <row r="30" spans="1:18" x14ac:dyDescent="0.2">
      <c r="A30" t="s">
        <v>104</v>
      </c>
      <c r="B30" t="s">
        <v>117</v>
      </c>
      <c r="C30" t="s">
        <v>116</v>
      </c>
      <c r="D30" t="s">
        <v>21</v>
      </c>
      <c r="E30">
        <v>1.522</v>
      </c>
      <c r="F30">
        <v>0.76400000000000001</v>
      </c>
      <c r="G30">
        <v>0</v>
      </c>
      <c r="H30">
        <v>4.274</v>
      </c>
      <c r="I30">
        <v>2.198</v>
      </c>
      <c r="N30">
        <v>2.0640000000000001</v>
      </c>
      <c r="P30">
        <v>2.867</v>
      </c>
      <c r="Q30">
        <v>13.656000000000001</v>
      </c>
    </row>
    <row r="31" spans="1:18" x14ac:dyDescent="0.2">
      <c r="A31" t="s">
        <v>104</v>
      </c>
      <c r="B31" t="s">
        <v>117</v>
      </c>
      <c r="C31" t="s">
        <v>116</v>
      </c>
      <c r="D31" t="s">
        <v>21</v>
      </c>
      <c r="E31">
        <v>1.2569999999999999</v>
      </c>
      <c r="F31">
        <v>0.78100000000000003</v>
      </c>
      <c r="G31">
        <v>0</v>
      </c>
      <c r="H31">
        <v>3.464</v>
      </c>
      <c r="I31">
        <v>1.4119999999999999</v>
      </c>
      <c r="P31">
        <v>2.1850000000000001</v>
      </c>
      <c r="Q31">
        <v>10.816000000000001</v>
      </c>
    </row>
    <row r="32" spans="1:18" x14ac:dyDescent="0.2">
      <c r="A32" t="s">
        <v>104</v>
      </c>
      <c r="B32" t="s">
        <v>118</v>
      </c>
      <c r="C32" t="s">
        <v>119</v>
      </c>
      <c r="D32" t="s">
        <v>21</v>
      </c>
      <c r="E32">
        <v>1.071</v>
      </c>
      <c r="F32">
        <v>0.92300000000000004</v>
      </c>
      <c r="G32">
        <v>0</v>
      </c>
      <c r="H32">
        <v>6.5359999999999996</v>
      </c>
      <c r="I32">
        <v>2.2970000000000002</v>
      </c>
      <c r="J32">
        <v>6.9640000000000004</v>
      </c>
      <c r="K32">
        <v>1.853</v>
      </c>
      <c r="L32">
        <v>1.1930000000000001</v>
      </c>
      <c r="M32">
        <v>2.7080000000000002</v>
      </c>
      <c r="N32">
        <v>4.2679999999999998</v>
      </c>
      <c r="O32">
        <v>2.181</v>
      </c>
      <c r="P32">
        <v>2.6749999999999998</v>
      </c>
      <c r="Q32">
        <v>8.9719999999999995</v>
      </c>
      <c r="R32">
        <v>864.03399999999999</v>
      </c>
    </row>
    <row r="33" spans="1:18" x14ac:dyDescent="0.2">
      <c r="A33" t="s">
        <v>104</v>
      </c>
      <c r="B33" t="s">
        <v>118</v>
      </c>
      <c r="C33" t="s">
        <v>119</v>
      </c>
      <c r="D33" t="s">
        <v>21</v>
      </c>
      <c r="E33">
        <v>1.363</v>
      </c>
      <c r="F33">
        <v>0.57299999999999995</v>
      </c>
      <c r="G33">
        <v>0</v>
      </c>
      <c r="H33">
        <v>4.0179999999999998</v>
      </c>
      <c r="I33">
        <v>1.7470000000000001</v>
      </c>
      <c r="N33">
        <v>2.782</v>
      </c>
      <c r="O33">
        <v>3.12</v>
      </c>
      <c r="P33">
        <v>2.617</v>
      </c>
      <c r="Q33">
        <v>7.6920000000000002</v>
      </c>
      <c r="R33">
        <v>874.66700000000003</v>
      </c>
    </row>
    <row r="34" spans="1:18" x14ac:dyDescent="0.2">
      <c r="A34" t="s">
        <v>104</v>
      </c>
      <c r="B34" t="s">
        <v>118</v>
      </c>
      <c r="C34" t="s">
        <v>119</v>
      </c>
      <c r="D34" t="s">
        <v>21</v>
      </c>
      <c r="E34">
        <v>0.97799999999999998</v>
      </c>
      <c r="F34">
        <v>0.82399999999999995</v>
      </c>
      <c r="G34">
        <v>0</v>
      </c>
      <c r="H34">
        <v>5.2670000000000003</v>
      </c>
      <c r="I34">
        <v>2.84</v>
      </c>
      <c r="N34">
        <v>3.399</v>
      </c>
      <c r="O34">
        <v>2.8140000000000001</v>
      </c>
      <c r="P34">
        <v>3.7879999999999998</v>
      </c>
      <c r="Q34">
        <v>20.135999999999999</v>
      </c>
      <c r="R34">
        <v>843.173</v>
      </c>
    </row>
    <row r="35" spans="1:18" x14ac:dyDescent="0.2">
      <c r="A35" t="s">
        <v>104</v>
      </c>
      <c r="B35" t="s">
        <v>120</v>
      </c>
      <c r="C35" t="s">
        <v>119</v>
      </c>
      <c r="D35" t="s">
        <v>21</v>
      </c>
      <c r="E35">
        <v>1.1279999999999999</v>
      </c>
      <c r="F35">
        <v>0.878</v>
      </c>
      <c r="G35">
        <v>0</v>
      </c>
      <c r="H35">
        <v>4.4379999999999997</v>
      </c>
      <c r="I35">
        <v>3.35</v>
      </c>
      <c r="N35">
        <v>1.196</v>
      </c>
      <c r="P35">
        <v>2.2789999999999999</v>
      </c>
      <c r="Q35">
        <v>13.215999999999999</v>
      </c>
      <c r="R35">
        <v>380.75099999999998</v>
      </c>
    </row>
    <row r="36" spans="1:18" x14ac:dyDescent="0.2">
      <c r="A36" t="s">
        <v>104</v>
      </c>
      <c r="B36" t="s">
        <v>120</v>
      </c>
      <c r="C36" t="s">
        <v>119</v>
      </c>
      <c r="D36" t="s">
        <v>21</v>
      </c>
      <c r="E36">
        <v>1.1120000000000001</v>
      </c>
      <c r="F36">
        <v>0.77500000000000002</v>
      </c>
      <c r="G36">
        <v>0</v>
      </c>
      <c r="H36">
        <v>4.2300000000000004</v>
      </c>
      <c r="I36">
        <v>2.7090000000000001</v>
      </c>
      <c r="N36">
        <v>2.2509999999999999</v>
      </c>
      <c r="P36">
        <v>2.5630000000000002</v>
      </c>
      <c r="Q36">
        <v>14.215999999999999</v>
      </c>
    </row>
    <row r="37" spans="1:18" x14ac:dyDescent="0.2">
      <c r="A37" t="s">
        <v>104</v>
      </c>
      <c r="B37" t="s">
        <v>120</v>
      </c>
      <c r="C37" t="s">
        <v>119</v>
      </c>
      <c r="D37" t="s">
        <v>21</v>
      </c>
      <c r="E37">
        <v>1.3440000000000001</v>
      </c>
      <c r="F37">
        <v>0.70099999999999996</v>
      </c>
      <c r="G37">
        <v>0</v>
      </c>
      <c r="H37">
        <v>3.323</v>
      </c>
      <c r="I37">
        <v>2.1819999999999999</v>
      </c>
      <c r="N37">
        <v>2.2909999999999999</v>
      </c>
      <c r="P37">
        <v>2.4020000000000001</v>
      </c>
      <c r="Q37">
        <v>12.407</v>
      </c>
    </row>
    <row r="38" spans="1:18" x14ac:dyDescent="0.2">
      <c r="A38" t="s">
        <v>104</v>
      </c>
      <c r="B38" t="s">
        <v>121</v>
      </c>
      <c r="C38" t="s">
        <v>44</v>
      </c>
      <c r="D38" t="s">
        <v>21</v>
      </c>
      <c r="E38">
        <v>1.21</v>
      </c>
      <c r="F38">
        <v>0.6</v>
      </c>
      <c r="G38">
        <v>0</v>
      </c>
      <c r="H38">
        <v>2.4830000000000001</v>
      </c>
      <c r="I38">
        <v>1.0720000000000001</v>
      </c>
      <c r="P38">
        <v>1.853</v>
      </c>
      <c r="Q38">
        <v>9.8629999999999995</v>
      </c>
      <c r="R38">
        <v>751.52300000000002</v>
      </c>
    </row>
    <row r="39" spans="1:18" x14ac:dyDescent="0.2">
      <c r="A39" t="s">
        <v>104</v>
      </c>
      <c r="B39" t="s">
        <v>121</v>
      </c>
      <c r="C39" t="s">
        <v>44</v>
      </c>
      <c r="D39" t="s">
        <v>21</v>
      </c>
      <c r="E39">
        <v>1.427</v>
      </c>
      <c r="F39">
        <v>0.71399999999999997</v>
      </c>
      <c r="G39">
        <v>0</v>
      </c>
      <c r="H39">
        <v>4.9980000000000002</v>
      </c>
      <c r="I39">
        <v>3.1629999999999998</v>
      </c>
      <c r="P39">
        <v>3.8039999999999998</v>
      </c>
      <c r="Q39">
        <v>7.8849999999999998</v>
      </c>
    </row>
    <row r="40" spans="1:18" x14ac:dyDescent="0.2">
      <c r="A40" t="s">
        <v>104</v>
      </c>
      <c r="B40" t="s">
        <v>121</v>
      </c>
      <c r="C40" t="s">
        <v>44</v>
      </c>
      <c r="D40" t="s">
        <v>21</v>
      </c>
      <c r="E40">
        <v>1.21</v>
      </c>
      <c r="F40">
        <v>0.77800000000000002</v>
      </c>
      <c r="G40">
        <v>0</v>
      </c>
      <c r="H40">
        <v>3.5489999999999999</v>
      </c>
      <c r="I40">
        <v>1.544</v>
      </c>
      <c r="P40">
        <v>1.6</v>
      </c>
      <c r="Q40">
        <v>6.3049999999999997</v>
      </c>
    </row>
    <row r="41" spans="1:18" x14ac:dyDescent="0.2">
      <c r="A41" t="s">
        <v>104</v>
      </c>
      <c r="B41" t="s">
        <v>122</v>
      </c>
      <c r="C41" t="s">
        <v>123</v>
      </c>
      <c r="D41" t="s">
        <v>21</v>
      </c>
      <c r="E41">
        <v>1.429</v>
      </c>
      <c r="F41">
        <v>0.76700000000000002</v>
      </c>
      <c r="G41">
        <v>0</v>
      </c>
      <c r="H41">
        <v>5.133</v>
      </c>
      <c r="I41">
        <v>2.629</v>
      </c>
      <c r="J41">
        <v>6.1079999999999997</v>
      </c>
      <c r="K41">
        <v>2.7280000000000002</v>
      </c>
      <c r="L41">
        <v>2.0659999999999998</v>
      </c>
      <c r="M41">
        <v>3.3279999999999998</v>
      </c>
      <c r="N41">
        <v>1.9910000000000001</v>
      </c>
      <c r="O41">
        <v>1.639</v>
      </c>
      <c r="P41">
        <v>2.8039999999999998</v>
      </c>
      <c r="Q41">
        <v>25.577999999999999</v>
      </c>
      <c r="R41">
        <v>634.13300000000004</v>
      </c>
    </row>
    <row r="42" spans="1:18" x14ac:dyDescent="0.2">
      <c r="A42" t="s">
        <v>104</v>
      </c>
      <c r="B42" t="s">
        <v>122</v>
      </c>
      <c r="C42" t="s">
        <v>123</v>
      </c>
      <c r="D42" t="s">
        <v>21</v>
      </c>
      <c r="E42">
        <v>1.2889999999999999</v>
      </c>
      <c r="F42">
        <v>0.89</v>
      </c>
      <c r="G42">
        <v>0</v>
      </c>
      <c r="H42">
        <v>4.7149999999999999</v>
      </c>
      <c r="I42">
        <v>2.5259999999999998</v>
      </c>
      <c r="N42">
        <v>2.1539999999999999</v>
      </c>
      <c r="P42">
        <v>2.778</v>
      </c>
      <c r="Q42">
        <v>16.385999999999999</v>
      </c>
      <c r="R42">
        <v>459.46699999999998</v>
      </c>
    </row>
    <row r="43" spans="1:18" x14ac:dyDescent="0.2">
      <c r="A43" t="s">
        <v>104</v>
      </c>
      <c r="B43" t="s">
        <v>122</v>
      </c>
      <c r="C43" t="s">
        <v>123</v>
      </c>
      <c r="D43" t="s">
        <v>21</v>
      </c>
      <c r="E43">
        <v>1.6990000000000001</v>
      </c>
      <c r="F43">
        <v>0.92400000000000004</v>
      </c>
      <c r="G43">
        <v>0</v>
      </c>
      <c r="H43">
        <v>4.0270000000000001</v>
      </c>
      <c r="I43">
        <v>2.113</v>
      </c>
      <c r="N43">
        <v>2.5840000000000001</v>
      </c>
      <c r="P43">
        <v>2.0489999999999999</v>
      </c>
    </row>
    <row r="44" spans="1:18" x14ac:dyDescent="0.2">
      <c r="A44" t="s">
        <v>104</v>
      </c>
      <c r="B44" t="s">
        <v>124</v>
      </c>
      <c r="C44" t="s">
        <v>123</v>
      </c>
      <c r="D44" t="s">
        <v>21</v>
      </c>
      <c r="E44">
        <v>2.1360000000000001</v>
      </c>
      <c r="F44">
        <v>1.2450000000000001</v>
      </c>
      <c r="G44">
        <v>0</v>
      </c>
      <c r="H44">
        <v>5.907</v>
      </c>
      <c r="I44">
        <v>2.56</v>
      </c>
      <c r="J44">
        <v>5.0549999999999997</v>
      </c>
      <c r="K44">
        <v>2.0390000000000001</v>
      </c>
      <c r="L44">
        <v>1.0620000000000001</v>
      </c>
      <c r="M44">
        <v>2.657</v>
      </c>
      <c r="N44">
        <v>3.0630000000000002</v>
      </c>
      <c r="O44">
        <v>2.9249999999999998</v>
      </c>
      <c r="P44">
        <v>5.0570000000000004</v>
      </c>
      <c r="Q44">
        <v>10.571</v>
      </c>
      <c r="R44">
        <v>680</v>
      </c>
    </row>
    <row r="45" spans="1:18" x14ac:dyDescent="0.2">
      <c r="A45" t="s">
        <v>104</v>
      </c>
      <c r="B45" t="s">
        <v>124</v>
      </c>
      <c r="C45" t="s">
        <v>123</v>
      </c>
      <c r="D45" t="s">
        <v>21</v>
      </c>
      <c r="E45">
        <v>2.069</v>
      </c>
      <c r="F45">
        <v>1.1359999999999999</v>
      </c>
      <c r="G45">
        <v>0</v>
      </c>
      <c r="H45">
        <v>7.82</v>
      </c>
      <c r="I45">
        <v>2.774</v>
      </c>
      <c r="J45">
        <v>5.45</v>
      </c>
      <c r="K45">
        <v>2.4580000000000002</v>
      </c>
      <c r="L45">
        <v>0.72599999999999998</v>
      </c>
      <c r="M45">
        <v>3.3450000000000002</v>
      </c>
      <c r="N45">
        <v>2.2240000000000002</v>
      </c>
      <c r="O45">
        <v>2.4289999999999998</v>
      </c>
      <c r="P45">
        <v>2.649</v>
      </c>
      <c r="Q45">
        <v>7.81</v>
      </c>
      <c r="R45">
        <v>676.71699999999998</v>
      </c>
    </row>
    <row r="46" spans="1:18" x14ac:dyDescent="0.2">
      <c r="A46" t="s">
        <v>104</v>
      </c>
      <c r="B46" t="s">
        <v>124</v>
      </c>
      <c r="C46" t="s">
        <v>123</v>
      </c>
      <c r="D46" t="s">
        <v>21</v>
      </c>
      <c r="E46">
        <v>1.5760000000000001</v>
      </c>
      <c r="F46">
        <v>1.19</v>
      </c>
      <c r="G46">
        <v>0</v>
      </c>
      <c r="H46">
        <v>4.8760000000000003</v>
      </c>
      <c r="I46">
        <v>2.2869999999999999</v>
      </c>
      <c r="J46">
        <v>5.0730000000000004</v>
      </c>
      <c r="K46">
        <v>2.0830000000000002</v>
      </c>
      <c r="L46">
        <v>1.101</v>
      </c>
      <c r="M46">
        <v>2.843</v>
      </c>
      <c r="N46">
        <v>1.802</v>
      </c>
      <c r="O46">
        <v>2.5659999999999998</v>
      </c>
      <c r="P46">
        <v>2.855</v>
      </c>
      <c r="Q46">
        <v>9.6590000000000007</v>
      </c>
    </row>
    <row r="47" spans="1:18" x14ac:dyDescent="0.2">
      <c r="A47" t="s">
        <v>104</v>
      </c>
      <c r="B47" t="s">
        <v>125</v>
      </c>
      <c r="C47" t="s">
        <v>123</v>
      </c>
      <c r="D47" t="s">
        <v>21</v>
      </c>
      <c r="E47">
        <v>1.5289999999999999</v>
      </c>
      <c r="F47">
        <v>1.232</v>
      </c>
      <c r="G47">
        <v>0</v>
      </c>
      <c r="H47">
        <v>3.8919999999999999</v>
      </c>
      <c r="I47">
        <v>2.3370000000000002</v>
      </c>
      <c r="O47">
        <v>3.3370000000000002</v>
      </c>
      <c r="P47">
        <v>5.1040000000000001</v>
      </c>
      <c r="Q47">
        <v>9.1890000000000001</v>
      </c>
      <c r="R47">
        <v>826.35900000000004</v>
      </c>
    </row>
    <row r="48" spans="1:18" x14ac:dyDescent="0.2">
      <c r="A48" t="s">
        <v>104</v>
      </c>
      <c r="B48" t="s">
        <v>125</v>
      </c>
      <c r="C48" t="s">
        <v>123</v>
      </c>
      <c r="D48" t="s">
        <v>21</v>
      </c>
      <c r="E48">
        <v>1.552</v>
      </c>
      <c r="F48">
        <v>1.0780000000000001</v>
      </c>
      <c r="G48">
        <v>0</v>
      </c>
      <c r="H48">
        <v>5.9109999999999996</v>
      </c>
      <c r="I48">
        <v>3.3010000000000002</v>
      </c>
      <c r="O48">
        <v>3.4550000000000001</v>
      </c>
      <c r="P48">
        <v>1.673</v>
      </c>
      <c r="Q48">
        <v>8.3439999999999994</v>
      </c>
    </row>
    <row r="49" spans="1:18" x14ac:dyDescent="0.2">
      <c r="A49" t="s">
        <v>104</v>
      </c>
      <c r="B49" t="s">
        <v>125</v>
      </c>
      <c r="C49" t="s">
        <v>123</v>
      </c>
      <c r="D49" t="s">
        <v>21</v>
      </c>
      <c r="E49">
        <v>1.4019999999999999</v>
      </c>
      <c r="F49">
        <v>0.71899999999999997</v>
      </c>
      <c r="G49">
        <v>0</v>
      </c>
      <c r="H49">
        <v>6.5629999999999997</v>
      </c>
      <c r="I49">
        <v>3.3580000000000001</v>
      </c>
      <c r="P49">
        <v>5.0789999999999997</v>
      </c>
      <c r="Q49">
        <v>11.856999999999999</v>
      </c>
    </row>
    <row r="50" spans="1:18" x14ac:dyDescent="0.2">
      <c r="A50" t="s">
        <v>104</v>
      </c>
      <c r="B50" t="s">
        <v>126</v>
      </c>
      <c r="C50" t="s">
        <v>123</v>
      </c>
      <c r="E50">
        <v>0.999</v>
      </c>
      <c r="F50">
        <v>0.60699999999999998</v>
      </c>
      <c r="H50">
        <v>2.911</v>
      </c>
      <c r="I50">
        <v>0.72199999999999998</v>
      </c>
      <c r="J50">
        <v>4.7160000000000002</v>
      </c>
      <c r="K50">
        <v>3.05</v>
      </c>
      <c r="L50">
        <v>2.5880000000000001</v>
      </c>
      <c r="M50">
        <v>1.7370000000000001</v>
      </c>
      <c r="N50">
        <v>2.7450000000000001</v>
      </c>
      <c r="O50">
        <v>2.3570000000000002</v>
      </c>
      <c r="P50">
        <v>2.5350000000000001</v>
      </c>
      <c r="Q50">
        <v>20.856000000000002</v>
      </c>
      <c r="R50">
        <v>703.54499999999996</v>
      </c>
    </row>
    <row r="51" spans="1:18" x14ac:dyDescent="0.2">
      <c r="A51" t="s">
        <v>104</v>
      </c>
      <c r="B51" t="s">
        <v>126</v>
      </c>
      <c r="C51" t="s">
        <v>123</v>
      </c>
      <c r="E51">
        <v>0.92100000000000004</v>
      </c>
      <c r="F51">
        <v>0.7</v>
      </c>
      <c r="H51">
        <v>2.9079999999999999</v>
      </c>
      <c r="I51">
        <v>0.33800000000000002</v>
      </c>
      <c r="J51">
        <v>7.3840000000000003</v>
      </c>
      <c r="K51">
        <v>3.6760000000000002</v>
      </c>
      <c r="L51">
        <v>1.865</v>
      </c>
      <c r="M51">
        <v>2.3719999999999999</v>
      </c>
      <c r="N51">
        <v>2.7509999999999999</v>
      </c>
      <c r="O51">
        <v>2.2069999999999999</v>
      </c>
      <c r="P51">
        <v>1.91</v>
      </c>
      <c r="Q51">
        <v>17.189</v>
      </c>
    </row>
    <row r="52" spans="1:18" x14ac:dyDescent="0.2">
      <c r="A52" t="s">
        <v>104</v>
      </c>
      <c r="B52" t="s">
        <v>126</v>
      </c>
      <c r="C52" t="s">
        <v>123</v>
      </c>
      <c r="E52">
        <v>0.80400000000000005</v>
      </c>
      <c r="F52">
        <v>0.75800000000000001</v>
      </c>
      <c r="H52">
        <v>3.45</v>
      </c>
      <c r="I52">
        <v>0.877</v>
      </c>
      <c r="J52">
        <v>6.7370000000000001</v>
      </c>
      <c r="K52">
        <v>2.036</v>
      </c>
      <c r="L52">
        <v>1.5049999999999999</v>
      </c>
      <c r="M52">
        <v>2.121</v>
      </c>
      <c r="N52">
        <v>2.5179999999999998</v>
      </c>
      <c r="O52">
        <v>2.5129999999999999</v>
      </c>
      <c r="P52">
        <v>2.5649999999999999</v>
      </c>
      <c r="Q52">
        <v>13.689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0072-4AB0-F041-AF4E-7CDA50AF3C1E}">
  <dimension ref="A1:AH20"/>
  <sheetViews>
    <sheetView topLeftCell="I1" workbookViewId="0">
      <selection activeCell="B16" sqref="B16"/>
    </sheetView>
  </sheetViews>
  <sheetFormatPr baseColWidth="10" defaultRowHeight="16" x14ac:dyDescent="0.2"/>
  <cols>
    <col min="1" max="1" width="16" bestFit="1" customWidth="1"/>
    <col min="2" max="2" width="8" bestFit="1" customWidth="1"/>
    <col min="3" max="3" width="9.6640625" bestFit="1" customWidth="1"/>
    <col min="4" max="4" width="10.33203125" bestFit="1" customWidth="1"/>
    <col min="5" max="5" width="15.33203125" bestFit="1" customWidth="1"/>
    <col min="6" max="6" width="16" bestFit="1" customWidth="1"/>
    <col min="7" max="7" width="16.5" bestFit="1" customWidth="1"/>
    <col min="8" max="8" width="11.5" bestFit="1" customWidth="1"/>
    <col min="9" max="9" width="11.33203125" bestFit="1" customWidth="1"/>
    <col min="10" max="10" width="12.5" bestFit="1" customWidth="1"/>
    <col min="11" max="11" width="15.1640625" bestFit="1" customWidth="1"/>
    <col min="12" max="12" width="16" bestFit="1" customWidth="1"/>
    <col min="13" max="13" width="12" bestFit="1" customWidth="1"/>
    <col min="14" max="14" width="13.1640625" bestFit="1" customWidth="1"/>
    <col min="15" max="15" width="11" bestFit="1" customWidth="1"/>
    <col min="16" max="16" width="13.83203125" bestFit="1" customWidth="1"/>
    <col min="17" max="17" width="15.6640625" bestFit="1" customWidth="1"/>
    <col min="18" max="18" width="12.1640625" bestFit="1" customWidth="1"/>
    <col min="19" max="19" width="12.1640625" customWidth="1"/>
    <col min="20" max="20" width="9.83203125" bestFit="1" customWidth="1"/>
    <col min="21" max="21" width="10.33203125" bestFit="1" customWidth="1"/>
    <col min="22" max="22" width="13.1640625" bestFit="1" customWidth="1"/>
    <col min="23" max="23" width="13.6640625" bestFit="1" customWidth="1"/>
    <col min="24" max="24" width="19.6640625" bestFit="1" customWidth="1"/>
    <col min="25" max="25" width="14" bestFit="1" customWidth="1"/>
    <col min="26" max="26" width="16.83203125" customWidth="1"/>
    <col min="27" max="27" width="29.1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  <c r="Z1" t="s">
        <v>242</v>
      </c>
      <c r="AA1" t="s">
        <v>243</v>
      </c>
      <c r="AC1">
        <v>4</v>
      </c>
      <c r="AD1">
        <v>11.169</v>
      </c>
      <c r="AE1">
        <v>111.116</v>
      </c>
      <c r="AF1">
        <v>0.878</v>
      </c>
      <c r="AG1">
        <v>251.81299999999999</v>
      </c>
      <c r="AH1">
        <v>116.065</v>
      </c>
    </row>
    <row r="2" spans="1:34" x14ac:dyDescent="0.2">
      <c r="A2" s="1" t="s">
        <v>99</v>
      </c>
      <c r="B2" s="1" t="s">
        <v>100</v>
      </c>
      <c r="C2" s="1" t="s">
        <v>50</v>
      </c>
      <c r="D2" s="1" t="s">
        <v>21</v>
      </c>
      <c r="E2" s="1">
        <v>2.2999999999999998</v>
      </c>
      <c r="F2" s="1">
        <v>0.59</v>
      </c>
      <c r="G2" s="1">
        <v>0.6</v>
      </c>
      <c r="H2" s="1">
        <v>2.88</v>
      </c>
      <c r="I2" s="1">
        <v>6.42</v>
      </c>
      <c r="J2" s="1">
        <v>3.32</v>
      </c>
      <c r="K2" s="1">
        <v>1.21</v>
      </c>
      <c r="L2" s="1">
        <v>0.66</v>
      </c>
      <c r="M2" s="1">
        <v>2.2799999999999998</v>
      </c>
      <c r="N2" s="1">
        <v>4.34</v>
      </c>
      <c r="O2" s="1">
        <v>4.58</v>
      </c>
      <c r="P2" s="1">
        <v>1.21</v>
      </c>
      <c r="Q2" s="1">
        <v>35.14</v>
      </c>
      <c r="R2" s="1"/>
      <c r="S2">
        <v>99.671999999999997</v>
      </c>
      <c r="T2">
        <v>62.081000000000003</v>
      </c>
      <c r="U2">
        <v>79.552000000000007</v>
      </c>
      <c r="X2">
        <v>5</v>
      </c>
      <c r="Y2">
        <v>30.966999999999999</v>
      </c>
      <c r="Z2">
        <v>1.141</v>
      </c>
      <c r="AA2">
        <v>3.798</v>
      </c>
      <c r="AC2">
        <v>5</v>
      </c>
      <c r="AD2">
        <v>5.5839999999999996</v>
      </c>
      <c r="AE2">
        <v>140.286</v>
      </c>
      <c r="AF2">
        <v>13.148999999999999</v>
      </c>
      <c r="AG2">
        <v>254.10300000000001</v>
      </c>
      <c r="AH2">
        <v>58.048999999999999</v>
      </c>
    </row>
    <row r="3" spans="1:34" x14ac:dyDescent="0.2">
      <c r="A3" s="1" t="s">
        <v>99</v>
      </c>
      <c r="B3" s="1" t="s">
        <v>100</v>
      </c>
      <c r="C3" s="1" t="s">
        <v>50</v>
      </c>
      <c r="D3" s="1" t="s">
        <v>21</v>
      </c>
      <c r="E3" s="1">
        <v>2.2200000000000002</v>
      </c>
      <c r="F3" s="1">
        <v>0.68</v>
      </c>
      <c r="G3" s="1">
        <v>0.49</v>
      </c>
      <c r="H3" s="1">
        <v>1.66</v>
      </c>
      <c r="I3" s="1">
        <v>2.89</v>
      </c>
      <c r="J3" s="1">
        <v>3.42</v>
      </c>
      <c r="K3" s="1">
        <v>1.28</v>
      </c>
      <c r="L3" s="1">
        <v>1.22</v>
      </c>
      <c r="M3" s="1">
        <v>2.52</v>
      </c>
      <c r="N3" s="1">
        <v>3.93</v>
      </c>
      <c r="O3" s="1">
        <v>5.45</v>
      </c>
      <c r="P3" s="1">
        <v>1.73</v>
      </c>
      <c r="Q3" s="1">
        <v>25.54</v>
      </c>
      <c r="R3" s="1"/>
      <c r="S3">
        <v>101.92</v>
      </c>
      <c r="T3">
        <v>48.738</v>
      </c>
      <c r="U3">
        <v>67.926000000000002</v>
      </c>
      <c r="X3">
        <v>5</v>
      </c>
      <c r="Y3">
        <v>29.145</v>
      </c>
      <c r="Z3">
        <v>1.085</v>
      </c>
      <c r="AA3">
        <v>3.88</v>
      </c>
    </row>
    <row r="4" spans="1:34" x14ac:dyDescent="0.2">
      <c r="A4" s="1" t="s">
        <v>99</v>
      </c>
      <c r="B4" s="1" t="s">
        <v>100</v>
      </c>
      <c r="C4" s="1" t="s">
        <v>50</v>
      </c>
      <c r="D4" s="1" t="s">
        <v>21</v>
      </c>
      <c r="E4" s="1">
        <v>1.66</v>
      </c>
      <c r="F4" s="1">
        <v>0.95</v>
      </c>
      <c r="G4" s="1">
        <v>0.44</v>
      </c>
      <c r="H4" s="1">
        <v>1.48</v>
      </c>
      <c r="I4" s="1">
        <v>6.56</v>
      </c>
      <c r="J4" s="1">
        <v>3.55</v>
      </c>
      <c r="K4" s="1">
        <v>0.91</v>
      </c>
      <c r="L4" s="1">
        <v>0.9</v>
      </c>
      <c r="M4" s="1">
        <v>1.93</v>
      </c>
      <c r="N4" s="1">
        <v>4.0999999999999996</v>
      </c>
      <c r="O4" s="1">
        <v>4.63</v>
      </c>
      <c r="P4" s="1">
        <v>2.34</v>
      </c>
      <c r="Q4" s="1">
        <v>25.84</v>
      </c>
      <c r="R4" s="1"/>
      <c r="S4">
        <v>99.290999999999997</v>
      </c>
      <c r="T4">
        <v>71.576999999999998</v>
      </c>
      <c r="U4">
        <v>54.192</v>
      </c>
      <c r="X4">
        <v>5</v>
      </c>
      <c r="Y4">
        <v>23.821999999999999</v>
      </c>
      <c r="Z4">
        <v>1.069</v>
      </c>
      <c r="AA4">
        <v>3.6379999999999999</v>
      </c>
    </row>
    <row r="5" spans="1:34" x14ac:dyDescent="0.2">
      <c r="A5" s="1" t="s">
        <v>99</v>
      </c>
      <c r="B5" s="1" t="s">
        <v>101</v>
      </c>
      <c r="C5" s="1" t="s">
        <v>50</v>
      </c>
      <c r="D5" s="1" t="s">
        <v>21</v>
      </c>
      <c r="E5" s="1">
        <v>1.56</v>
      </c>
      <c r="F5" s="1">
        <v>0.78</v>
      </c>
      <c r="G5" s="1">
        <v>0.62</v>
      </c>
      <c r="H5" s="1">
        <v>1.52</v>
      </c>
      <c r="I5" s="1">
        <v>4.6500000000000004</v>
      </c>
      <c r="J5" s="1">
        <v>2.67</v>
      </c>
      <c r="K5" s="1">
        <v>1.59</v>
      </c>
      <c r="L5" s="1">
        <v>1.35</v>
      </c>
      <c r="M5" s="1">
        <v>2.2599999999999998</v>
      </c>
      <c r="N5" s="1">
        <v>2.99</v>
      </c>
      <c r="O5" s="1">
        <v>3.68</v>
      </c>
      <c r="P5" s="1">
        <v>1.77</v>
      </c>
      <c r="Q5" s="1">
        <v>16.559999999999999</v>
      </c>
      <c r="R5" s="1">
        <v>66.7</v>
      </c>
      <c r="S5">
        <v>164.863</v>
      </c>
      <c r="T5" s="1">
        <v>73.947999999999993</v>
      </c>
      <c r="U5">
        <v>80.521000000000001</v>
      </c>
      <c r="V5">
        <v>3.8260000000000001</v>
      </c>
      <c r="W5">
        <v>4.9000000000000004</v>
      </c>
      <c r="X5">
        <v>5</v>
      </c>
      <c r="Y5">
        <v>43.368000000000002</v>
      </c>
      <c r="Z5">
        <v>1.1379999999999999</v>
      </c>
      <c r="AA5">
        <v>2.556</v>
      </c>
    </row>
    <row r="6" spans="1:34" x14ac:dyDescent="0.2">
      <c r="A6" s="1" t="s">
        <v>99</v>
      </c>
      <c r="B6" s="1" t="s">
        <v>101</v>
      </c>
      <c r="C6" s="1" t="s">
        <v>50</v>
      </c>
      <c r="D6" s="1" t="s">
        <v>21</v>
      </c>
      <c r="E6" s="1">
        <v>2.2799999999999998</v>
      </c>
      <c r="F6" s="1">
        <v>0.79</v>
      </c>
      <c r="G6" s="1">
        <v>0.4</v>
      </c>
      <c r="H6" s="1">
        <v>2.52</v>
      </c>
      <c r="I6" s="1">
        <v>6.38</v>
      </c>
      <c r="J6" s="1">
        <v>3.82</v>
      </c>
      <c r="K6" s="1">
        <v>1.07</v>
      </c>
      <c r="L6" s="1">
        <v>0.79</v>
      </c>
      <c r="M6" s="1">
        <v>1.72</v>
      </c>
      <c r="N6" s="1">
        <v>3.43</v>
      </c>
      <c r="O6" s="1">
        <v>3.05</v>
      </c>
      <c r="P6" s="1">
        <v>3.14</v>
      </c>
      <c r="Q6" s="1">
        <v>19.850000000000001</v>
      </c>
      <c r="R6" s="1"/>
      <c r="S6">
        <v>179.083</v>
      </c>
      <c r="U6">
        <v>84.117999999999995</v>
      </c>
      <c r="V6">
        <v>3.2810000000000001</v>
      </c>
      <c r="W6">
        <v>5.9960000000000004</v>
      </c>
      <c r="X6">
        <v>4</v>
      </c>
      <c r="Y6">
        <v>34.433</v>
      </c>
      <c r="Z6">
        <v>1.129</v>
      </c>
      <c r="AA6">
        <v>2.76</v>
      </c>
    </row>
    <row r="7" spans="1:34" x14ac:dyDescent="0.2">
      <c r="A7" s="1" t="s">
        <v>99</v>
      </c>
      <c r="B7" s="1" t="s">
        <v>101</v>
      </c>
      <c r="C7" s="1" t="s">
        <v>50</v>
      </c>
      <c r="D7" s="1" t="s">
        <v>21</v>
      </c>
      <c r="E7" s="1">
        <v>1.86</v>
      </c>
      <c r="F7" s="1">
        <v>0.68</v>
      </c>
      <c r="G7" s="1">
        <v>0.49</v>
      </c>
      <c r="H7" s="1">
        <v>1.43</v>
      </c>
      <c r="I7" s="1">
        <v>3.59</v>
      </c>
      <c r="J7" s="1">
        <v>3.91</v>
      </c>
      <c r="K7" s="1">
        <v>1.57</v>
      </c>
      <c r="L7" s="1">
        <v>1.02</v>
      </c>
      <c r="M7" s="1">
        <v>2.58</v>
      </c>
      <c r="N7" s="1">
        <v>3.09</v>
      </c>
      <c r="O7" s="1">
        <v>2.74</v>
      </c>
      <c r="P7" s="1">
        <v>2.0499999999999998</v>
      </c>
      <c r="Q7" s="1">
        <v>15.28</v>
      </c>
      <c r="R7" s="1"/>
      <c r="S7">
        <v>132.63999999999999</v>
      </c>
      <c r="V7">
        <v>3.57</v>
      </c>
      <c r="W7">
        <v>5.2949999999999999</v>
      </c>
      <c r="X7">
        <v>7</v>
      </c>
      <c r="Y7">
        <v>39.951000000000001</v>
      </c>
      <c r="Z7">
        <v>1.2250000000000001</v>
      </c>
      <c r="AA7">
        <v>2.38</v>
      </c>
    </row>
    <row r="8" spans="1:34" x14ac:dyDescent="0.2">
      <c r="A8" s="1" t="s">
        <v>99</v>
      </c>
      <c r="B8" s="1" t="s">
        <v>102</v>
      </c>
      <c r="C8" s="1" t="s">
        <v>50</v>
      </c>
      <c r="D8" s="1" t="s">
        <v>25</v>
      </c>
      <c r="E8" s="1">
        <v>1.46</v>
      </c>
      <c r="F8" s="1">
        <v>0.98</v>
      </c>
      <c r="G8" s="1">
        <v>1.28</v>
      </c>
      <c r="H8" s="1">
        <v>0.88</v>
      </c>
      <c r="I8" s="1">
        <v>2.52</v>
      </c>
      <c r="J8" s="1">
        <v>3.8</v>
      </c>
      <c r="K8" s="1">
        <v>1.75</v>
      </c>
      <c r="L8" s="1">
        <v>0.89</v>
      </c>
      <c r="M8" s="1">
        <v>2.7</v>
      </c>
      <c r="N8" s="1">
        <v>4.22</v>
      </c>
      <c r="O8" s="1">
        <v>4.51</v>
      </c>
      <c r="P8" s="1">
        <v>2.64</v>
      </c>
      <c r="Q8" s="1">
        <v>8.34</v>
      </c>
      <c r="R8" s="1"/>
      <c r="S8">
        <v>143.60499999999999</v>
      </c>
      <c r="T8">
        <v>77.528000000000006</v>
      </c>
      <c r="U8">
        <v>92.134</v>
      </c>
      <c r="V8">
        <v>3.88</v>
      </c>
      <c r="W8">
        <v>4.9189999999999996</v>
      </c>
      <c r="Y8">
        <v>28.861999999999998</v>
      </c>
      <c r="Z8">
        <v>1.2869999999999999</v>
      </c>
      <c r="AA8">
        <v>1.7709999999999999</v>
      </c>
    </row>
    <row r="9" spans="1:34" x14ac:dyDescent="0.2">
      <c r="A9" s="1" t="s">
        <v>99</v>
      </c>
      <c r="B9" s="1" t="s">
        <v>102</v>
      </c>
      <c r="C9" s="1" t="s">
        <v>50</v>
      </c>
      <c r="D9" s="1" t="s">
        <v>25</v>
      </c>
      <c r="E9" s="1">
        <v>1.48</v>
      </c>
      <c r="F9" s="1">
        <v>0.68</v>
      </c>
      <c r="G9" s="1">
        <v>1.1000000000000001</v>
      </c>
      <c r="H9" s="1">
        <v>1.31</v>
      </c>
      <c r="I9" s="1">
        <v>3.1</v>
      </c>
      <c r="J9" s="1">
        <v>3.83</v>
      </c>
      <c r="K9" s="1">
        <v>0.76</v>
      </c>
      <c r="L9" s="1">
        <v>0.51</v>
      </c>
      <c r="M9" s="1">
        <v>2.74</v>
      </c>
      <c r="N9" s="1">
        <v>3.92</v>
      </c>
      <c r="O9" s="1">
        <v>3.77</v>
      </c>
      <c r="P9" s="1">
        <v>2.35</v>
      </c>
      <c r="Q9" s="1">
        <v>21.47</v>
      </c>
      <c r="R9" s="1"/>
      <c r="S9">
        <v>78.703999999999994</v>
      </c>
      <c r="T9">
        <v>67.686000000000007</v>
      </c>
      <c r="U9">
        <v>80.063000000000002</v>
      </c>
      <c r="V9">
        <v>3.5459999999999998</v>
      </c>
      <c r="W9">
        <v>5.6740000000000004</v>
      </c>
      <c r="Y9">
        <v>35.034999999999997</v>
      </c>
      <c r="Z9">
        <v>1.1519999999999999</v>
      </c>
      <c r="AA9">
        <v>3.0710000000000002</v>
      </c>
    </row>
    <row r="10" spans="1:34" x14ac:dyDescent="0.2">
      <c r="A10" s="1" t="s">
        <v>99</v>
      </c>
      <c r="B10" s="1" t="s">
        <v>102</v>
      </c>
      <c r="C10" s="1" t="s">
        <v>50</v>
      </c>
      <c r="D10" s="1" t="s">
        <v>25</v>
      </c>
      <c r="E10" s="1">
        <v>2.76</v>
      </c>
      <c r="F10" s="1">
        <v>1.04</v>
      </c>
      <c r="G10" s="1">
        <v>0.69</v>
      </c>
      <c r="H10" s="1">
        <v>1.2</v>
      </c>
      <c r="I10" s="1">
        <v>3.24</v>
      </c>
      <c r="J10" s="1">
        <v>3.5</v>
      </c>
      <c r="K10" s="1">
        <v>1.31</v>
      </c>
      <c r="L10" s="1">
        <v>0.74</v>
      </c>
      <c r="M10" s="1">
        <v>2.67</v>
      </c>
      <c r="N10" s="1">
        <v>4.3600000000000003</v>
      </c>
      <c r="O10" s="1">
        <v>4.3600000000000003</v>
      </c>
      <c r="P10" s="1">
        <v>3.7</v>
      </c>
      <c r="Q10" s="1">
        <v>17.63</v>
      </c>
      <c r="R10" s="1"/>
      <c r="S10">
        <v>144.81299999999999</v>
      </c>
      <c r="T10">
        <v>78.959000000000003</v>
      </c>
      <c r="U10">
        <v>80.363</v>
      </c>
      <c r="V10">
        <v>3.4780000000000002</v>
      </c>
      <c r="W10">
        <v>5.5430000000000001</v>
      </c>
      <c r="Y10">
        <v>33.002000000000002</v>
      </c>
      <c r="Z10">
        <v>1.05</v>
      </c>
      <c r="AA10">
        <v>3.0430000000000001</v>
      </c>
    </row>
    <row r="11" spans="1:34" x14ac:dyDescent="0.2">
      <c r="A11" s="1" t="s">
        <v>99</v>
      </c>
      <c r="B11" s="1" t="s">
        <v>103</v>
      </c>
      <c r="C11" s="1" t="s">
        <v>50</v>
      </c>
      <c r="D11" s="1" t="s">
        <v>25</v>
      </c>
      <c r="E11" s="1">
        <v>1.27</v>
      </c>
      <c r="F11" s="1">
        <v>0.55000000000000004</v>
      </c>
      <c r="G11" s="1">
        <v>0.9</v>
      </c>
      <c r="H11" s="1">
        <v>3.73</v>
      </c>
      <c r="I11" s="1">
        <v>6.66</v>
      </c>
      <c r="J11" s="1">
        <v>3.86</v>
      </c>
      <c r="K11" s="1">
        <v>1.1100000000000001</v>
      </c>
      <c r="L11" s="1">
        <v>0.87</v>
      </c>
      <c r="M11" s="1">
        <v>2.71</v>
      </c>
      <c r="N11" s="1">
        <v>4.28</v>
      </c>
      <c r="O11" s="1">
        <v>5.38</v>
      </c>
      <c r="P11" s="1">
        <v>4.9800000000000004</v>
      </c>
      <c r="Q11" s="1">
        <v>28.2</v>
      </c>
      <c r="R11" s="1">
        <v>84.596000000000004</v>
      </c>
      <c r="S11">
        <v>116.065</v>
      </c>
      <c r="T11">
        <v>57.344000000000001</v>
      </c>
      <c r="U11">
        <v>65.245999999999995</v>
      </c>
      <c r="X11">
        <v>9</v>
      </c>
      <c r="Y11">
        <v>39.703000000000003</v>
      </c>
      <c r="Z11">
        <v>1.7749999999999999</v>
      </c>
      <c r="AA11">
        <v>3.7309999999999999</v>
      </c>
    </row>
    <row r="12" spans="1:34" x14ac:dyDescent="0.2">
      <c r="A12" s="1" t="s">
        <v>99</v>
      </c>
      <c r="B12" s="1" t="s">
        <v>103</v>
      </c>
      <c r="C12" s="1" t="s">
        <v>50</v>
      </c>
      <c r="D12" s="1" t="s">
        <v>25</v>
      </c>
      <c r="E12" s="1">
        <v>0.98</v>
      </c>
      <c r="F12" s="1">
        <v>0.41</v>
      </c>
      <c r="G12" s="1">
        <v>0.6</v>
      </c>
      <c r="H12" s="1">
        <v>2.98</v>
      </c>
      <c r="I12" s="1">
        <v>5.46</v>
      </c>
      <c r="J12" s="1">
        <v>3.91</v>
      </c>
      <c r="K12" s="1">
        <v>1.4</v>
      </c>
      <c r="L12" s="1">
        <v>0.95</v>
      </c>
      <c r="M12" s="1">
        <v>3.35</v>
      </c>
      <c r="N12" s="1">
        <v>4.24</v>
      </c>
      <c r="O12" s="1">
        <v>5.59</v>
      </c>
      <c r="P12" s="1">
        <v>4.49</v>
      </c>
      <c r="Q12" s="1">
        <v>20.420000000000002</v>
      </c>
      <c r="R12" s="1"/>
      <c r="S12">
        <v>58.048999999999999</v>
      </c>
      <c r="T12">
        <v>49.076999999999998</v>
      </c>
      <c r="U12">
        <v>65.676000000000002</v>
      </c>
      <c r="X12">
        <v>12</v>
      </c>
      <c r="Y12">
        <v>36.576000000000001</v>
      </c>
      <c r="Z12">
        <v>0.82599999999999996</v>
      </c>
      <c r="AA12">
        <v>3.2440000000000002</v>
      </c>
    </row>
    <row r="13" spans="1:34" x14ac:dyDescent="0.2">
      <c r="A13" s="1" t="s">
        <v>99</v>
      </c>
      <c r="B13" s="1" t="s">
        <v>103</v>
      </c>
      <c r="C13" s="1" t="s">
        <v>50</v>
      </c>
      <c r="D13" s="1" t="s">
        <v>25</v>
      </c>
      <c r="E13" s="1">
        <v>0.99</v>
      </c>
      <c r="F13" s="1">
        <v>0.43</v>
      </c>
      <c r="G13" s="1">
        <v>0.82</v>
      </c>
      <c r="H13" s="1">
        <v>2.88</v>
      </c>
      <c r="I13" s="1">
        <v>5.03</v>
      </c>
      <c r="J13" s="1">
        <v>3.77</v>
      </c>
      <c r="K13" s="1">
        <v>1.23</v>
      </c>
      <c r="L13" s="1">
        <v>1.21</v>
      </c>
      <c r="M13" s="1">
        <v>3.06</v>
      </c>
      <c r="N13" s="1">
        <v>4</v>
      </c>
      <c r="O13" s="1">
        <v>4.1100000000000003</v>
      </c>
      <c r="P13" s="1">
        <v>4.28</v>
      </c>
      <c r="Q13" s="1">
        <v>20.27</v>
      </c>
      <c r="R13" s="1"/>
      <c r="S13" s="1"/>
      <c r="T13">
        <v>53.551000000000002</v>
      </c>
      <c r="U13">
        <v>79.126999999999995</v>
      </c>
      <c r="X13">
        <v>11</v>
      </c>
      <c r="Y13">
        <v>33.408999999999999</v>
      </c>
      <c r="Z13">
        <v>1.298</v>
      </c>
    </row>
    <row r="14" spans="1:34" x14ac:dyDescent="0.2">
      <c r="A14" s="1" t="s">
        <v>99</v>
      </c>
      <c r="B14" s="1" t="s">
        <v>244</v>
      </c>
    </row>
    <row r="15" spans="1:34" x14ac:dyDescent="0.2">
      <c r="A15" s="1" t="s">
        <v>99</v>
      </c>
      <c r="B15" s="1" t="s">
        <v>244</v>
      </c>
    </row>
    <row r="16" spans="1:34" x14ac:dyDescent="0.2">
      <c r="A16" s="1" t="s">
        <v>99</v>
      </c>
      <c r="B16" s="1" t="s">
        <v>244</v>
      </c>
    </row>
    <row r="17" spans="1:1" x14ac:dyDescent="0.2">
      <c r="A17" s="1" t="s">
        <v>99</v>
      </c>
    </row>
    <row r="18" spans="1:1" x14ac:dyDescent="0.2">
      <c r="A18" s="1" t="s">
        <v>99</v>
      </c>
    </row>
    <row r="19" spans="1:1" x14ac:dyDescent="0.2">
      <c r="A19" s="1" t="s">
        <v>99</v>
      </c>
    </row>
    <row r="20" spans="1:1" x14ac:dyDescent="0.2">
      <c r="A20" s="1" t="s">
        <v>99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DEDF-AD09-6246-A1FF-F797BAB63D4D}">
  <dimension ref="A1:Y37"/>
  <sheetViews>
    <sheetView topLeftCell="N1" workbookViewId="0">
      <selection activeCell="S1" sqref="S1"/>
    </sheetView>
  </sheetViews>
  <sheetFormatPr baseColWidth="10" defaultRowHeight="16" x14ac:dyDescent="0.2"/>
  <cols>
    <col min="22" max="22" width="14.33203125" customWidth="1"/>
    <col min="23" max="23" width="15.83203125" customWidth="1"/>
    <col min="24" max="24" width="19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  <c r="Y1" t="s">
        <v>241</v>
      </c>
    </row>
    <row r="2" spans="1:25" x14ac:dyDescent="0.2">
      <c r="A2" s="1" t="s">
        <v>85</v>
      </c>
      <c r="B2" s="1" t="s">
        <v>86</v>
      </c>
      <c r="C2" s="1" t="s">
        <v>87</v>
      </c>
      <c r="D2" s="1" t="s">
        <v>21</v>
      </c>
      <c r="E2" s="1">
        <v>0</v>
      </c>
      <c r="F2" s="1">
        <v>0</v>
      </c>
      <c r="G2" s="1">
        <v>0</v>
      </c>
      <c r="H2" s="1">
        <v>3.9</v>
      </c>
      <c r="I2" s="1">
        <v>0.81599999999999995</v>
      </c>
      <c r="J2" s="1">
        <v>2.9159999999999999</v>
      </c>
      <c r="K2" s="1">
        <v>0.77300000000000002</v>
      </c>
      <c r="L2" s="1">
        <v>0.71499999999999997</v>
      </c>
      <c r="M2" s="1">
        <v>3.05</v>
      </c>
      <c r="N2" s="1">
        <v>3.6920000000000002</v>
      </c>
      <c r="O2" s="1">
        <v>3.1549999999999998</v>
      </c>
      <c r="P2" s="1">
        <v>5.3170000000000002</v>
      </c>
      <c r="Q2" s="1">
        <v>28.4</v>
      </c>
      <c r="R2" s="1">
        <v>589.41800000000001</v>
      </c>
      <c r="S2">
        <v>123.88</v>
      </c>
      <c r="T2">
        <v>38.86</v>
      </c>
      <c r="U2">
        <v>72.576999999999998</v>
      </c>
      <c r="V2">
        <v>4.8579999999999997</v>
      </c>
      <c r="W2">
        <v>4.609</v>
      </c>
      <c r="X2">
        <v>5</v>
      </c>
      <c r="Y2">
        <v>37.045000000000002</v>
      </c>
    </row>
    <row r="3" spans="1:25" x14ac:dyDescent="0.2">
      <c r="A3" s="1" t="s">
        <v>85</v>
      </c>
      <c r="B3" s="1" t="s">
        <v>86</v>
      </c>
      <c r="C3" s="1" t="s">
        <v>87</v>
      </c>
      <c r="D3" s="1" t="s">
        <v>25</v>
      </c>
      <c r="E3" s="1">
        <v>0</v>
      </c>
      <c r="F3" s="1">
        <v>0</v>
      </c>
      <c r="G3" s="1">
        <v>0</v>
      </c>
      <c r="H3" s="1">
        <v>2.4409999999999998</v>
      </c>
      <c r="I3" s="1">
        <v>0.53200000000000003</v>
      </c>
      <c r="J3" s="1">
        <v>2.9649999999999999</v>
      </c>
      <c r="K3" s="1">
        <v>1.079</v>
      </c>
      <c r="L3" s="1">
        <v>0.83</v>
      </c>
      <c r="M3" s="1">
        <v>3.1179999999999999</v>
      </c>
      <c r="N3" s="1">
        <v>2.4140000000000001</v>
      </c>
      <c r="O3" s="1">
        <v>2.0499999999999998</v>
      </c>
      <c r="P3" s="1">
        <v>5.6420000000000003</v>
      </c>
      <c r="Q3" s="1">
        <v>27.811</v>
      </c>
      <c r="R3" s="1"/>
      <c r="S3">
        <v>133.548</v>
      </c>
      <c r="T3">
        <v>29.45</v>
      </c>
      <c r="U3">
        <v>51.713999999999999</v>
      </c>
      <c r="V3">
        <v>4.0679999999999996</v>
      </c>
      <c r="W3">
        <v>5.0990000000000002</v>
      </c>
      <c r="X3">
        <v>7</v>
      </c>
      <c r="Y3">
        <v>35.637</v>
      </c>
    </row>
    <row r="4" spans="1:25" x14ac:dyDescent="0.2">
      <c r="A4" s="1" t="s">
        <v>85</v>
      </c>
      <c r="B4" s="1" t="s">
        <v>86</v>
      </c>
      <c r="C4" s="1" t="s">
        <v>87</v>
      </c>
      <c r="D4" s="1" t="s">
        <v>21</v>
      </c>
      <c r="E4" s="1">
        <v>0</v>
      </c>
      <c r="F4" s="1">
        <v>0</v>
      </c>
      <c r="G4" s="1">
        <v>0</v>
      </c>
      <c r="H4" s="1">
        <v>5.3739999999999997</v>
      </c>
      <c r="I4" s="1">
        <v>1.5580000000000001</v>
      </c>
      <c r="J4" s="1">
        <v>2.6389999999999998</v>
      </c>
      <c r="K4" s="1">
        <v>0.85499999999999998</v>
      </c>
      <c r="L4" s="1">
        <v>0.75</v>
      </c>
      <c r="M4" s="1">
        <v>2.56</v>
      </c>
      <c r="N4" s="1">
        <v>3.7120000000000002</v>
      </c>
      <c r="O4" s="1">
        <v>2.681</v>
      </c>
      <c r="P4" s="1">
        <v>4.3259999999999996</v>
      </c>
      <c r="Q4" s="1">
        <v>24.45</v>
      </c>
      <c r="R4" s="1"/>
      <c r="S4">
        <v>114.708</v>
      </c>
      <c r="T4">
        <v>63.927</v>
      </c>
      <c r="U4">
        <v>48.795999999999999</v>
      </c>
      <c r="V4">
        <v>3.512</v>
      </c>
      <c r="W4">
        <v>6.58</v>
      </c>
      <c r="X4">
        <v>5</v>
      </c>
      <c r="Y4">
        <v>42.375</v>
      </c>
    </row>
    <row r="5" spans="1:25" x14ac:dyDescent="0.2">
      <c r="A5" s="1" t="s">
        <v>85</v>
      </c>
      <c r="B5" s="1" t="s">
        <v>88</v>
      </c>
      <c r="C5" s="1" t="s">
        <v>87</v>
      </c>
      <c r="D5" s="1" t="s">
        <v>24</v>
      </c>
      <c r="E5" s="1">
        <v>0</v>
      </c>
      <c r="F5" s="1">
        <v>0</v>
      </c>
      <c r="G5" s="1">
        <v>0</v>
      </c>
      <c r="H5" s="1">
        <v>5.6840000000000002</v>
      </c>
      <c r="I5" s="1">
        <v>2.399</v>
      </c>
      <c r="J5" s="1">
        <v>2.1429999999999998</v>
      </c>
      <c r="K5" s="1">
        <v>0.628</v>
      </c>
      <c r="L5" s="1">
        <v>0.53500000000000003</v>
      </c>
      <c r="M5" s="1">
        <v>2.2240000000000002</v>
      </c>
      <c r="N5" s="1">
        <v>2.7320000000000002</v>
      </c>
      <c r="O5" s="1">
        <v>3.3620000000000001</v>
      </c>
      <c r="P5" s="1">
        <v>5.5670000000000002</v>
      </c>
      <c r="Q5" s="1">
        <v>20.312999999999999</v>
      </c>
      <c r="R5" s="1">
        <v>776.40599999999995</v>
      </c>
      <c r="S5">
        <v>128.83000000000001</v>
      </c>
      <c r="T5">
        <v>43.468000000000004</v>
      </c>
      <c r="U5">
        <v>32.405999999999999</v>
      </c>
      <c r="V5">
        <v>3.4420000000000002</v>
      </c>
      <c r="W5">
        <v>4.8520000000000003</v>
      </c>
      <c r="X5">
        <v>6</v>
      </c>
      <c r="Y5">
        <v>36.145000000000003</v>
      </c>
    </row>
    <row r="6" spans="1:25" x14ac:dyDescent="0.2">
      <c r="A6" s="1" t="s">
        <v>85</v>
      </c>
      <c r="B6" s="1" t="s">
        <v>88</v>
      </c>
      <c r="C6" s="1" t="s">
        <v>87</v>
      </c>
      <c r="D6" s="1" t="s">
        <v>24</v>
      </c>
      <c r="E6" s="1">
        <v>0</v>
      </c>
      <c r="F6" s="1">
        <v>0</v>
      </c>
      <c r="G6" s="1">
        <v>0</v>
      </c>
      <c r="H6" s="1">
        <v>4.38</v>
      </c>
      <c r="I6" s="1">
        <v>1.599</v>
      </c>
      <c r="J6" s="1">
        <v>2.8119999999999998</v>
      </c>
      <c r="K6" s="1">
        <v>1.222</v>
      </c>
      <c r="L6" s="1">
        <v>1.151</v>
      </c>
      <c r="M6" s="1">
        <v>1.4870000000000001</v>
      </c>
      <c r="N6" s="1">
        <v>2.125</v>
      </c>
      <c r="O6" s="1">
        <v>3.25</v>
      </c>
      <c r="P6" s="1">
        <v>4.2210000000000001</v>
      </c>
      <c r="Q6" s="1">
        <v>21.190999999999999</v>
      </c>
      <c r="R6" s="1">
        <v>609.13800000000003</v>
      </c>
      <c r="S6">
        <v>101.84</v>
      </c>
      <c r="T6">
        <v>43.662999999999997</v>
      </c>
      <c r="U6">
        <v>47.725000000000001</v>
      </c>
      <c r="V6">
        <v>3.5630000000000002</v>
      </c>
      <c r="W6">
        <v>4.2439999999999998</v>
      </c>
      <c r="X6">
        <v>5</v>
      </c>
      <c r="Y6">
        <v>28.108000000000001</v>
      </c>
    </row>
    <row r="7" spans="1:25" x14ac:dyDescent="0.2">
      <c r="A7" s="1" t="s">
        <v>85</v>
      </c>
      <c r="B7" s="1" t="s">
        <v>88</v>
      </c>
      <c r="C7" s="1" t="s">
        <v>87</v>
      </c>
      <c r="D7" s="1" t="s">
        <v>21</v>
      </c>
      <c r="E7" s="1">
        <v>0</v>
      </c>
      <c r="F7" s="1">
        <v>0</v>
      </c>
      <c r="G7" s="1">
        <v>0</v>
      </c>
      <c r="H7" s="1">
        <v>3.1840000000000002</v>
      </c>
      <c r="I7" s="1">
        <v>0.7</v>
      </c>
      <c r="J7" s="1">
        <v>2.3199999999999998</v>
      </c>
      <c r="K7" s="1">
        <v>1.0660000000000001</v>
      </c>
      <c r="L7" s="1">
        <v>0.95</v>
      </c>
      <c r="M7" s="1">
        <v>1.1759999999999999</v>
      </c>
      <c r="N7" s="1">
        <v>3.1859999999999999</v>
      </c>
      <c r="O7" s="1">
        <v>3.0209999999999999</v>
      </c>
      <c r="P7" s="1">
        <v>2.1280000000000001</v>
      </c>
      <c r="Q7" s="1">
        <v>16.477</v>
      </c>
      <c r="R7" s="1"/>
      <c r="S7">
        <v>137.54300000000001</v>
      </c>
      <c r="T7">
        <v>46.600999999999999</v>
      </c>
      <c r="U7">
        <v>49.878999999999998</v>
      </c>
      <c r="V7">
        <v>3.2879999999999998</v>
      </c>
      <c r="W7">
        <v>5.2350000000000003</v>
      </c>
      <c r="X7">
        <v>4</v>
      </c>
      <c r="Y7">
        <v>29.341000000000001</v>
      </c>
    </row>
    <row r="8" spans="1:25" x14ac:dyDescent="0.2">
      <c r="A8" s="1" t="s">
        <v>85</v>
      </c>
      <c r="B8" s="1" t="s">
        <v>89</v>
      </c>
      <c r="C8" s="1" t="s">
        <v>87</v>
      </c>
      <c r="D8" s="1" t="s">
        <v>24</v>
      </c>
      <c r="E8" s="1">
        <v>0</v>
      </c>
      <c r="F8" s="1">
        <v>0</v>
      </c>
      <c r="G8" s="1">
        <v>0</v>
      </c>
      <c r="H8" s="1">
        <v>2.9049999999999998</v>
      </c>
      <c r="I8" s="1">
        <v>1.204</v>
      </c>
      <c r="J8" s="1">
        <v>2.7370000000000001</v>
      </c>
      <c r="K8" s="1">
        <v>1.214</v>
      </c>
      <c r="L8" s="1">
        <v>1.1539999999999999</v>
      </c>
      <c r="M8" s="1">
        <v>2.149</v>
      </c>
      <c r="N8" s="1">
        <v>3.39</v>
      </c>
      <c r="O8" s="1">
        <v>4.2750000000000004</v>
      </c>
      <c r="P8" s="1">
        <v>5.1230000000000002</v>
      </c>
      <c r="Q8" s="1">
        <v>18.311</v>
      </c>
      <c r="R8" s="1">
        <v>515.97799999999995</v>
      </c>
      <c r="S8">
        <v>105.72499999999999</v>
      </c>
      <c r="T8">
        <v>41.960999999999999</v>
      </c>
      <c r="U8">
        <v>44.713999999999999</v>
      </c>
      <c r="V8">
        <v>2.6349999999999998</v>
      </c>
      <c r="W8">
        <v>4.2629999999999999</v>
      </c>
      <c r="X8">
        <v>6</v>
      </c>
      <c r="Y8">
        <v>39.503</v>
      </c>
    </row>
    <row r="9" spans="1:25" x14ac:dyDescent="0.2">
      <c r="A9" s="1" t="s">
        <v>85</v>
      </c>
      <c r="B9" s="1" t="s">
        <v>89</v>
      </c>
      <c r="C9" s="1" t="s">
        <v>87</v>
      </c>
      <c r="D9" s="1" t="s">
        <v>21</v>
      </c>
      <c r="E9" s="1">
        <v>0</v>
      </c>
      <c r="F9" s="1">
        <v>0</v>
      </c>
      <c r="G9" s="1">
        <v>0</v>
      </c>
      <c r="H9" s="1">
        <v>2.6349999999999998</v>
      </c>
      <c r="I9" s="1">
        <v>0.97199999999999998</v>
      </c>
      <c r="J9" s="1">
        <v>2.4470000000000001</v>
      </c>
      <c r="K9" s="1">
        <v>0.86399999999999999</v>
      </c>
      <c r="L9" s="1">
        <v>0.61199999999999999</v>
      </c>
      <c r="M9" s="1">
        <v>1.794</v>
      </c>
      <c r="N9" s="1">
        <v>3.59</v>
      </c>
      <c r="O9" s="1">
        <v>3.226</v>
      </c>
      <c r="P9" s="1">
        <v>2.7469999999999999</v>
      </c>
      <c r="Q9" s="1">
        <v>19.195</v>
      </c>
      <c r="R9" s="1">
        <v>481.68799999999999</v>
      </c>
      <c r="S9">
        <v>87.843000000000004</v>
      </c>
      <c r="T9">
        <v>59.15</v>
      </c>
      <c r="U9">
        <v>52.442</v>
      </c>
      <c r="V9">
        <v>2.8570000000000002</v>
      </c>
      <c r="W9">
        <v>4.2430000000000003</v>
      </c>
      <c r="X9">
        <v>4</v>
      </c>
      <c r="Y9">
        <v>36.325000000000003</v>
      </c>
    </row>
    <row r="10" spans="1:25" x14ac:dyDescent="0.2">
      <c r="A10" s="1" t="s">
        <v>85</v>
      </c>
      <c r="B10" s="1" t="s">
        <v>89</v>
      </c>
      <c r="C10" s="1" t="s">
        <v>87</v>
      </c>
      <c r="D10" s="1" t="s">
        <v>21</v>
      </c>
      <c r="E10" s="1">
        <v>0</v>
      </c>
      <c r="F10" s="1">
        <v>0</v>
      </c>
      <c r="G10" s="1">
        <v>0</v>
      </c>
      <c r="H10" s="1">
        <v>2.9830000000000001</v>
      </c>
      <c r="I10" s="1">
        <v>1.0629999999999999</v>
      </c>
      <c r="J10" s="1">
        <v>2.7789999999999999</v>
      </c>
      <c r="K10" s="1">
        <v>1.0329999999999999</v>
      </c>
      <c r="L10" s="1">
        <v>0.96899999999999997</v>
      </c>
      <c r="M10" s="1">
        <v>2.3769999999999998</v>
      </c>
      <c r="N10" s="1">
        <v>3.5779999999999998</v>
      </c>
      <c r="O10" s="1">
        <v>3.782</v>
      </c>
      <c r="P10" s="1">
        <v>6.1689999999999996</v>
      </c>
      <c r="Q10" s="1">
        <v>18.228999999999999</v>
      </c>
      <c r="R10" s="1"/>
      <c r="S10">
        <v>84.408000000000001</v>
      </c>
      <c r="T10">
        <v>57.776000000000003</v>
      </c>
      <c r="U10">
        <v>54.442</v>
      </c>
      <c r="V10">
        <v>3.0550000000000002</v>
      </c>
      <c r="W10">
        <v>5.1840000000000002</v>
      </c>
      <c r="X10">
        <v>5</v>
      </c>
      <c r="Y10">
        <v>30.920999999999999</v>
      </c>
    </row>
    <row r="11" spans="1:25" x14ac:dyDescent="0.2">
      <c r="A11" s="1" t="s">
        <v>85</v>
      </c>
      <c r="B11" s="1" t="s">
        <v>90</v>
      </c>
      <c r="C11" s="1" t="s">
        <v>87</v>
      </c>
      <c r="D11" s="1" t="s">
        <v>21</v>
      </c>
      <c r="E11" s="1">
        <v>0</v>
      </c>
      <c r="F11" s="1">
        <v>0</v>
      </c>
      <c r="G11" s="1">
        <v>0</v>
      </c>
      <c r="H11" s="1">
        <v>3.9180000000000001</v>
      </c>
      <c r="I11" s="1">
        <v>1.984</v>
      </c>
      <c r="J11" s="1">
        <v>4.1109999999999998</v>
      </c>
      <c r="K11" s="1">
        <v>1.4470000000000001</v>
      </c>
      <c r="L11" s="1">
        <v>1.264</v>
      </c>
      <c r="M11" s="1">
        <v>2.0579999999999998</v>
      </c>
      <c r="N11" s="1">
        <v>3.0289999999999999</v>
      </c>
      <c r="O11" s="1">
        <v>2.431</v>
      </c>
      <c r="P11" s="1">
        <v>2.3559999999999999</v>
      </c>
      <c r="Q11" s="1">
        <v>10.217000000000001</v>
      </c>
      <c r="R11" s="1">
        <v>819.07</v>
      </c>
      <c r="S11">
        <v>85.465999999999994</v>
      </c>
      <c r="T11">
        <v>48.692999999999998</v>
      </c>
      <c r="U11">
        <v>57.545000000000002</v>
      </c>
      <c r="V11">
        <v>3.2189999999999999</v>
      </c>
      <c r="W11">
        <v>3.992</v>
      </c>
      <c r="X11">
        <v>6</v>
      </c>
      <c r="Y11">
        <v>33.162999999999997</v>
      </c>
    </row>
    <row r="12" spans="1:25" x14ac:dyDescent="0.2">
      <c r="A12" s="1" t="s">
        <v>85</v>
      </c>
      <c r="B12" s="1" t="s">
        <v>90</v>
      </c>
      <c r="C12" s="1" t="s">
        <v>87</v>
      </c>
      <c r="D12" s="1" t="s">
        <v>21</v>
      </c>
      <c r="E12" s="1">
        <v>0</v>
      </c>
      <c r="F12" s="1">
        <v>0</v>
      </c>
      <c r="G12" s="1">
        <v>0</v>
      </c>
      <c r="H12" s="1">
        <v>3.847</v>
      </c>
      <c r="I12" s="1">
        <v>2.2429999999999999</v>
      </c>
      <c r="J12" s="1">
        <v>3.2930000000000001</v>
      </c>
      <c r="K12" s="1">
        <v>1.2769999999999999</v>
      </c>
      <c r="L12" s="1">
        <v>1.1379999999999999</v>
      </c>
      <c r="M12" s="1">
        <v>1.0860000000000001</v>
      </c>
      <c r="N12" s="1">
        <v>2.6280000000000001</v>
      </c>
      <c r="O12" s="1">
        <v>2.871</v>
      </c>
      <c r="P12" s="1">
        <v>5.8959999999999999</v>
      </c>
      <c r="Q12" s="1">
        <v>12.718</v>
      </c>
      <c r="R12" s="1"/>
      <c r="S12">
        <v>56.692999999999998</v>
      </c>
      <c r="U12">
        <v>62.816000000000003</v>
      </c>
      <c r="V12">
        <v>3.4550000000000001</v>
      </c>
      <c r="W12">
        <v>3.9049999999999998</v>
      </c>
      <c r="X12">
        <v>5</v>
      </c>
      <c r="Y12">
        <v>26.835000000000001</v>
      </c>
    </row>
    <row r="13" spans="1:25" x14ac:dyDescent="0.2">
      <c r="A13" s="1" t="s">
        <v>85</v>
      </c>
      <c r="B13" s="1" t="s">
        <v>90</v>
      </c>
      <c r="C13" s="1" t="s">
        <v>87</v>
      </c>
      <c r="D13" s="1" t="s">
        <v>21</v>
      </c>
      <c r="E13" s="1">
        <v>0</v>
      </c>
      <c r="F13" s="1">
        <v>0</v>
      </c>
      <c r="G13" s="1">
        <v>0</v>
      </c>
      <c r="H13" s="1">
        <v>3.956</v>
      </c>
      <c r="I13" s="1">
        <v>2.1</v>
      </c>
      <c r="J13" s="1">
        <v>3.6560000000000001</v>
      </c>
      <c r="K13" s="1">
        <v>1.651</v>
      </c>
      <c r="L13" s="1">
        <v>1.2569999999999999</v>
      </c>
      <c r="M13" s="1">
        <v>1.7090000000000001</v>
      </c>
      <c r="N13" s="1">
        <v>3.1619999999999999</v>
      </c>
      <c r="O13" s="1">
        <v>2.9580000000000002</v>
      </c>
      <c r="P13" s="1">
        <v>2.226</v>
      </c>
      <c r="Q13" s="1">
        <v>11.782999999999999</v>
      </c>
      <c r="R13" s="1"/>
      <c r="S13">
        <v>92.4</v>
      </c>
      <c r="V13">
        <v>3.0819999999999999</v>
      </c>
      <c r="W13">
        <v>4.2590000000000003</v>
      </c>
      <c r="X13">
        <v>5</v>
      </c>
      <c r="Y13">
        <v>21.811</v>
      </c>
    </row>
    <row r="14" spans="1:25" x14ac:dyDescent="0.2">
      <c r="A14" s="1" t="s">
        <v>85</v>
      </c>
      <c r="B14" s="1" t="s">
        <v>91</v>
      </c>
      <c r="C14" s="1" t="s">
        <v>87</v>
      </c>
      <c r="D14" s="1" t="s">
        <v>21</v>
      </c>
      <c r="E14" s="1">
        <v>0</v>
      </c>
      <c r="F14" s="1">
        <v>0</v>
      </c>
      <c r="G14" s="1">
        <v>0</v>
      </c>
      <c r="H14" s="1">
        <v>5.2729999999999997</v>
      </c>
      <c r="I14" s="1">
        <v>1.736</v>
      </c>
      <c r="J14" s="1">
        <v>3.133</v>
      </c>
      <c r="K14" s="1">
        <v>0.70899999999999996</v>
      </c>
      <c r="L14" s="1">
        <v>0.47399999999999998</v>
      </c>
      <c r="M14" s="1">
        <v>1.9930000000000001</v>
      </c>
      <c r="N14" s="1">
        <v>3.698</v>
      </c>
      <c r="O14" s="1">
        <v>2.5750000000000002</v>
      </c>
      <c r="P14" s="1">
        <v>3.04</v>
      </c>
      <c r="Q14" s="1">
        <v>22.253</v>
      </c>
      <c r="R14" s="1">
        <v>961.61900000000003</v>
      </c>
      <c r="S14">
        <v>82.787000000000006</v>
      </c>
      <c r="X14">
        <v>8</v>
      </c>
    </row>
    <row r="15" spans="1:25" x14ac:dyDescent="0.2">
      <c r="A15" s="1" t="s">
        <v>85</v>
      </c>
      <c r="B15" s="1" t="s">
        <v>91</v>
      </c>
      <c r="C15" s="1" t="s">
        <v>87</v>
      </c>
      <c r="D15" s="1" t="s">
        <v>21</v>
      </c>
      <c r="E15" s="1">
        <v>0</v>
      </c>
      <c r="F15" s="1">
        <v>0</v>
      </c>
      <c r="G15" s="1">
        <v>0</v>
      </c>
      <c r="H15" s="1">
        <v>4.1159999999999997</v>
      </c>
      <c r="I15" s="1">
        <v>1.2789999999999999</v>
      </c>
      <c r="J15" s="1">
        <v>3.7090000000000001</v>
      </c>
      <c r="K15" s="1">
        <v>0.89600000000000002</v>
      </c>
      <c r="L15" s="1">
        <v>0.55900000000000005</v>
      </c>
      <c r="M15" s="1">
        <v>2.3919999999999999</v>
      </c>
      <c r="N15" s="1">
        <v>2.778</v>
      </c>
      <c r="O15" s="1">
        <v>3.5510000000000002</v>
      </c>
      <c r="P15" s="1">
        <v>3.6070000000000002</v>
      </c>
      <c r="Q15" s="1">
        <v>18.007999999999999</v>
      </c>
      <c r="R15" s="1">
        <v>655.32299999999998</v>
      </c>
      <c r="S15">
        <v>75.034000000000006</v>
      </c>
    </row>
    <row r="16" spans="1:25" x14ac:dyDescent="0.2">
      <c r="A16" s="1" t="s">
        <v>85</v>
      </c>
      <c r="B16" s="1" t="s">
        <v>91</v>
      </c>
      <c r="C16" s="1" t="s">
        <v>87</v>
      </c>
      <c r="D16" s="1" t="s">
        <v>24</v>
      </c>
      <c r="E16" s="1">
        <v>0</v>
      </c>
      <c r="F16" s="1">
        <v>0</v>
      </c>
      <c r="G16" s="1">
        <v>0</v>
      </c>
      <c r="H16" s="1">
        <v>5.5289999999999999</v>
      </c>
      <c r="I16" s="1">
        <v>2.5499999999999998</v>
      </c>
      <c r="J16" s="1">
        <v>3.39</v>
      </c>
      <c r="K16" s="1">
        <v>0.88</v>
      </c>
      <c r="L16" s="1">
        <v>0.60799999999999998</v>
      </c>
      <c r="M16" s="1">
        <v>2.5510000000000002</v>
      </c>
      <c r="N16" s="1">
        <v>2.3730000000000002</v>
      </c>
      <c r="O16" s="1">
        <v>3.4529999999999998</v>
      </c>
      <c r="P16" s="1">
        <v>4.0049999999999999</v>
      </c>
      <c r="Q16" s="1">
        <v>21.521999999999998</v>
      </c>
      <c r="R16" s="1"/>
      <c r="S16">
        <v>132.53800000000001</v>
      </c>
    </row>
    <row r="17" spans="1:18" x14ac:dyDescent="0.2">
      <c r="A17" s="1" t="s">
        <v>85</v>
      </c>
      <c r="B17" s="1" t="s">
        <v>92</v>
      </c>
      <c r="C17" s="1" t="s">
        <v>87</v>
      </c>
      <c r="D17" s="1" t="s">
        <v>24</v>
      </c>
      <c r="E17" s="1">
        <v>0</v>
      </c>
      <c r="F17" s="1">
        <v>0</v>
      </c>
      <c r="G17" s="1">
        <v>0</v>
      </c>
      <c r="H17" s="1">
        <v>4.7240000000000002</v>
      </c>
      <c r="I17" s="1">
        <v>1.2030000000000001</v>
      </c>
      <c r="J17" s="1">
        <v>3.2109999999999999</v>
      </c>
      <c r="K17" s="1">
        <v>0.94899999999999995</v>
      </c>
      <c r="L17" s="1">
        <v>0.749</v>
      </c>
      <c r="M17" s="1">
        <v>2.4630000000000001</v>
      </c>
      <c r="N17" s="1">
        <v>2.4279999999999999</v>
      </c>
      <c r="O17" s="1">
        <v>2.7530000000000001</v>
      </c>
      <c r="P17" s="1">
        <v>1.6439999999999999</v>
      </c>
      <c r="Q17" s="1">
        <v>27.016999999999999</v>
      </c>
      <c r="R17" s="1">
        <v>936.63</v>
      </c>
    </row>
    <row r="18" spans="1:18" x14ac:dyDescent="0.2">
      <c r="A18" s="1" t="s">
        <v>85</v>
      </c>
      <c r="B18" s="1" t="s">
        <v>92</v>
      </c>
      <c r="C18" s="1" t="s">
        <v>87</v>
      </c>
      <c r="D18" s="1" t="s">
        <v>21</v>
      </c>
      <c r="E18" s="1">
        <v>0</v>
      </c>
      <c r="F18" s="1">
        <v>0</v>
      </c>
      <c r="G18" s="1">
        <v>0</v>
      </c>
      <c r="H18" s="1">
        <v>4.327</v>
      </c>
      <c r="I18" s="1">
        <v>1.194</v>
      </c>
      <c r="J18" s="1">
        <v>2.468</v>
      </c>
      <c r="K18" s="1">
        <v>0.81599999999999995</v>
      </c>
      <c r="L18" s="1">
        <v>0.77600000000000002</v>
      </c>
      <c r="M18" s="1">
        <v>1.5920000000000001</v>
      </c>
      <c r="N18" s="1">
        <v>2.4780000000000002</v>
      </c>
      <c r="O18" s="1">
        <v>2.8359999999999999</v>
      </c>
      <c r="P18" s="1">
        <v>2.681</v>
      </c>
      <c r="Q18" s="1">
        <v>20.802</v>
      </c>
      <c r="R18" s="1">
        <v>847.24</v>
      </c>
    </row>
    <row r="19" spans="1:18" x14ac:dyDescent="0.2">
      <c r="A19" s="1" t="s">
        <v>85</v>
      </c>
      <c r="B19" s="1" t="s">
        <v>92</v>
      </c>
      <c r="C19" s="1" t="s">
        <v>87</v>
      </c>
      <c r="D19" s="1" t="s">
        <v>21</v>
      </c>
      <c r="E19" s="1">
        <v>0</v>
      </c>
      <c r="F19" s="1">
        <v>0</v>
      </c>
      <c r="G19" s="1">
        <v>0</v>
      </c>
      <c r="H19" s="1">
        <v>3.581</v>
      </c>
      <c r="I19" s="1">
        <v>1.0449999999999999</v>
      </c>
      <c r="J19" s="1"/>
      <c r="K19" s="1"/>
      <c r="L19" s="1"/>
      <c r="M19" s="1"/>
      <c r="N19" s="1">
        <v>2.3050000000000002</v>
      </c>
      <c r="O19" s="1">
        <v>2.6869999999999998</v>
      </c>
      <c r="P19" s="1">
        <v>2.7050000000000001</v>
      </c>
      <c r="Q19" s="1">
        <v>25.486999999999998</v>
      </c>
      <c r="R19" s="1">
        <v>673.39300000000003</v>
      </c>
    </row>
    <row r="20" spans="1:18" x14ac:dyDescent="0.2">
      <c r="A20" s="1" t="s">
        <v>85</v>
      </c>
      <c r="B20" s="1" t="s">
        <v>93</v>
      </c>
      <c r="C20" s="1" t="s">
        <v>20</v>
      </c>
      <c r="D20" s="1" t="s">
        <v>21</v>
      </c>
      <c r="E20" s="1">
        <v>0</v>
      </c>
      <c r="F20" s="1">
        <v>0</v>
      </c>
      <c r="G20" s="1">
        <v>0</v>
      </c>
      <c r="H20" s="1">
        <v>4.3310000000000004</v>
      </c>
      <c r="I20" s="1">
        <v>1.042</v>
      </c>
      <c r="J20" s="1">
        <v>4.008</v>
      </c>
      <c r="K20" s="1">
        <v>0.97099999999999997</v>
      </c>
      <c r="L20" s="1"/>
      <c r="M20" s="1">
        <v>1.952</v>
      </c>
      <c r="N20" s="1">
        <v>4.2839999999999998</v>
      </c>
      <c r="O20" s="1">
        <v>3.254</v>
      </c>
      <c r="P20" s="1">
        <v>5.4459999999999997</v>
      </c>
      <c r="Q20" s="1">
        <v>16.495999999999999</v>
      </c>
      <c r="R20" s="1">
        <v>892.92</v>
      </c>
    </row>
    <row r="21" spans="1:18" x14ac:dyDescent="0.2">
      <c r="A21" s="1" t="s">
        <v>85</v>
      </c>
      <c r="B21" s="1" t="s">
        <v>93</v>
      </c>
      <c r="C21" s="1" t="s">
        <v>20</v>
      </c>
      <c r="D21" s="1" t="s">
        <v>21</v>
      </c>
      <c r="E21" s="1">
        <v>0</v>
      </c>
      <c r="F21" s="1">
        <v>0</v>
      </c>
      <c r="G21" s="1">
        <v>0</v>
      </c>
      <c r="H21" s="1">
        <v>3.8330000000000002</v>
      </c>
      <c r="I21" s="1">
        <v>1.5389999999999999</v>
      </c>
      <c r="J21" s="1">
        <v>4.258</v>
      </c>
      <c r="K21" s="1">
        <v>1.617</v>
      </c>
      <c r="L21" s="1">
        <v>1.1739999999999999</v>
      </c>
      <c r="M21" s="1">
        <v>2.6509999999999998</v>
      </c>
      <c r="N21" s="1">
        <v>2.9750000000000001</v>
      </c>
      <c r="O21" s="1">
        <v>3.4590000000000001</v>
      </c>
      <c r="P21" s="1">
        <v>3.2330000000000001</v>
      </c>
      <c r="Q21" s="1">
        <v>14.372999999999999</v>
      </c>
      <c r="R21" s="1">
        <v>814.08199999999999</v>
      </c>
    </row>
    <row r="22" spans="1:18" x14ac:dyDescent="0.2">
      <c r="A22" s="1" t="s">
        <v>85</v>
      </c>
      <c r="B22" s="1" t="s">
        <v>93</v>
      </c>
      <c r="C22" s="1" t="s">
        <v>20</v>
      </c>
      <c r="D22" s="1" t="s">
        <v>21</v>
      </c>
      <c r="E22" s="1">
        <v>0</v>
      </c>
      <c r="F22" s="1">
        <v>0</v>
      </c>
      <c r="G22" s="1">
        <v>0</v>
      </c>
      <c r="H22" s="1">
        <v>3.5129999999999999</v>
      </c>
      <c r="I22" s="1">
        <v>1.516</v>
      </c>
      <c r="J22" s="1">
        <v>4.1459999999999999</v>
      </c>
      <c r="K22" s="1">
        <v>1.375</v>
      </c>
      <c r="L22" s="1">
        <v>1.1140000000000001</v>
      </c>
      <c r="M22" s="1">
        <v>2.7069999999999999</v>
      </c>
      <c r="N22" s="1">
        <v>3.657</v>
      </c>
      <c r="O22" s="1"/>
      <c r="P22" s="1">
        <v>6.1859999999999999</v>
      </c>
      <c r="Q22" s="1">
        <v>10.852</v>
      </c>
      <c r="R22" s="1"/>
    </row>
    <row r="23" spans="1:18" x14ac:dyDescent="0.2">
      <c r="A23" s="1" t="s">
        <v>85</v>
      </c>
      <c r="B23" s="1" t="s">
        <v>94</v>
      </c>
      <c r="C23" s="1" t="s">
        <v>50</v>
      </c>
      <c r="D23" s="1" t="s">
        <v>21</v>
      </c>
      <c r="E23" s="1">
        <v>0.871</v>
      </c>
      <c r="F23" s="1">
        <v>0.47899999999999998</v>
      </c>
      <c r="G23" s="1">
        <v>1.42</v>
      </c>
      <c r="H23" s="1">
        <v>4.3310000000000004</v>
      </c>
      <c r="I23" s="1">
        <v>1.042</v>
      </c>
      <c r="J23" s="1">
        <v>3.0339999999999998</v>
      </c>
      <c r="K23" s="1">
        <v>1.2689999999999999</v>
      </c>
      <c r="L23" s="1">
        <v>1.262</v>
      </c>
      <c r="M23" s="1">
        <v>1.2769999999999999</v>
      </c>
      <c r="N23" s="1">
        <v>2.0880000000000001</v>
      </c>
      <c r="O23" s="1">
        <v>2.5369999999999999</v>
      </c>
      <c r="P23" s="1">
        <v>1.9870000000000001</v>
      </c>
      <c r="Q23" s="1">
        <v>24.423999999999999</v>
      </c>
      <c r="R23" s="1">
        <v>578.25099999999998</v>
      </c>
    </row>
    <row r="24" spans="1:18" x14ac:dyDescent="0.2">
      <c r="A24" s="1" t="s">
        <v>85</v>
      </c>
      <c r="B24" s="1" t="s">
        <v>94</v>
      </c>
      <c r="C24" s="1" t="s">
        <v>50</v>
      </c>
      <c r="D24" s="1" t="s">
        <v>21</v>
      </c>
      <c r="E24" s="1"/>
      <c r="F24" s="1"/>
      <c r="G24" s="1"/>
      <c r="H24" s="1">
        <v>3.8330000000000002</v>
      </c>
      <c r="I24" s="1">
        <v>1.5389999999999999</v>
      </c>
      <c r="J24" s="1">
        <v>2.89</v>
      </c>
      <c r="K24" s="1">
        <v>0.49399999999999999</v>
      </c>
      <c r="L24" s="1">
        <v>0.47499999999999998</v>
      </c>
      <c r="M24" s="1">
        <v>2.0790000000000002</v>
      </c>
      <c r="N24" s="1">
        <v>2.173</v>
      </c>
      <c r="O24" s="1"/>
      <c r="P24" s="1">
        <v>2.968</v>
      </c>
      <c r="Q24" s="1">
        <v>24.018999999999998</v>
      </c>
      <c r="R24" s="1">
        <v>629.83199999999999</v>
      </c>
    </row>
    <row r="25" spans="1:18" x14ac:dyDescent="0.2">
      <c r="A25" s="1" t="s">
        <v>85</v>
      </c>
      <c r="B25" s="1" t="s">
        <v>94</v>
      </c>
      <c r="C25" s="1" t="s">
        <v>50</v>
      </c>
      <c r="D25" s="1"/>
      <c r="E25" s="1"/>
      <c r="F25" s="1"/>
      <c r="G25" s="1"/>
      <c r="H25" s="1">
        <v>3.5129999999999999</v>
      </c>
      <c r="I25" s="1">
        <v>1.516</v>
      </c>
      <c r="J25" s="1"/>
      <c r="K25" s="1"/>
      <c r="L25" s="1"/>
      <c r="M25" s="1"/>
      <c r="N25" s="1"/>
      <c r="O25" s="1"/>
      <c r="P25" s="1"/>
      <c r="Q25" s="1">
        <v>24.904</v>
      </c>
      <c r="R25" s="1"/>
    </row>
    <row r="26" spans="1:18" x14ac:dyDescent="0.2">
      <c r="A26" s="1" t="s">
        <v>85</v>
      </c>
      <c r="B26" s="1" t="s">
        <v>95</v>
      </c>
      <c r="C26" s="1" t="s">
        <v>87</v>
      </c>
      <c r="D26" s="1" t="s">
        <v>21</v>
      </c>
      <c r="E26" s="1">
        <v>0</v>
      </c>
      <c r="F26" s="1">
        <v>0</v>
      </c>
      <c r="G26" s="1">
        <v>0</v>
      </c>
      <c r="H26" s="1">
        <v>6.7249999999999996</v>
      </c>
      <c r="I26" s="1">
        <v>1.5960000000000001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 t="s">
        <v>85</v>
      </c>
      <c r="B27" s="1" t="s">
        <v>95</v>
      </c>
      <c r="C27" s="1" t="s">
        <v>87</v>
      </c>
      <c r="D27" s="1" t="s">
        <v>21</v>
      </c>
      <c r="E27" s="1">
        <v>0</v>
      </c>
      <c r="F27" s="1">
        <v>0</v>
      </c>
      <c r="G27" s="1">
        <v>0</v>
      </c>
      <c r="H27" s="1">
        <v>8.9190000000000005</v>
      </c>
      <c r="I27" s="1">
        <v>2.3109999999999999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 t="s">
        <v>85</v>
      </c>
      <c r="B28" s="1" t="s">
        <v>95</v>
      </c>
      <c r="C28" s="1" t="s">
        <v>87</v>
      </c>
      <c r="D28" s="1" t="s">
        <v>21</v>
      </c>
      <c r="E28" s="1">
        <v>0</v>
      </c>
      <c r="F28" s="1">
        <v>0</v>
      </c>
      <c r="G28" s="1">
        <v>0</v>
      </c>
      <c r="H28" s="1">
        <v>3.766</v>
      </c>
      <c r="I28" s="1">
        <v>1.3720000000000001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 t="s">
        <v>85</v>
      </c>
      <c r="B29" s="1" t="s">
        <v>96</v>
      </c>
      <c r="C29" s="1" t="s">
        <v>87</v>
      </c>
      <c r="D29" s="1" t="s">
        <v>39</v>
      </c>
      <c r="E29" s="1">
        <v>0</v>
      </c>
      <c r="F29" s="1">
        <v>0</v>
      </c>
      <c r="G29" s="1"/>
      <c r="H29" s="1">
        <v>4.34</v>
      </c>
      <c r="I29" s="1">
        <v>1.712</v>
      </c>
      <c r="J29" s="1"/>
      <c r="K29" s="1"/>
      <c r="L29" s="1"/>
      <c r="M29" s="1"/>
      <c r="N29" s="1">
        <v>3.11</v>
      </c>
      <c r="O29" s="1">
        <v>4.16</v>
      </c>
      <c r="P29" s="1">
        <v>4.4470000000000001</v>
      </c>
      <c r="Q29" s="1">
        <v>30.727</v>
      </c>
      <c r="R29" s="1">
        <v>717.11599999999999</v>
      </c>
    </row>
    <row r="30" spans="1:18" x14ac:dyDescent="0.2">
      <c r="A30" s="1" t="s">
        <v>85</v>
      </c>
      <c r="B30" s="1" t="s">
        <v>96</v>
      </c>
      <c r="C30" s="1" t="s">
        <v>87</v>
      </c>
      <c r="D30" s="1" t="s">
        <v>25</v>
      </c>
      <c r="E30" s="1">
        <v>0</v>
      </c>
      <c r="F30" s="1">
        <v>0</v>
      </c>
      <c r="G30" s="1"/>
      <c r="H30" s="1">
        <v>4.6520000000000001</v>
      </c>
      <c r="I30" s="1">
        <v>1.1659999999999999</v>
      </c>
      <c r="J30" s="1"/>
      <c r="K30" s="1"/>
      <c r="L30" s="1"/>
      <c r="M30" s="1"/>
      <c r="N30" s="1">
        <v>2.6520000000000001</v>
      </c>
      <c r="O30" s="1"/>
      <c r="P30" s="1">
        <v>3.214</v>
      </c>
      <c r="Q30" s="1">
        <v>22.696999999999999</v>
      </c>
      <c r="R30" s="1">
        <v>769.43</v>
      </c>
    </row>
    <row r="31" spans="1:18" x14ac:dyDescent="0.2">
      <c r="A31" s="1" t="s">
        <v>85</v>
      </c>
      <c r="B31" s="1" t="s">
        <v>96</v>
      </c>
      <c r="C31" s="1" t="s">
        <v>87</v>
      </c>
      <c r="D31" s="1" t="s">
        <v>24</v>
      </c>
      <c r="E31" s="1">
        <v>0</v>
      </c>
      <c r="F31" s="1">
        <v>0</v>
      </c>
      <c r="G31" s="1"/>
      <c r="H31" s="1">
        <v>5.3079999999999998</v>
      </c>
      <c r="I31" s="1">
        <v>0.93600000000000005</v>
      </c>
      <c r="J31" s="1"/>
      <c r="K31" s="1"/>
      <c r="L31" s="1"/>
      <c r="M31" s="1"/>
      <c r="N31" s="1"/>
      <c r="O31" s="1"/>
      <c r="P31" s="1">
        <v>2.6779999999999999</v>
      </c>
      <c r="Q31" s="1">
        <v>23.042000000000002</v>
      </c>
      <c r="R31" s="1"/>
    </row>
    <row r="32" spans="1:18" x14ac:dyDescent="0.2">
      <c r="A32" s="1" t="s">
        <v>85</v>
      </c>
      <c r="B32" s="1" t="s">
        <v>97</v>
      </c>
      <c r="C32" s="1" t="s">
        <v>87</v>
      </c>
      <c r="D32" s="1" t="s">
        <v>25</v>
      </c>
      <c r="E32" s="1">
        <v>0</v>
      </c>
      <c r="F32" s="1">
        <v>0</v>
      </c>
      <c r="G32" s="1">
        <v>0.53100000000000003</v>
      </c>
      <c r="H32" s="1">
        <v>5.1840000000000002</v>
      </c>
      <c r="I32" s="1">
        <v>1.8979999999999999</v>
      </c>
      <c r="J32" s="1">
        <v>2.6760000000000002</v>
      </c>
      <c r="K32" s="1">
        <v>1.232</v>
      </c>
      <c r="L32" s="1">
        <v>1.147</v>
      </c>
      <c r="M32" s="1">
        <v>2.0299999999999998</v>
      </c>
      <c r="N32" s="1">
        <v>2.2469999999999999</v>
      </c>
      <c r="O32" s="1"/>
      <c r="P32" s="1">
        <v>4.05</v>
      </c>
      <c r="Q32" s="1">
        <v>16.797000000000001</v>
      </c>
      <c r="R32" s="1">
        <v>636.78099999999995</v>
      </c>
    </row>
    <row r="33" spans="1:18" x14ac:dyDescent="0.2">
      <c r="A33" s="1" t="s">
        <v>85</v>
      </c>
      <c r="B33" s="1" t="s">
        <v>97</v>
      </c>
      <c r="C33" s="1" t="s">
        <v>87</v>
      </c>
      <c r="D33" s="1" t="s">
        <v>24</v>
      </c>
      <c r="E33" s="1">
        <v>0</v>
      </c>
      <c r="F33" s="1">
        <v>0</v>
      </c>
      <c r="G33" s="1">
        <v>0.48499999999999999</v>
      </c>
      <c r="H33" s="1">
        <v>4.782</v>
      </c>
      <c r="I33" s="1">
        <v>1.5349999999999999</v>
      </c>
      <c r="J33" s="1">
        <v>2.77</v>
      </c>
      <c r="K33" s="1">
        <v>1.6180000000000001</v>
      </c>
      <c r="L33" s="1">
        <v>1.6120000000000001</v>
      </c>
      <c r="M33" s="1">
        <v>1.458</v>
      </c>
      <c r="N33" s="1">
        <v>2.3140000000000001</v>
      </c>
      <c r="O33" s="1"/>
      <c r="P33" s="1">
        <v>2.5339999999999998</v>
      </c>
      <c r="Q33" s="1">
        <v>12.669</v>
      </c>
      <c r="R33" s="1"/>
    </row>
    <row r="34" spans="1:18" x14ac:dyDescent="0.2">
      <c r="A34" s="1" t="s">
        <v>85</v>
      </c>
      <c r="B34" s="1" t="s">
        <v>97</v>
      </c>
      <c r="C34" s="1" t="s">
        <v>87</v>
      </c>
      <c r="D34" s="1" t="s">
        <v>24</v>
      </c>
      <c r="E34" s="1">
        <v>0</v>
      </c>
      <c r="F34" s="1">
        <v>0</v>
      </c>
      <c r="G34" s="1">
        <v>0.64300000000000002</v>
      </c>
      <c r="H34" s="1">
        <v>4.9690000000000003</v>
      </c>
      <c r="I34" s="1">
        <v>1.8340000000000001</v>
      </c>
      <c r="J34" s="1"/>
      <c r="K34" s="1"/>
      <c r="L34" s="1"/>
      <c r="M34" s="1"/>
      <c r="N34" s="1">
        <v>3.3069999999999999</v>
      </c>
      <c r="O34" s="1"/>
      <c r="P34" s="1">
        <v>2.1389999999999998</v>
      </c>
      <c r="Q34" s="1">
        <v>12.927</v>
      </c>
      <c r="R34" s="1"/>
    </row>
    <row r="35" spans="1:18" x14ac:dyDescent="0.2">
      <c r="A35" s="1" t="s">
        <v>85</v>
      </c>
      <c r="B35" s="1" t="s">
        <v>98</v>
      </c>
      <c r="C35" s="1" t="s">
        <v>87</v>
      </c>
      <c r="D35" s="1" t="s">
        <v>21</v>
      </c>
      <c r="E35" s="1">
        <v>0</v>
      </c>
      <c r="F35" s="1">
        <v>0</v>
      </c>
      <c r="G35" s="1">
        <v>0.84299999999999997</v>
      </c>
      <c r="H35" s="1">
        <v>3.722</v>
      </c>
      <c r="I35" s="1">
        <v>1.9950000000000001</v>
      </c>
      <c r="J35" s="1">
        <v>2.3260000000000001</v>
      </c>
      <c r="K35" s="1">
        <v>1.1399999999999999</v>
      </c>
      <c r="L35" s="1">
        <v>0.73299999999999998</v>
      </c>
      <c r="M35" s="1">
        <v>1.4059999999999999</v>
      </c>
      <c r="N35" s="1">
        <v>2.4889999999999999</v>
      </c>
      <c r="O35" s="1">
        <v>2.9169999999999998</v>
      </c>
      <c r="P35" s="1">
        <v>4.1630000000000003</v>
      </c>
      <c r="Q35" s="1">
        <v>20.536000000000001</v>
      </c>
      <c r="R35" s="1">
        <v>534.34799999999996</v>
      </c>
    </row>
    <row r="36" spans="1:18" x14ac:dyDescent="0.2">
      <c r="A36" s="1" t="s">
        <v>85</v>
      </c>
      <c r="B36" s="1" t="s">
        <v>98</v>
      </c>
      <c r="C36" s="1" t="s">
        <v>87</v>
      </c>
      <c r="D36" s="1"/>
      <c r="E36" s="1">
        <v>0</v>
      </c>
      <c r="F36" s="1">
        <v>0</v>
      </c>
      <c r="G36" s="1">
        <v>0.67500000000000004</v>
      </c>
      <c r="H36" s="1">
        <v>4.2679999999999998</v>
      </c>
      <c r="I36" s="1">
        <v>1.8460000000000001</v>
      </c>
      <c r="J36" s="1"/>
      <c r="K36" s="1"/>
      <c r="L36" s="1"/>
      <c r="M36" s="1"/>
      <c r="N36" s="1">
        <v>2.6949999999999998</v>
      </c>
      <c r="O36" s="1"/>
      <c r="P36" s="1">
        <v>6.625</v>
      </c>
      <c r="Q36" s="1">
        <v>14.173999999999999</v>
      </c>
      <c r="R36" s="1"/>
    </row>
    <row r="37" spans="1:18" x14ac:dyDescent="0.2">
      <c r="A37" s="1" t="s">
        <v>85</v>
      </c>
      <c r="B37" s="1" t="s">
        <v>98</v>
      </c>
      <c r="C37" s="1" t="s">
        <v>87</v>
      </c>
      <c r="D37" s="1"/>
      <c r="E37" s="1">
        <v>0</v>
      </c>
      <c r="F37" s="1">
        <v>0</v>
      </c>
      <c r="G37" s="1">
        <v>0.41399999999999998</v>
      </c>
      <c r="H37" s="1">
        <v>4.4139999999999997</v>
      </c>
      <c r="I37" s="1">
        <v>1.621</v>
      </c>
      <c r="J37" s="1"/>
      <c r="K37" s="1"/>
      <c r="L37" s="1"/>
      <c r="M37" s="1"/>
      <c r="N37" s="1">
        <v>2.89</v>
      </c>
      <c r="O37" s="1"/>
      <c r="P37" s="1">
        <v>4.1710000000000003</v>
      </c>
      <c r="Q37" s="1">
        <v>15.654</v>
      </c>
      <c r="R3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2D46-1CFB-2F42-80D3-6B72D56D74F0}">
  <dimension ref="A1:R122"/>
  <sheetViews>
    <sheetView workbookViewId="0">
      <selection activeCell="G2" sqref="G2:G12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36</v>
      </c>
      <c r="B2" t="s">
        <v>83</v>
      </c>
      <c r="C2" t="s">
        <v>77</v>
      </c>
      <c r="H2">
        <v>1.645</v>
      </c>
      <c r="I2">
        <v>0.34599999999999997</v>
      </c>
      <c r="J2">
        <v>2.3719999999999999</v>
      </c>
      <c r="K2">
        <v>1.413</v>
      </c>
      <c r="L2">
        <v>1.0049999999999999</v>
      </c>
      <c r="M2">
        <v>1.302</v>
      </c>
      <c r="N2">
        <v>3.4460000000000002</v>
      </c>
      <c r="O2">
        <v>2.976</v>
      </c>
      <c r="P2">
        <v>2.37</v>
      </c>
      <c r="Q2">
        <v>17.329999999999998</v>
      </c>
      <c r="R2">
        <v>497.98599999999999</v>
      </c>
    </row>
    <row r="3" spans="1:18" x14ac:dyDescent="0.2">
      <c r="A3" t="s">
        <v>36</v>
      </c>
      <c r="B3" t="s">
        <v>84</v>
      </c>
      <c r="C3" t="s">
        <v>50</v>
      </c>
      <c r="H3">
        <v>2.129</v>
      </c>
      <c r="I3">
        <v>1.256</v>
      </c>
      <c r="J3">
        <v>2.2450000000000001</v>
      </c>
      <c r="K3">
        <v>1.1850000000000001</v>
      </c>
      <c r="L3">
        <v>0.98299999999999998</v>
      </c>
      <c r="M3">
        <v>1.2749999999999999</v>
      </c>
      <c r="N3">
        <v>2.96</v>
      </c>
      <c r="O3">
        <v>1.6319999999999999</v>
      </c>
      <c r="P3">
        <v>4.2119999999999997</v>
      </c>
      <c r="Q3">
        <v>11.595000000000001</v>
      </c>
      <c r="R3">
        <v>590.78200000000004</v>
      </c>
    </row>
    <row r="4" spans="1:18" x14ac:dyDescent="0.2">
      <c r="A4" t="s">
        <v>36</v>
      </c>
      <c r="B4" t="s">
        <v>75</v>
      </c>
      <c r="C4" t="s">
        <v>50</v>
      </c>
      <c r="G4">
        <v>1.3049999999999999</v>
      </c>
      <c r="H4">
        <v>2.1960000000000002</v>
      </c>
      <c r="I4">
        <v>0.36</v>
      </c>
      <c r="J4">
        <v>2.7829999999999999</v>
      </c>
      <c r="K4">
        <v>1.0569999999999999</v>
      </c>
      <c r="L4">
        <v>0.94099999999999995</v>
      </c>
      <c r="M4">
        <v>1.4339999999999999</v>
      </c>
      <c r="N4">
        <v>4.0940000000000003</v>
      </c>
      <c r="O4">
        <v>4.0490000000000004</v>
      </c>
      <c r="P4">
        <v>4.7919999999999998</v>
      </c>
      <c r="Q4">
        <v>23.524999999999999</v>
      </c>
    </row>
    <row r="5" spans="1:18" x14ac:dyDescent="0.2">
      <c r="A5" t="s">
        <v>36</v>
      </c>
      <c r="B5" t="s">
        <v>84</v>
      </c>
      <c r="C5" t="s">
        <v>50</v>
      </c>
      <c r="H5">
        <v>2.2229999999999999</v>
      </c>
      <c r="I5">
        <v>0.63300000000000001</v>
      </c>
      <c r="J5">
        <v>2.6379999999999999</v>
      </c>
      <c r="K5">
        <v>1.4990000000000001</v>
      </c>
      <c r="L5">
        <v>1.3280000000000001</v>
      </c>
      <c r="M5">
        <v>1.8720000000000001</v>
      </c>
      <c r="N5">
        <v>3.1869999999999998</v>
      </c>
      <c r="O5">
        <v>1.7290000000000001</v>
      </c>
      <c r="P5">
        <v>2.5939999999999999</v>
      </c>
      <c r="Q5">
        <v>10.677</v>
      </c>
    </row>
    <row r="6" spans="1:18" x14ac:dyDescent="0.2">
      <c r="A6" t="s">
        <v>36</v>
      </c>
      <c r="B6" t="s">
        <v>73</v>
      </c>
      <c r="C6" t="s">
        <v>38</v>
      </c>
      <c r="E6">
        <v>0</v>
      </c>
      <c r="F6">
        <v>0</v>
      </c>
      <c r="G6">
        <v>0.79500000000000004</v>
      </c>
      <c r="H6">
        <v>2.3580000000000001</v>
      </c>
      <c r="I6">
        <v>0.37</v>
      </c>
      <c r="J6">
        <v>2.5710000000000002</v>
      </c>
      <c r="K6">
        <v>2.1269999999999998</v>
      </c>
      <c r="L6">
        <v>1.9790000000000001</v>
      </c>
      <c r="M6">
        <v>2.077</v>
      </c>
      <c r="N6">
        <v>3.6619999999999999</v>
      </c>
      <c r="O6">
        <v>3.6850000000000001</v>
      </c>
      <c r="P6">
        <v>3.4620000000000002</v>
      </c>
      <c r="Q6">
        <v>3.8</v>
      </c>
    </row>
    <row r="7" spans="1:18" x14ac:dyDescent="0.2">
      <c r="A7" t="s">
        <v>36</v>
      </c>
      <c r="B7" t="s">
        <v>73</v>
      </c>
      <c r="C7" t="s">
        <v>38</v>
      </c>
      <c r="E7">
        <v>0</v>
      </c>
      <c r="F7">
        <v>0</v>
      </c>
      <c r="G7">
        <v>1.1140000000000001</v>
      </c>
      <c r="H7">
        <v>2.3650000000000002</v>
      </c>
      <c r="I7">
        <v>0.57899999999999996</v>
      </c>
      <c r="J7">
        <v>3</v>
      </c>
      <c r="K7">
        <v>0.60599999999999998</v>
      </c>
      <c r="L7">
        <v>0.59499999999999997</v>
      </c>
      <c r="M7">
        <v>2.2879999999999998</v>
      </c>
      <c r="N7">
        <v>3.448</v>
      </c>
      <c r="O7">
        <v>2.887</v>
      </c>
      <c r="P7">
        <v>3.7949999999999999</v>
      </c>
      <c r="Q7">
        <v>29.815999999999999</v>
      </c>
      <c r="R7">
        <v>770.83900000000006</v>
      </c>
    </row>
    <row r="8" spans="1:18" x14ac:dyDescent="0.2">
      <c r="A8" t="s">
        <v>36</v>
      </c>
      <c r="B8" t="s">
        <v>83</v>
      </c>
      <c r="C8" t="s">
        <v>77</v>
      </c>
      <c r="H8">
        <v>2.4740000000000002</v>
      </c>
      <c r="I8">
        <v>0.26900000000000002</v>
      </c>
      <c r="J8">
        <v>2.9580000000000002</v>
      </c>
      <c r="K8">
        <v>1.0369999999999999</v>
      </c>
      <c r="L8">
        <v>1.147</v>
      </c>
      <c r="M8">
        <v>1.64</v>
      </c>
      <c r="N8">
        <v>3.87</v>
      </c>
      <c r="O8">
        <v>2.468</v>
      </c>
      <c r="P8">
        <v>1.1859999999999999</v>
      </c>
      <c r="Q8">
        <v>10.564</v>
      </c>
    </row>
    <row r="9" spans="1:18" x14ac:dyDescent="0.2">
      <c r="A9" t="s">
        <v>36</v>
      </c>
      <c r="B9" t="s">
        <v>79</v>
      </c>
      <c r="C9" t="s">
        <v>77</v>
      </c>
      <c r="E9">
        <v>0</v>
      </c>
      <c r="F9">
        <v>0</v>
      </c>
      <c r="H9">
        <v>2.48</v>
      </c>
      <c r="I9">
        <v>0.60299999999999998</v>
      </c>
      <c r="P9">
        <v>2.2160000000000002</v>
      </c>
      <c r="Q9">
        <v>14.59</v>
      </c>
      <c r="R9">
        <v>725.89599999999996</v>
      </c>
    </row>
    <row r="10" spans="1:18" x14ac:dyDescent="0.2">
      <c r="A10" t="s">
        <v>36</v>
      </c>
      <c r="B10" t="s">
        <v>74</v>
      </c>
      <c r="C10" t="s">
        <v>50</v>
      </c>
      <c r="E10">
        <v>0</v>
      </c>
      <c r="F10">
        <v>0</v>
      </c>
      <c r="G10">
        <v>0.84599999999999997</v>
      </c>
      <c r="H10">
        <v>2.653</v>
      </c>
      <c r="I10">
        <v>0.87</v>
      </c>
      <c r="P10">
        <v>3.238</v>
      </c>
      <c r="Q10">
        <v>14.788</v>
      </c>
    </row>
    <row r="11" spans="1:18" x14ac:dyDescent="0.2">
      <c r="A11" t="s">
        <v>36</v>
      </c>
      <c r="B11" t="s">
        <v>79</v>
      </c>
      <c r="C11" t="s">
        <v>77</v>
      </c>
      <c r="E11">
        <v>0</v>
      </c>
      <c r="F11">
        <v>0</v>
      </c>
      <c r="H11">
        <v>2.6949999999999998</v>
      </c>
      <c r="I11">
        <v>0.73</v>
      </c>
      <c r="P11">
        <v>5.1840000000000002</v>
      </c>
      <c r="Q11">
        <v>16.916</v>
      </c>
    </row>
    <row r="12" spans="1:18" x14ac:dyDescent="0.2">
      <c r="A12" t="s">
        <v>36</v>
      </c>
      <c r="B12" t="s">
        <v>75</v>
      </c>
      <c r="C12" t="s">
        <v>50</v>
      </c>
      <c r="G12">
        <v>0.84499999999999997</v>
      </c>
      <c r="H12">
        <v>2.7519999999999998</v>
      </c>
      <c r="I12">
        <v>0.66400000000000003</v>
      </c>
      <c r="J12">
        <v>2.0099999999999998</v>
      </c>
      <c r="K12">
        <v>0.45100000000000001</v>
      </c>
      <c r="L12">
        <v>0.38</v>
      </c>
      <c r="M12">
        <v>1.4259999999999999</v>
      </c>
      <c r="N12">
        <v>4.2430000000000003</v>
      </c>
      <c r="O12">
        <v>4.9790000000000001</v>
      </c>
      <c r="P12">
        <v>5.7290000000000001</v>
      </c>
      <c r="Q12">
        <v>7.4320000000000004</v>
      </c>
      <c r="R12">
        <v>845.24</v>
      </c>
    </row>
    <row r="13" spans="1:18" x14ac:dyDescent="0.2">
      <c r="A13" t="s">
        <v>36</v>
      </c>
      <c r="B13" t="s">
        <v>63</v>
      </c>
      <c r="C13" t="s">
        <v>64</v>
      </c>
      <c r="D13" t="s">
        <v>24</v>
      </c>
      <c r="E13">
        <v>0</v>
      </c>
      <c r="F13">
        <v>0</v>
      </c>
      <c r="G13">
        <v>0</v>
      </c>
      <c r="H13">
        <v>3.008</v>
      </c>
      <c r="I13">
        <v>1.0529999999999999</v>
      </c>
    </row>
    <row r="14" spans="1:18" x14ac:dyDescent="0.2">
      <c r="A14" t="s">
        <v>36</v>
      </c>
      <c r="B14" t="s">
        <v>72</v>
      </c>
      <c r="C14" t="s">
        <v>50</v>
      </c>
      <c r="D14" t="s">
        <v>21</v>
      </c>
      <c r="E14">
        <v>0</v>
      </c>
      <c r="F14">
        <v>0</v>
      </c>
      <c r="G14">
        <v>0</v>
      </c>
      <c r="H14">
        <v>3.1880000000000002</v>
      </c>
      <c r="I14">
        <v>1.218</v>
      </c>
      <c r="J14">
        <v>2.6240000000000001</v>
      </c>
      <c r="K14">
        <v>0.86899999999999999</v>
      </c>
      <c r="L14">
        <v>0.61299999999999999</v>
      </c>
      <c r="M14">
        <v>1.5960000000000001</v>
      </c>
      <c r="N14">
        <v>3.83</v>
      </c>
      <c r="P14">
        <v>5.9210000000000003</v>
      </c>
      <c r="Q14">
        <v>27.062000000000001</v>
      </c>
      <c r="R14">
        <v>1012.704</v>
      </c>
    </row>
    <row r="15" spans="1:18" x14ac:dyDescent="0.2">
      <c r="A15" t="s">
        <v>36</v>
      </c>
      <c r="B15" t="s">
        <v>65</v>
      </c>
      <c r="C15" t="s">
        <v>50</v>
      </c>
      <c r="D15" t="s">
        <v>21</v>
      </c>
      <c r="E15">
        <v>0</v>
      </c>
      <c r="F15">
        <v>0</v>
      </c>
      <c r="G15">
        <v>0</v>
      </c>
      <c r="H15">
        <v>3.2069999999999999</v>
      </c>
      <c r="I15">
        <v>2.1389999999999998</v>
      </c>
      <c r="J15">
        <v>2.593</v>
      </c>
      <c r="K15">
        <v>0.99299999999999999</v>
      </c>
      <c r="L15">
        <v>0.88600000000000001</v>
      </c>
      <c r="M15">
        <v>1.524</v>
      </c>
      <c r="N15">
        <v>4.5149999999999997</v>
      </c>
      <c r="O15">
        <v>3.548</v>
      </c>
      <c r="P15">
        <v>2.4</v>
      </c>
      <c r="Q15">
        <v>12.63</v>
      </c>
      <c r="R15">
        <v>847.38099999999997</v>
      </c>
    </row>
    <row r="16" spans="1:18" x14ac:dyDescent="0.2">
      <c r="A16" t="s">
        <v>36</v>
      </c>
      <c r="B16" t="s">
        <v>41</v>
      </c>
      <c r="C16" t="s">
        <v>42</v>
      </c>
      <c r="D16" t="s">
        <v>21</v>
      </c>
      <c r="E16">
        <v>0</v>
      </c>
      <c r="F16">
        <v>0</v>
      </c>
      <c r="G16">
        <v>0</v>
      </c>
      <c r="H16">
        <v>3.2320000000000002</v>
      </c>
      <c r="I16">
        <v>1.55</v>
      </c>
      <c r="P16">
        <v>7.7320000000000002</v>
      </c>
      <c r="Q16">
        <v>17.463999999999999</v>
      </c>
    </row>
    <row r="17" spans="1:18" x14ac:dyDescent="0.2">
      <c r="A17" t="s">
        <v>36</v>
      </c>
      <c r="B17" t="s">
        <v>74</v>
      </c>
      <c r="C17" t="s">
        <v>50</v>
      </c>
      <c r="E17">
        <v>0</v>
      </c>
      <c r="F17">
        <v>0</v>
      </c>
      <c r="G17">
        <v>0.93700000000000006</v>
      </c>
      <c r="H17">
        <v>3.2759999999999998</v>
      </c>
      <c r="I17">
        <v>0.749</v>
      </c>
      <c r="J17">
        <v>2.694</v>
      </c>
      <c r="K17">
        <v>1.2070000000000001</v>
      </c>
      <c r="L17">
        <v>1.1080000000000001</v>
      </c>
      <c r="M17">
        <v>2.5270000000000001</v>
      </c>
      <c r="N17">
        <v>4.0540000000000003</v>
      </c>
      <c r="P17">
        <v>5.556</v>
      </c>
      <c r="Q17">
        <v>17.588000000000001</v>
      </c>
      <c r="R17">
        <v>692.99699999999996</v>
      </c>
    </row>
    <row r="18" spans="1:18" x14ac:dyDescent="0.2">
      <c r="A18" t="s">
        <v>36</v>
      </c>
      <c r="B18" t="s">
        <v>73</v>
      </c>
      <c r="C18" t="s">
        <v>38</v>
      </c>
      <c r="E18">
        <v>0</v>
      </c>
      <c r="F18">
        <v>0</v>
      </c>
      <c r="G18">
        <v>0.998</v>
      </c>
      <c r="H18">
        <v>3.4609999999999999</v>
      </c>
      <c r="I18">
        <v>0.70599999999999996</v>
      </c>
      <c r="J18">
        <v>3.4220000000000002</v>
      </c>
      <c r="K18">
        <v>1.488</v>
      </c>
      <c r="L18">
        <v>1.4550000000000001</v>
      </c>
      <c r="M18">
        <v>2.5</v>
      </c>
      <c r="N18">
        <v>3.4980000000000002</v>
      </c>
      <c r="P18">
        <v>5.1710000000000003</v>
      </c>
      <c r="Q18">
        <v>23.29</v>
      </c>
    </row>
    <row r="19" spans="1:18" x14ac:dyDescent="0.2">
      <c r="A19" t="s">
        <v>36</v>
      </c>
      <c r="B19" t="s">
        <v>79</v>
      </c>
      <c r="C19" t="s">
        <v>77</v>
      </c>
      <c r="E19">
        <v>0</v>
      </c>
      <c r="F19">
        <v>0</v>
      </c>
      <c r="H19">
        <v>3.492</v>
      </c>
      <c r="I19">
        <v>0.95799999999999996</v>
      </c>
      <c r="J19">
        <v>2.4430000000000001</v>
      </c>
      <c r="K19">
        <v>1.161</v>
      </c>
      <c r="L19">
        <v>0.80300000000000005</v>
      </c>
      <c r="M19">
        <v>1.8069999999999999</v>
      </c>
      <c r="N19">
        <v>3.7639999999999998</v>
      </c>
      <c r="P19">
        <v>5.1680000000000001</v>
      </c>
      <c r="Q19">
        <v>26.728999999999999</v>
      </c>
      <c r="R19">
        <v>373.80900000000003</v>
      </c>
    </row>
    <row r="20" spans="1:18" x14ac:dyDescent="0.2">
      <c r="A20" t="s">
        <v>36</v>
      </c>
      <c r="B20" t="s">
        <v>72</v>
      </c>
      <c r="C20" t="s">
        <v>50</v>
      </c>
      <c r="D20" t="s">
        <v>25</v>
      </c>
      <c r="E20">
        <v>0</v>
      </c>
      <c r="F20">
        <v>0</v>
      </c>
      <c r="G20">
        <v>0</v>
      </c>
      <c r="H20">
        <v>3.5129999999999999</v>
      </c>
      <c r="I20">
        <v>1.2450000000000001</v>
      </c>
      <c r="J20">
        <v>4.032</v>
      </c>
      <c r="K20">
        <v>0.75900000000000001</v>
      </c>
      <c r="L20">
        <v>0.53100000000000003</v>
      </c>
      <c r="M20">
        <v>2.8079999999999998</v>
      </c>
      <c r="N20">
        <v>4.5330000000000004</v>
      </c>
      <c r="O20">
        <v>1.8620000000000001</v>
      </c>
      <c r="P20">
        <v>3.5960000000000001</v>
      </c>
      <c r="Q20">
        <v>32.378999999999998</v>
      </c>
    </row>
    <row r="21" spans="1:18" x14ac:dyDescent="0.2">
      <c r="A21" t="s">
        <v>36</v>
      </c>
      <c r="B21" t="s">
        <v>78</v>
      </c>
      <c r="C21" t="s">
        <v>77</v>
      </c>
      <c r="D21" t="s">
        <v>21</v>
      </c>
      <c r="E21">
        <v>0</v>
      </c>
      <c r="F21">
        <v>0</v>
      </c>
      <c r="H21">
        <v>3.5979999999999999</v>
      </c>
      <c r="I21">
        <v>1.4259999999999999</v>
      </c>
      <c r="J21">
        <v>3.42</v>
      </c>
      <c r="K21">
        <v>1.044</v>
      </c>
      <c r="L21">
        <v>0.45600000000000002</v>
      </c>
      <c r="M21">
        <v>2.3439999999999999</v>
      </c>
      <c r="N21">
        <v>3.9940000000000002</v>
      </c>
      <c r="O21">
        <v>3.7069999999999999</v>
      </c>
      <c r="P21">
        <v>4.1630000000000003</v>
      </c>
      <c r="Q21">
        <v>23.713000000000001</v>
      </c>
      <c r="R21">
        <v>791.32</v>
      </c>
    </row>
    <row r="22" spans="1:18" x14ac:dyDescent="0.2">
      <c r="A22" t="s">
        <v>36</v>
      </c>
      <c r="B22" t="s">
        <v>78</v>
      </c>
      <c r="C22" t="s">
        <v>77</v>
      </c>
      <c r="D22" t="s">
        <v>21</v>
      </c>
      <c r="E22">
        <v>0</v>
      </c>
      <c r="F22">
        <v>0</v>
      </c>
      <c r="H22">
        <v>3.6040000000000001</v>
      </c>
      <c r="I22">
        <v>0.89600000000000002</v>
      </c>
      <c r="J22">
        <v>3.9529999999999998</v>
      </c>
      <c r="K22">
        <v>1.381</v>
      </c>
      <c r="L22">
        <v>1.2789999999999999</v>
      </c>
      <c r="M22">
        <v>2.1579999999999999</v>
      </c>
      <c r="N22">
        <v>3.7949999999999999</v>
      </c>
      <c r="O22">
        <v>3.5129999999999999</v>
      </c>
      <c r="P22">
        <v>3.956</v>
      </c>
      <c r="Q22">
        <v>13.515000000000001</v>
      </c>
    </row>
    <row r="23" spans="1:18" x14ac:dyDescent="0.2">
      <c r="A23" t="s">
        <v>36</v>
      </c>
      <c r="B23" t="s">
        <v>56</v>
      </c>
      <c r="C23" t="s">
        <v>38</v>
      </c>
      <c r="D23" t="s">
        <v>21</v>
      </c>
      <c r="E23">
        <v>0</v>
      </c>
      <c r="F23">
        <v>0</v>
      </c>
      <c r="G23">
        <v>0</v>
      </c>
      <c r="H23">
        <v>3.6080000000000001</v>
      </c>
      <c r="I23">
        <v>1.196</v>
      </c>
      <c r="J23">
        <v>2.911</v>
      </c>
      <c r="K23">
        <v>0.88900000000000001</v>
      </c>
      <c r="L23">
        <v>0.88300000000000001</v>
      </c>
      <c r="M23">
        <v>2.3959999999999999</v>
      </c>
      <c r="N23">
        <v>3.4630000000000001</v>
      </c>
      <c r="O23">
        <v>2.8519999999999999</v>
      </c>
      <c r="P23">
        <v>5.3890000000000002</v>
      </c>
      <c r="Q23">
        <v>20.375</v>
      </c>
      <c r="R23">
        <v>581.94899999999996</v>
      </c>
    </row>
    <row r="24" spans="1:18" x14ac:dyDescent="0.2">
      <c r="A24" t="s">
        <v>36</v>
      </c>
      <c r="B24" t="s">
        <v>84</v>
      </c>
      <c r="C24" t="s">
        <v>50</v>
      </c>
      <c r="H24">
        <v>3.6379999999999999</v>
      </c>
      <c r="I24">
        <v>1.2569999999999999</v>
      </c>
      <c r="P24">
        <v>4.9649999999999999</v>
      </c>
      <c r="Q24">
        <v>7.5229999999999997</v>
      </c>
    </row>
    <row r="25" spans="1:18" x14ac:dyDescent="0.2">
      <c r="A25" t="s">
        <v>36</v>
      </c>
      <c r="B25" t="s">
        <v>61</v>
      </c>
      <c r="C25" t="s">
        <v>60</v>
      </c>
      <c r="D25" t="s">
        <v>21</v>
      </c>
      <c r="E25">
        <v>0</v>
      </c>
      <c r="F25">
        <v>0</v>
      </c>
      <c r="G25">
        <v>0</v>
      </c>
      <c r="H25">
        <v>3.641</v>
      </c>
      <c r="I25">
        <v>1.4630000000000001</v>
      </c>
      <c r="J25">
        <v>4.1130000000000004</v>
      </c>
      <c r="K25">
        <v>1.079</v>
      </c>
      <c r="L25">
        <v>0.83699999999999997</v>
      </c>
      <c r="M25">
        <v>2.4260000000000002</v>
      </c>
      <c r="N25">
        <v>3.5110000000000001</v>
      </c>
      <c r="O25">
        <v>5.2480000000000002</v>
      </c>
      <c r="P25">
        <v>5.5609999999999999</v>
      </c>
      <c r="Q25">
        <v>11.414999999999999</v>
      </c>
      <c r="R25">
        <v>621.04100000000005</v>
      </c>
    </row>
    <row r="26" spans="1:18" x14ac:dyDescent="0.2">
      <c r="A26" t="s">
        <v>36</v>
      </c>
      <c r="B26" t="s">
        <v>80</v>
      </c>
      <c r="C26" t="s">
        <v>81</v>
      </c>
      <c r="D26" t="s">
        <v>25</v>
      </c>
      <c r="E26">
        <v>0</v>
      </c>
      <c r="F26">
        <v>0</v>
      </c>
      <c r="G26">
        <v>0.89900000000000002</v>
      </c>
      <c r="H26">
        <v>3.7349999999999999</v>
      </c>
      <c r="I26">
        <v>0.59499999999999997</v>
      </c>
      <c r="J26">
        <v>5.6589999999999998</v>
      </c>
      <c r="K26">
        <v>2.0110000000000001</v>
      </c>
      <c r="L26">
        <v>1.31</v>
      </c>
      <c r="M26">
        <v>2.9209999999999998</v>
      </c>
      <c r="N26">
        <v>4.83</v>
      </c>
      <c r="O26">
        <v>3.508</v>
      </c>
      <c r="P26">
        <v>2.1349999999999998</v>
      </c>
      <c r="Q26">
        <v>4.9080000000000004</v>
      </c>
    </row>
    <row r="27" spans="1:18" x14ac:dyDescent="0.2">
      <c r="A27" t="s">
        <v>36</v>
      </c>
      <c r="B27" t="s">
        <v>75</v>
      </c>
      <c r="C27" t="s">
        <v>50</v>
      </c>
      <c r="G27">
        <v>1.583</v>
      </c>
      <c r="H27">
        <v>3.7349999999999999</v>
      </c>
      <c r="I27">
        <v>0.70499999999999996</v>
      </c>
      <c r="P27">
        <v>3.8220000000000001</v>
      </c>
      <c r="Q27">
        <v>33.098999999999997</v>
      </c>
    </row>
    <row r="28" spans="1:18" x14ac:dyDescent="0.2">
      <c r="A28" t="s">
        <v>36</v>
      </c>
      <c r="B28" t="s">
        <v>83</v>
      </c>
      <c r="C28" t="s">
        <v>77</v>
      </c>
      <c r="H28">
        <v>3.7360000000000002</v>
      </c>
      <c r="I28">
        <v>0.39900000000000002</v>
      </c>
      <c r="P28">
        <v>2.3820000000000001</v>
      </c>
      <c r="Q28">
        <v>9.1880000000000006</v>
      </c>
    </row>
    <row r="29" spans="1:18" x14ac:dyDescent="0.2">
      <c r="A29" t="s">
        <v>36</v>
      </c>
      <c r="B29" t="s">
        <v>80</v>
      </c>
      <c r="C29" t="s">
        <v>81</v>
      </c>
      <c r="D29" t="s">
        <v>25</v>
      </c>
      <c r="E29">
        <v>0</v>
      </c>
      <c r="F29">
        <v>0</v>
      </c>
      <c r="G29">
        <v>1.077</v>
      </c>
      <c r="H29">
        <v>3.7440000000000002</v>
      </c>
      <c r="I29">
        <v>0.371</v>
      </c>
      <c r="J29">
        <v>4.4240000000000004</v>
      </c>
      <c r="K29">
        <v>1.091</v>
      </c>
      <c r="L29">
        <v>0.63</v>
      </c>
      <c r="M29">
        <v>3.0750000000000002</v>
      </c>
      <c r="N29">
        <v>4.4409999999999998</v>
      </c>
      <c r="O29">
        <v>4.4279999999999999</v>
      </c>
      <c r="P29">
        <v>1.573</v>
      </c>
      <c r="Q29">
        <v>16.478000000000002</v>
      </c>
      <c r="R29">
        <v>343.41500000000002</v>
      </c>
    </row>
    <row r="30" spans="1:18" x14ac:dyDescent="0.2">
      <c r="A30" t="s">
        <v>36</v>
      </c>
      <c r="B30" t="s">
        <v>51</v>
      </c>
      <c r="C30" t="s">
        <v>52</v>
      </c>
      <c r="E30">
        <v>0</v>
      </c>
      <c r="F30">
        <v>0</v>
      </c>
      <c r="G30">
        <v>0</v>
      </c>
      <c r="H30">
        <v>3.746</v>
      </c>
      <c r="I30">
        <v>1.4570000000000001</v>
      </c>
      <c r="J30">
        <v>4.9660000000000002</v>
      </c>
      <c r="K30">
        <v>1.7070000000000001</v>
      </c>
      <c r="L30">
        <v>1.6180000000000001</v>
      </c>
      <c r="M30">
        <v>2.859</v>
      </c>
      <c r="N30">
        <v>4.9409999999999998</v>
      </c>
      <c r="O30">
        <v>4.9610000000000003</v>
      </c>
      <c r="P30">
        <v>3.492</v>
      </c>
      <c r="Q30">
        <v>15.236000000000001</v>
      </c>
    </row>
    <row r="31" spans="1:18" x14ac:dyDescent="0.2">
      <c r="A31" t="s">
        <v>36</v>
      </c>
      <c r="B31" t="s">
        <v>51</v>
      </c>
      <c r="C31" t="s">
        <v>52</v>
      </c>
      <c r="E31">
        <v>0</v>
      </c>
      <c r="F31">
        <v>0</v>
      </c>
      <c r="G31">
        <v>0</v>
      </c>
      <c r="H31">
        <v>3.7759999999999998</v>
      </c>
      <c r="I31">
        <v>1.5669999999999999</v>
      </c>
      <c r="J31">
        <v>4.68</v>
      </c>
      <c r="K31">
        <v>1.3140000000000001</v>
      </c>
      <c r="L31">
        <v>1.2330000000000001</v>
      </c>
      <c r="M31">
        <v>2.4910000000000001</v>
      </c>
      <c r="N31">
        <v>4.9189999999999996</v>
      </c>
      <c r="O31">
        <v>4.8150000000000004</v>
      </c>
      <c r="P31">
        <v>2.4729999999999999</v>
      </c>
      <c r="Q31">
        <v>15.706</v>
      </c>
    </row>
    <row r="32" spans="1:18" x14ac:dyDescent="0.2">
      <c r="A32" t="s">
        <v>36</v>
      </c>
      <c r="B32" t="s">
        <v>67</v>
      </c>
      <c r="C32" t="s">
        <v>50</v>
      </c>
      <c r="D32" t="s">
        <v>21</v>
      </c>
      <c r="E32">
        <v>0</v>
      </c>
      <c r="F32">
        <v>0</v>
      </c>
      <c r="G32">
        <v>0.93899999999999995</v>
      </c>
      <c r="H32">
        <v>3.823</v>
      </c>
      <c r="I32">
        <v>1.5740000000000001</v>
      </c>
    </row>
    <row r="33" spans="1:18" x14ac:dyDescent="0.2">
      <c r="A33" t="s">
        <v>36</v>
      </c>
      <c r="B33" t="s">
        <v>74</v>
      </c>
      <c r="C33" t="s">
        <v>50</v>
      </c>
      <c r="E33">
        <v>0</v>
      </c>
      <c r="F33">
        <v>0</v>
      </c>
      <c r="G33">
        <v>0.95199999999999996</v>
      </c>
      <c r="H33">
        <v>3.847</v>
      </c>
      <c r="I33">
        <v>1.468</v>
      </c>
      <c r="P33">
        <v>2.7330000000000001</v>
      </c>
      <c r="Q33">
        <v>21.722000000000001</v>
      </c>
      <c r="R33">
        <v>520.31100000000004</v>
      </c>
    </row>
    <row r="34" spans="1:18" x14ac:dyDescent="0.2">
      <c r="A34" t="s">
        <v>36</v>
      </c>
      <c r="B34" t="s">
        <v>51</v>
      </c>
      <c r="C34" t="s">
        <v>52</v>
      </c>
      <c r="E34">
        <v>0</v>
      </c>
      <c r="F34">
        <v>0</v>
      </c>
      <c r="G34">
        <v>0</v>
      </c>
      <c r="H34">
        <v>3.8780000000000001</v>
      </c>
      <c r="I34">
        <v>1.2150000000000001</v>
      </c>
      <c r="J34">
        <v>4.6360000000000001</v>
      </c>
      <c r="K34">
        <v>1.087</v>
      </c>
      <c r="L34">
        <v>0.80800000000000005</v>
      </c>
      <c r="M34">
        <v>2.5630000000000002</v>
      </c>
      <c r="N34">
        <v>5.0410000000000004</v>
      </c>
      <c r="O34">
        <v>4.2789999999999999</v>
      </c>
      <c r="P34">
        <v>6.4939999999999998</v>
      </c>
      <c r="Q34">
        <v>19.3</v>
      </c>
    </row>
    <row r="35" spans="1:18" x14ac:dyDescent="0.2">
      <c r="A35" t="s">
        <v>36</v>
      </c>
      <c r="B35" t="s">
        <v>76</v>
      </c>
      <c r="C35" t="s">
        <v>77</v>
      </c>
      <c r="D35" t="s">
        <v>21</v>
      </c>
      <c r="E35">
        <v>0</v>
      </c>
      <c r="F35">
        <v>0</v>
      </c>
      <c r="G35">
        <v>0.70099999999999996</v>
      </c>
      <c r="H35">
        <v>3.9009999999999998</v>
      </c>
      <c r="I35">
        <v>1.431</v>
      </c>
      <c r="J35">
        <v>2.5760000000000001</v>
      </c>
      <c r="K35">
        <v>0.78200000000000003</v>
      </c>
      <c r="L35">
        <v>0.76500000000000001</v>
      </c>
      <c r="M35">
        <v>1.881</v>
      </c>
      <c r="N35">
        <v>4.0369999999999999</v>
      </c>
      <c r="O35">
        <v>2.9169999999999998</v>
      </c>
      <c r="P35">
        <v>2.423</v>
      </c>
      <c r="Q35">
        <v>9.3369999999999997</v>
      </c>
    </row>
    <row r="36" spans="1:18" x14ac:dyDescent="0.2">
      <c r="A36" t="s">
        <v>36</v>
      </c>
      <c r="B36" t="s">
        <v>73</v>
      </c>
      <c r="C36" t="s">
        <v>38</v>
      </c>
      <c r="E36">
        <v>0</v>
      </c>
      <c r="F36">
        <v>0</v>
      </c>
      <c r="G36">
        <v>0.90200000000000002</v>
      </c>
      <c r="H36">
        <v>3.9129999999999998</v>
      </c>
      <c r="I36">
        <v>0.92</v>
      </c>
      <c r="J36">
        <v>3.9039999999999999</v>
      </c>
      <c r="K36">
        <v>0.56299999999999994</v>
      </c>
      <c r="L36">
        <v>0.42099999999999999</v>
      </c>
      <c r="M36">
        <v>2.57</v>
      </c>
      <c r="N36">
        <v>4.8630000000000004</v>
      </c>
      <c r="O36">
        <v>2.7770000000000001</v>
      </c>
      <c r="P36">
        <v>8.7370000000000001</v>
      </c>
      <c r="Q36">
        <v>22.951000000000001</v>
      </c>
      <c r="R36">
        <v>238.65199999999999</v>
      </c>
    </row>
    <row r="37" spans="1:18" x14ac:dyDescent="0.2">
      <c r="A37" t="s">
        <v>36</v>
      </c>
      <c r="B37" t="s">
        <v>63</v>
      </c>
      <c r="C37" t="s">
        <v>64</v>
      </c>
      <c r="D37" t="s">
        <v>21</v>
      </c>
      <c r="E37">
        <v>0</v>
      </c>
      <c r="F37">
        <v>0</v>
      </c>
      <c r="G37">
        <v>0</v>
      </c>
      <c r="H37">
        <v>4.1059999999999999</v>
      </c>
      <c r="I37">
        <v>1.405</v>
      </c>
      <c r="J37">
        <v>3.4169999999999998</v>
      </c>
      <c r="M37">
        <v>2.952</v>
      </c>
      <c r="N37">
        <v>3.8130000000000002</v>
      </c>
      <c r="O37">
        <v>3.5009999999999999</v>
      </c>
      <c r="P37">
        <v>3.41</v>
      </c>
      <c r="Q37">
        <v>13.284000000000001</v>
      </c>
      <c r="R37">
        <v>702.21600000000001</v>
      </c>
    </row>
    <row r="38" spans="1:18" x14ac:dyDescent="0.2">
      <c r="A38" t="s">
        <v>36</v>
      </c>
      <c r="B38" t="s">
        <v>40</v>
      </c>
      <c r="C38" t="s">
        <v>38</v>
      </c>
      <c r="D38" t="s">
        <v>24</v>
      </c>
      <c r="E38">
        <v>0</v>
      </c>
      <c r="F38">
        <v>0</v>
      </c>
      <c r="G38">
        <v>0</v>
      </c>
      <c r="H38">
        <v>4.1139999999999999</v>
      </c>
      <c r="I38">
        <v>2.0470000000000002</v>
      </c>
      <c r="J38">
        <v>4.2009999999999996</v>
      </c>
      <c r="K38">
        <v>1.661</v>
      </c>
      <c r="L38">
        <v>1.516</v>
      </c>
      <c r="M38">
        <v>2.2269999999999999</v>
      </c>
      <c r="N38">
        <v>4.1479999999999997</v>
      </c>
      <c r="O38">
        <v>4.0750000000000002</v>
      </c>
      <c r="P38">
        <v>5.0529999999999999</v>
      </c>
      <c r="Q38">
        <v>14.175000000000001</v>
      </c>
    </row>
    <row r="39" spans="1:18" x14ac:dyDescent="0.2">
      <c r="A39" t="s">
        <v>36</v>
      </c>
      <c r="B39" t="s">
        <v>58</v>
      </c>
      <c r="C39" t="s">
        <v>38</v>
      </c>
      <c r="D39" t="s">
        <v>21</v>
      </c>
      <c r="E39">
        <v>0</v>
      </c>
      <c r="F39">
        <v>0</v>
      </c>
      <c r="G39">
        <v>0</v>
      </c>
      <c r="H39">
        <v>4.2770000000000001</v>
      </c>
      <c r="I39">
        <v>1.302</v>
      </c>
      <c r="J39">
        <v>4.3499999999999996</v>
      </c>
      <c r="K39">
        <v>1.845</v>
      </c>
      <c r="L39">
        <v>1.661</v>
      </c>
      <c r="M39">
        <v>2.7320000000000002</v>
      </c>
      <c r="N39">
        <v>3.9860000000000002</v>
      </c>
      <c r="O39">
        <v>4.2279999999999998</v>
      </c>
      <c r="P39">
        <v>4.4640000000000004</v>
      </c>
      <c r="Q39">
        <v>5.7110000000000003</v>
      </c>
      <c r="R39">
        <v>478.97</v>
      </c>
    </row>
    <row r="40" spans="1:18" x14ac:dyDescent="0.2">
      <c r="A40" t="s">
        <v>36</v>
      </c>
      <c r="B40" t="s">
        <v>74</v>
      </c>
      <c r="C40" t="s">
        <v>50</v>
      </c>
      <c r="D40" t="s">
        <v>21</v>
      </c>
      <c r="E40">
        <v>0</v>
      </c>
      <c r="F40">
        <v>0</v>
      </c>
      <c r="G40">
        <v>0.72299999999999998</v>
      </c>
      <c r="H40">
        <v>4.335</v>
      </c>
      <c r="I40">
        <v>1.163</v>
      </c>
      <c r="J40">
        <v>3.7</v>
      </c>
      <c r="K40">
        <v>0.95699999999999996</v>
      </c>
      <c r="L40">
        <v>0.56999999999999995</v>
      </c>
      <c r="M40">
        <v>2.2080000000000002</v>
      </c>
      <c r="N40">
        <v>3.4950000000000001</v>
      </c>
      <c r="O40">
        <v>3.5019999999999998</v>
      </c>
      <c r="P40">
        <v>4.0129999999999999</v>
      </c>
      <c r="Q40">
        <v>14.654</v>
      </c>
      <c r="R40">
        <v>457.39600000000002</v>
      </c>
    </row>
    <row r="41" spans="1:18" x14ac:dyDescent="0.2">
      <c r="A41" t="s">
        <v>36</v>
      </c>
      <c r="B41" t="s">
        <v>57</v>
      </c>
      <c r="C41" t="s">
        <v>38</v>
      </c>
      <c r="D41" t="s">
        <v>25</v>
      </c>
      <c r="E41">
        <v>0</v>
      </c>
      <c r="F41">
        <v>0</v>
      </c>
      <c r="G41">
        <v>0</v>
      </c>
      <c r="H41">
        <v>4.38</v>
      </c>
      <c r="I41">
        <v>1.325</v>
      </c>
      <c r="N41">
        <v>3.9380000000000002</v>
      </c>
      <c r="P41">
        <v>3.3959999999999999</v>
      </c>
      <c r="Q41">
        <v>13.666</v>
      </c>
    </row>
    <row r="42" spans="1:18" x14ac:dyDescent="0.2">
      <c r="A42" t="s">
        <v>36</v>
      </c>
      <c r="B42" t="s">
        <v>71</v>
      </c>
      <c r="C42" t="s">
        <v>50</v>
      </c>
      <c r="D42" t="s">
        <v>21</v>
      </c>
      <c r="E42">
        <v>0</v>
      </c>
      <c r="F42">
        <v>0</v>
      </c>
      <c r="G42">
        <v>0</v>
      </c>
      <c r="H42">
        <v>4.399</v>
      </c>
      <c r="I42">
        <v>0.92500000000000004</v>
      </c>
      <c r="J42">
        <v>3.4740000000000002</v>
      </c>
      <c r="K42">
        <v>0.96699999999999997</v>
      </c>
      <c r="M42">
        <v>1.55</v>
      </c>
      <c r="N42">
        <v>4.1070000000000002</v>
      </c>
      <c r="O42">
        <v>3.1120000000000001</v>
      </c>
      <c r="P42">
        <v>3.677</v>
      </c>
      <c r="Q42">
        <v>12.242000000000001</v>
      </c>
      <c r="R42">
        <v>888.29399999999998</v>
      </c>
    </row>
    <row r="43" spans="1:18" x14ac:dyDescent="0.2">
      <c r="A43" t="s">
        <v>36</v>
      </c>
      <c r="B43" t="s">
        <v>79</v>
      </c>
      <c r="C43" t="s">
        <v>77</v>
      </c>
      <c r="D43" t="s">
        <v>25</v>
      </c>
      <c r="E43">
        <v>0</v>
      </c>
      <c r="F43">
        <v>0</v>
      </c>
      <c r="G43">
        <v>0.876</v>
      </c>
      <c r="H43">
        <v>4.4000000000000004</v>
      </c>
      <c r="I43">
        <v>1.534</v>
      </c>
      <c r="J43">
        <v>3.1859999999999999</v>
      </c>
      <c r="K43">
        <v>1.36</v>
      </c>
      <c r="L43">
        <v>0.69699999999999995</v>
      </c>
      <c r="M43">
        <v>1.9990000000000001</v>
      </c>
      <c r="N43">
        <v>3.3109999999999999</v>
      </c>
      <c r="O43">
        <v>3.847</v>
      </c>
      <c r="P43">
        <v>5.7759999999999998</v>
      </c>
      <c r="Q43">
        <v>15.307</v>
      </c>
    </row>
    <row r="44" spans="1:18" x14ac:dyDescent="0.2">
      <c r="A44" t="s">
        <v>36</v>
      </c>
      <c r="B44" t="s">
        <v>78</v>
      </c>
      <c r="C44" t="s">
        <v>77</v>
      </c>
      <c r="D44" t="s">
        <v>21</v>
      </c>
      <c r="E44">
        <v>0</v>
      </c>
      <c r="F44">
        <v>0</v>
      </c>
      <c r="H44">
        <v>4.4720000000000004</v>
      </c>
      <c r="I44">
        <v>1.077</v>
      </c>
      <c r="J44">
        <v>2.649</v>
      </c>
      <c r="K44">
        <v>1.0960000000000001</v>
      </c>
      <c r="L44">
        <v>1.0669999999999999</v>
      </c>
      <c r="M44">
        <v>2.5329999999999999</v>
      </c>
      <c r="N44">
        <v>5.45</v>
      </c>
      <c r="O44">
        <v>5.4210000000000003</v>
      </c>
      <c r="P44">
        <v>4.359</v>
      </c>
      <c r="Q44">
        <v>18.315000000000001</v>
      </c>
    </row>
    <row r="45" spans="1:18" x14ac:dyDescent="0.2">
      <c r="A45" t="s">
        <v>36</v>
      </c>
      <c r="B45" t="s">
        <v>47</v>
      </c>
      <c r="C45" t="s">
        <v>46</v>
      </c>
      <c r="D45" t="s">
        <v>21</v>
      </c>
      <c r="E45">
        <v>0</v>
      </c>
      <c r="F45">
        <v>0</v>
      </c>
      <c r="G45">
        <v>0</v>
      </c>
      <c r="H45">
        <v>4.57</v>
      </c>
      <c r="I45">
        <v>1.234</v>
      </c>
      <c r="J45">
        <v>3.234</v>
      </c>
      <c r="K45">
        <v>1.3959999999999999</v>
      </c>
      <c r="L45">
        <v>1.35</v>
      </c>
      <c r="M45">
        <v>2.5760000000000001</v>
      </c>
      <c r="N45">
        <v>3.11</v>
      </c>
      <c r="O45">
        <v>2.7229999999999999</v>
      </c>
      <c r="P45">
        <v>4.8949999999999996</v>
      </c>
      <c r="Q45">
        <v>18.914000000000001</v>
      </c>
      <c r="R45">
        <v>743.88400000000001</v>
      </c>
    </row>
    <row r="46" spans="1:18" x14ac:dyDescent="0.2">
      <c r="A46" t="s">
        <v>36</v>
      </c>
      <c r="B46" t="s">
        <v>67</v>
      </c>
      <c r="C46" t="s">
        <v>50</v>
      </c>
      <c r="D46" t="s">
        <v>21</v>
      </c>
      <c r="E46">
        <v>0</v>
      </c>
      <c r="F46">
        <v>0</v>
      </c>
      <c r="G46">
        <v>1.55</v>
      </c>
      <c r="H46">
        <v>4.5819999999999999</v>
      </c>
      <c r="I46">
        <v>1.518</v>
      </c>
    </row>
    <row r="47" spans="1:18" x14ac:dyDescent="0.2">
      <c r="A47" t="s">
        <v>36</v>
      </c>
      <c r="B47" t="s">
        <v>70</v>
      </c>
      <c r="C47" t="s">
        <v>52</v>
      </c>
      <c r="D47" t="s">
        <v>21</v>
      </c>
      <c r="E47">
        <v>0</v>
      </c>
      <c r="F47">
        <v>0</v>
      </c>
      <c r="G47">
        <v>0</v>
      </c>
      <c r="H47">
        <v>4.6029999999999998</v>
      </c>
      <c r="I47">
        <v>2.2570000000000001</v>
      </c>
      <c r="J47">
        <v>4.4729999999999999</v>
      </c>
      <c r="K47">
        <v>1.76</v>
      </c>
      <c r="L47">
        <v>1.694</v>
      </c>
      <c r="M47">
        <v>2.0950000000000002</v>
      </c>
      <c r="N47">
        <v>2.661</v>
      </c>
      <c r="P47">
        <v>4.63</v>
      </c>
      <c r="Q47">
        <v>15.507</v>
      </c>
    </row>
    <row r="48" spans="1:18" x14ac:dyDescent="0.2">
      <c r="A48" t="s">
        <v>36</v>
      </c>
      <c r="B48" t="s">
        <v>79</v>
      </c>
      <c r="C48" t="s">
        <v>77</v>
      </c>
      <c r="D48" t="s">
        <v>21</v>
      </c>
      <c r="E48">
        <v>0</v>
      </c>
      <c r="F48">
        <v>0</v>
      </c>
      <c r="G48">
        <v>0.83699999999999997</v>
      </c>
      <c r="H48">
        <v>4.6070000000000002</v>
      </c>
      <c r="I48">
        <v>1.7330000000000001</v>
      </c>
      <c r="J48">
        <v>3.5350000000000001</v>
      </c>
      <c r="K48">
        <v>0.90900000000000003</v>
      </c>
      <c r="L48">
        <v>0.74099999999999999</v>
      </c>
      <c r="M48">
        <v>2.0819999999999999</v>
      </c>
      <c r="N48">
        <v>3.6040000000000001</v>
      </c>
      <c r="O48">
        <v>3.7440000000000002</v>
      </c>
      <c r="P48">
        <v>4.18</v>
      </c>
      <c r="Q48">
        <v>27.602</v>
      </c>
      <c r="R48">
        <v>742.31299999999999</v>
      </c>
    </row>
    <row r="49" spans="1:18" x14ac:dyDescent="0.2">
      <c r="A49" t="s">
        <v>36</v>
      </c>
      <c r="B49" t="s">
        <v>79</v>
      </c>
      <c r="C49" t="s">
        <v>77</v>
      </c>
      <c r="D49" t="s">
        <v>24</v>
      </c>
      <c r="E49">
        <v>0</v>
      </c>
      <c r="F49">
        <v>0</v>
      </c>
      <c r="G49">
        <v>0.63100000000000001</v>
      </c>
      <c r="H49">
        <v>4.7249999999999996</v>
      </c>
      <c r="I49">
        <v>1.595</v>
      </c>
      <c r="J49">
        <v>2.923</v>
      </c>
      <c r="K49">
        <v>0.93400000000000005</v>
      </c>
      <c r="L49">
        <v>0.79600000000000004</v>
      </c>
      <c r="M49">
        <v>3.2309999999999999</v>
      </c>
      <c r="N49">
        <v>2.99</v>
      </c>
      <c r="O49">
        <v>4.133</v>
      </c>
      <c r="P49">
        <v>5.6740000000000004</v>
      </c>
      <c r="Q49">
        <v>17.510000000000002</v>
      </c>
    </row>
    <row r="50" spans="1:18" x14ac:dyDescent="0.2">
      <c r="A50" t="s">
        <v>36</v>
      </c>
      <c r="B50" t="s">
        <v>75</v>
      </c>
      <c r="C50" t="s">
        <v>50</v>
      </c>
      <c r="D50" t="s">
        <v>21</v>
      </c>
      <c r="E50">
        <v>0</v>
      </c>
      <c r="F50">
        <v>0</v>
      </c>
      <c r="G50">
        <v>1.2829999999999999</v>
      </c>
      <c r="H50">
        <v>4.7300000000000004</v>
      </c>
      <c r="I50">
        <v>1.123</v>
      </c>
      <c r="J50">
        <v>3.7770000000000001</v>
      </c>
      <c r="K50">
        <v>1.1639999999999999</v>
      </c>
      <c r="L50">
        <v>1.0840000000000001</v>
      </c>
      <c r="M50">
        <v>3.3540000000000001</v>
      </c>
      <c r="N50">
        <v>4.4909999999999997</v>
      </c>
      <c r="O50">
        <v>5.3280000000000003</v>
      </c>
      <c r="P50">
        <v>4.7939999999999996</v>
      </c>
      <c r="Q50">
        <v>15.36</v>
      </c>
    </row>
    <row r="51" spans="1:18" x14ac:dyDescent="0.2">
      <c r="A51" t="s">
        <v>36</v>
      </c>
      <c r="B51" t="s">
        <v>40</v>
      </c>
      <c r="C51" t="s">
        <v>38</v>
      </c>
      <c r="D51" t="s">
        <v>25</v>
      </c>
      <c r="E51">
        <v>0</v>
      </c>
      <c r="F51">
        <v>0</v>
      </c>
      <c r="G51">
        <v>0</v>
      </c>
      <c r="H51">
        <v>4.7510000000000003</v>
      </c>
      <c r="I51">
        <v>2.75</v>
      </c>
      <c r="J51">
        <v>3.91</v>
      </c>
      <c r="K51">
        <v>1.109</v>
      </c>
      <c r="L51">
        <v>0.79400000000000004</v>
      </c>
      <c r="M51">
        <v>2.3140000000000001</v>
      </c>
      <c r="N51">
        <v>4.6900000000000004</v>
      </c>
      <c r="O51">
        <v>4.609</v>
      </c>
      <c r="P51">
        <v>6.7060000000000004</v>
      </c>
      <c r="Q51">
        <v>18.245999999999999</v>
      </c>
      <c r="R51">
        <v>590.99900000000002</v>
      </c>
    </row>
    <row r="52" spans="1:18" x14ac:dyDescent="0.2">
      <c r="A52" t="s">
        <v>36</v>
      </c>
      <c r="B52" t="s">
        <v>80</v>
      </c>
      <c r="C52" t="s">
        <v>81</v>
      </c>
      <c r="D52" t="s">
        <v>25</v>
      </c>
      <c r="E52">
        <v>0</v>
      </c>
      <c r="F52">
        <v>0</v>
      </c>
      <c r="G52">
        <v>1.4550000000000001</v>
      </c>
      <c r="H52">
        <v>4.7640000000000002</v>
      </c>
      <c r="I52">
        <v>1.0820000000000001</v>
      </c>
      <c r="J52">
        <v>3.6880000000000002</v>
      </c>
      <c r="K52">
        <v>1.0429999999999999</v>
      </c>
      <c r="L52">
        <v>0.68799999999999994</v>
      </c>
      <c r="M52">
        <v>2.6859999999999999</v>
      </c>
      <c r="N52">
        <v>4.4820000000000002</v>
      </c>
      <c r="O52">
        <v>3.9249999999999998</v>
      </c>
      <c r="P52">
        <v>2.3380000000000001</v>
      </c>
      <c r="Q52">
        <v>6.633</v>
      </c>
      <c r="R52">
        <v>438.92500000000001</v>
      </c>
    </row>
    <row r="53" spans="1:18" x14ac:dyDescent="0.2">
      <c r="A53" t="s">
        <v>36</v>
      </c>
      <c r="B53" t="s">
        <v>68</v>
      </c>
      <c r="C53" t="s">
        <v>50</v>
      </c>
      <c r="D53" t="s">
        <v>21</v>
      </c>
      <c r="E53">
        <v>0</v>
      </c>
      <c r="F53">
        <v>0</v>
      </c>
      <c r="H53">
        <v>4.7770000000000001</v>
      </c>
      <c r="I53">
        <v>1.359</v>
      </c>
      <c r="J53">
        <v>3.01</v>
      </c>
      <c r="K53">
        <v>1.498</v>
      </c>
      <c r="L53">
        <v>1.264</v>
      </c>
      <c r="M53">
        <v>1.8620000000000001</v>
      </c>
      <c r="N53">
        <v>3.8969999999999998</v>
      </c>
      <c r="O53">
        <v>2.8839999999999999</v>
      </c>
      <c r="P53">
        <v>3.8029999999999999</v>
      </c>
      <c r="Q53">
        <v>14.914</v>
      </c>
    </row>
    <row r="54" spans="1:18" x14ac:dyDescent="0.2">
      <c r="A54" t="s">
        <v>36</v>
      </c>
      <c r="B54" t="s">
        <v>76</v>
      </c>
      <c r="C54" t="s">
        <v>77</v>
      </c>
      <c r="E54">
        <v>0</v>
      </c>
      <c r="F54">
        <v>0</v>
      </c>
      <c r="G54">
        <v>0.34899999999999998</v>
      </c>
      <c r="H54">
        <v>4.851</v>
      </c>
      <c r="I54">
        <v>1.774</v>
      </c>
      <c r="N54">
        <v>3.9289999999999998</v>
      </c>
      <c r="O54">
        <v>3.2690000000000001</v>
      </c>
      <c r="P54">
        <v>2.9089999999999998</v>
      </c>
      <c r="Q54">
        <v>8.2349999999999994</v>
      </c>
    </row>
    <row r="55" spans="1:18" x14ac:dyDescent="0.2">
      <c r="A55" t="s">
        <v>36</v>
      </c>
      <c r="B55" t="s">
        <v>76</v>
      </c>
      <c r="C55" t="s">
        <v>77</v>
      </c>
      <c r="D55" t="s">
        <v>21</v>
      </c>
      <c r="E55">
        <v>0</v>
      </c>
      <c r="F55">
        <v>0</v>
      </c>
      <c r="G55">
        <v>0.58299999999999996</v>
      </c>
      <c r="H55">
        <v>4.8810000000000002</v>
      </c>
      <c r="I55">
        <v>1.1890000000000001</v>
      </c>
      <c r="J55">
        <v>2.3919999999999999</v>
      </c>
      <c r="K55">
        <v>1.506</v>
      </c>
      <c r="L55">
        <v>0.79100000000000004</v>
      </c>
      <c r="M55">
        <v>1.7250000000000001</v>
      </c>
      <c r="N55">
        <v>3.1339999999999999</v>
      </c>
      <c r="O55">
        <v>3.6640000000000001</v>
      </c>
      <c r="P55">
        <v>4.452</v>
      </c>
      <c r="Q55">
        <v>11.879</v>
      </c>
      <c r="R55">
        <v>834.19600000000003</v>
      </c>
    </row>
    <row r="56" spans="1:18" x14ac:dyDescent="0.2">
      <c r="A56" t="s">
        <v>36</v>
      </c>
      <c r="B56" t="s">
        <v>56</v>
      </c>
      <c r="C56" t="s">
        <v>38</v>
      </c>
      <c r="E56">
        <v>0</v>
      </c>
      <c r="F56">
        <v>0</v>
      </c>
      <c r="G56">
        <v>0</v>
      </c>
      <c r="H56">
        <v>4.9320000000000004</v>
      </c>
      <c r="I56">
        <v>1.4930000000000001</v>
      </c>
      <c r="J56">
        <v>2.96</v>
      </c>
      <c r="K56">
        <v>0.89800000000000002</v>
      </c>
      <c r="L56">
        <v>0.629</v>
      </c>
      <c r="M56">
        <v>2.238</v>
      </c>
      <c r="N56">
        <v>4.2969999999999997</v>
      </c>
      <c r="O56">
        <v>3.327</v>
      </c>
      <c r="P56">
        <v>3.17</v>
      </c>
      <c r="Q56">
        <v>12.349</v>
      </c>
    </row>
    <row r="57" spans="1:18" x14ac:dyDescent="0.2">
      <c r="A57" t="s">
        <v>36</v>
      </c>
      <c r="B57" t="s">
        <v>49</v>
      </c>
      <c r="C57" t="s">
        <v>50</v>
      </c>
      <c r="D57" t="s">
        <v>21</v>
      </c>
      <c r="E57">
        <v>0</v>
      </c>
      <c r="F57">
        <v>0</v>
      </c>
      <c r="G57">
        <v>0</v>
      </c>
      <c r="H57">
        <v>4.9800000000000004</v>
      </c>
      <c r="I57">
        <v>2.177</v>
      </c>
      <c r="J57">
        <v>3.722</v>
      </c>
      <c r="K57">
        <v>0.69699999999999995</v>
      </c>
      <c r="L57">
        <v>0.48199999999999998</v>
      </c>
      <c r="M57">
        <v>2.5249999999999999</v>
      </c>
      <c r="N57">
        <v>4.5990000000000002</v>
      </c>
      <c r="O57">
        <v>4.1239999999999997</v>
      </c>
      <c r="P57">
        <v>3.1230000000000002</v>
      </c>
      <c r="Q57">
        <v>20.695</v>
      </c>
    </row>
    <row r="58" spans="1:18" x14ac:dyDescent="0.2">
      <c r="A58" t="s">
        <v>36</v>
      </c>
      <c r="B58" t="s">
        <v>37</v>
      </c>
      <c r="C58" t="s">
        <v>38</v>
      </c>
      <c r="E58">
        <v>0</v>
      </c>
      <c r="F58">
        <v>0</v>
      </c>
      <c r="G58">
        <v>0</v>
      </c>
      <c r="H58">
        <v>5</v>
      </c>
      <c r="I58">
        <v>1.25</v>
      </c>
      <c r="J58">
        <v>2.6709999999999998</v>
      </c>
      <c r="K58">
        <v>1.18</v>
      </c>
      <c r="L58">
        <v>1.0189999999999999</v>
      </c>
      <c r="M58">
        <v>1.74</v>
      </c>
      <c r="N58">
        <v>3.6619999999999999</v>
      </c>
      <c r="O58">
        <v>3.5590000000000002</v>
      </c>
      <c r="P58">
        <v>4.5869999999999997</v>
      </c>
      <c r="Q58">
        <v>16.036999999999999</v>
      </c>
      <c r="R58">
        <v>781.36699999999996</v>
      </c>
    </row>
    <row r="59" spans="1:18" x14ac:dyDescent="0.2">
      <c r="A59" t="s">
        <v>36</v>
      </c>
      <c r="B59" t="s">
        <v>47</v>
      </c>
      <c r="C59" t="s">
        <v>46</v>
      </c>
      <c r="D59" t="s">
        <v>21</v>
      </c>
      <c r="E59">
        <v>0</v>
      </c>
      <c r="F59">
        <v>0</v>
      </c>
      <c r="G59">
        <v>0</v>
      </c>
      <c r="H59">
        <v>5.1239999999999997</v>
      </c>
      <c r="I59">
        <v>1.2569999999999999</v>
      </c>
      <c r="J59">
        <v>3.3929999999999998</v>
      </c>
      <c r="K59">
        <v>1.081</v>
      </c>
      <c r="L59">
        <v>1.0720000000000001</v>
      </c>
      <c r="M59">
        <v>1.387</v>
      </c>
      <c r="N59">
        <v>3.7989999999999999</v>
      </c>
      <c r="O59">
        <v>3.3069999999999999</v>
      </c>
      <c r="P59">
        <v>9.4019999999999992</v>
      </c>
      <c r="Q59">
        <v>19.684000000000001</v>
      </c>
      <c r="R59">
        <v>880.28499999999997</v>
      </c>
    </row>
    <row r="60" spans="1:18" x14ac:dyDescent="0.2">
      <c r="A60" t="s">
        <v>36</v>
      </c>
      <c r="B60" t="s">
        <v>73</v>
      </c>
      <c r="C60" t="s">
        <v>38</v>
      </c>
      <c r="D60" t="s">
        <v>24</v>
      </c>
      <c r="E60">
        <v>0</v>
      </c>
      <c r="F60">
        <v>0</v>
      </c>
      <c r="G60">
        <v>1</v>
      </c>
      <c r="H60">
        <v>5.1349999999999998</v>
      </c>
      <c r="I60">
        <v>1.6970000000000001</v>
      </c>
      <c r="J60">
        <v>4.1840000000000002</v>
      </c>
      <c r="K60">
        <v>1.1319999999999999</v>
      </c>
      <c r="L60">
        <v>0.62</v>
      </c>
      <c r="M60">
        <v>3.26</v>
      </c>
      <c r="N60">
        <v>3.5710000000000002</v>
      </c>
      <c r="O60">
        <v>4.1029999999999998</v>
      </c>
      <c r="P60">
        <v>5.6920000000000002</v>
      </c>
      <c r="Q60">
        <v>50.863</v>
      </c>
      <c r="R60">
        <v>652.10299999999995</v>
      </c>
    </row>
    <row r="61" spans="1:18" x14ac:dyDescent="0.2">
      <c r="A61" t="s">
        <v>36</v>
      </c>
      <c r="B61" t="s">
        <v>45</v>
      </c>
      <c r="C61" t="s">
        <v>46</v>
      </c>
      <c r="D61" t="s">
        <v>21</v>
      </c>
      <c r="E61">
        <v>0</v>
      </c>
      <c r="F61">
        <v>0</v>
      </c>
      <c r="G61">
        <v>0</v>
      </c>
      <c r="H61">
        <v>5.1769999999999996</v>
      </c>
      <c r="I61">
        <v>1.6259999999999999</v>
      </c>
      <c r="J61">
        <v>4.0190000000000001</v>
      </c>
      <c r="K61">
        <v>1.532</v>
      </c>
      <c r="L61">
        <v>1.339</v>
      </c>
      <c r="M61">
        <v>1.488</v>
      </c>
      <c r="N61">
        <v>4.702</v>
      </c>
      <c r="O61">
        <v>3.8580000000000001</v>
      </c>
      <c r="P61">
        <v>6.7830000000000004</v>
      </c>
      <c r="Q61">
        <v>33.136000000000003</v>
      </c>
    </row>
    <row r="62" spans="1:18" x14ac:dyDescent="0.2">
      <c r="A62" t="s">
        <v>36</v>
      </c>
      <c r="B62" t="s">
        <v>41</v>
      </c>
      <c r="C62" t="s">
        <v>42</v>
      </c>
      <c r="D62" t="s">
        <v>21</v>
      </c>
      <c r="E62">
        <v>0</v>
      </c>
      <c r="F62">
        <v>0</v>
      </c>
      <c r="G62">
        <v>0</v>
      </c>
      <c r="H62">
        <v>5.2009999999999996</v>
      </c>
      <c r="I62">
        <v>2.6779999999999999</v>
      </c>
      <c r="P62">
        <v>12.923</v>
      </c>
      <c r="Q62">
        <v>18.338000000000001</v>
      </c>
    </row>
    <row r="63" spans="1:18" x14ac:dyDescent="0.2">
      <c r="A63" t="s">
        <v>36</v>
      </c>
      <c r="B63" t="s">
        <v>63</v>
      </c>
      <c r="C63" t="s">
        <v>64</v>
      </c>
      <c r="D63" t="s">
        <v>24</v>
      </c>
      <c r="E63">
        <v>0</v>
      </c>
      <c r="F63">
        <v>0</v>
      </c>
      <c r="G63">
        <v>0</v>
      </c>
      <c r="H63">
        <v>5.2519999999999998</v>
      </c>
      <c r="I63">
        <v>2.3620000000000001</v>
      </c>
    </row>
    <row r="64" spans="1:18" x14ac:dyDescent="0.2">
      <c r="A64" t="s">
        <v>36</v>
      </c>
      <c r="B64" t="s">
        <v>67</v>
      </c>
      <c r="C64" t="s">
        <v>50</v>
      </c>
      <c r="D64" t="s">
        <v>21</v>
      </c>
      <c r="E64">
        <v>0</v>
      </c>
      <c r="F64">
        <v>0</v>
      </c>
      <c r="G64">
        <v>0.749</v>
      </c>
      <c r="H64">
        <v>5.2590000000000003</v>
      </c>
      <c r="I64">
        <v>1.782</v>
      </c>
    </row>
    <row r="65" spans="1:18" x14ac:dyDescent="0.2">
      <c r="A65" t="s">
        <v>36</v>
      </c>
      <c r="B65" t="s">
        <v>73</v>
      </c>
      <c r="C65" t="s">
        <v>38</v>
      </c>
      <c r="D65" t="s">
        <v>21</v>
      </c>
      <c r="E65">
        <v>0</v>
      </c>
      <c r="F65">
        <v>0</v>
      </c>
      <c r="G65">
        <v>0</v>
      </c>
      <c r="H65">
        <v>5.3140000000000001</v>
      </c>
      <c r="I65">
        <v>1.2010000000000001</v>
      </c>
      <c r="J65">
        <v>4.7789999999999999</v>
      </c>
      <c r="K65">
        <v>1.5549999999999999</v>
      </c>
      <c r="L65">
        <v>1.016</v>
      </c>
      <c r="M65">
        <v>4.2089999999999996</v>
      </c>
      <c r="N65">
        <v>2.75</v>
      </c>
      <c r="O65">
        <v>3.077</v>
      </c>
      <c r="P65">
        <v>4.952</v>
      </c>
      <c r="Q65">
        <v>71.221999999999994</v>
      </c>
    </row>
    <row r="66" spans="1:18" x14ac:dyDescent="0.2">
      <c r="A66" t="s">
        <v>36</v>
      </c>
      <c r="B66" t="s">
        <v>70</v>
      </c>
      <c r="C66" t="s">
        <v>52</v>
      </c>
      <c r="D66" t="s">
        <v>21</v>
      </c>
      <c r="E66">
        <v>0</v>
      </c>
      <c r="F66">
        <v>0</v>
      </c>
      <c r="G66">
        <v>0</v>
      </c>
      <c r="H66">
        <v>5.3170000000000002</v>
      </c>
      <c r="I66">
        <v>2.7909999999999999</v>
      </c>
      <c r="J66">
        <v>3.0459999999999998</v>
      </c>
      <c r="K66">
        <v>1.516</v>
      </c>
      <c r="L66">
        <v>1.2829999999999999</v>
      </c>
      <c r="M66">
        <v>1.8460000000000001</v>
      </c>
      <c r="N66">
        <v>3.4910000000000001</v>
      </c>
      <c r="O66">
        <v>2.6539999999999999</v>
      </c>
      <c r="P66">
        <v>4.1159999999999997</v>
      </c>
      <c r="Q66">
        <v>18.538</v>
      </c>
    </row>
    <row r="67" spans="1:18" x14ac:dyDescent="0.2">
      <c r="A67" t="s">
        <v>36</v>
      </c>
      <c r="B67" t="s">
        <v>68</v>
      </c>
      <c r="C67" t="s">
        <v>50</v>
      </c>
      <c r="D67" t="s">
        <v>21</v>
      </c>
      <c r="E67">
        <v>0</v>
      </c>
      <c r="F67">
        <v>0</v>
      </c>
      <c r="H67">
        <v>5.3470000000000004</v>
      </c>
      <c r="I67">
        <v>1.5469999999999999</v>
      </c>
      <c r="J67">
        <v>3.024</v>
      </c>
      <c r="K67">
        <v>1.0860000000000001</v>
      </c>
      <c r="L67">
        <v>1.085</v>
      </c>
      <c r="M67">
        <v>2.3769999999999998</v>
      </c>
      <c r="N67">
        <v>3.456</v>
      </c>
      <c r="O67">
        <v>2.6669999999999998</v>
      </c>
      <c r="P67">
        <v>2.222</v>
      </c>
      <c r="Q67">
        <v>19.102</v>
      </c>
    </row>
    <row r="68" spans="1:18" x14ac:dyDescent="0.2">
      <c r="A68" t="s">
        <v>36</v>
      </c>
      <c r="B68" t="s">
        <v>61</v>
      </c>
      <c r="C68" t="s">
        <v>60</v>
      </c>
      <c r="D68" t="s">
        <v>21</v>
      </c>
      <c r="E68">
        <v>0</v>
      </c>
      <c r="F68">
        <v>0</v>
      </c>
      <c r="G68">
        <v>0</v>
      </c>
      <c r="H68">
        <v>5.4320000000000004</v>
      </c>
      <c r="I68">
        <v>2.6629999999999998</v>
      </c>
      <c r="J68">
        <v>4.2549999999999999</v>
      </c>
      <c r="K68">
        <v>1.585</v>
      </c>
      <c r="L68">
        <v>1.2509999999999999</v>
      </c>
      <c r="M68">
        <v>2.6589999999999998</v>
      </c>
      <c r="N68">
        <v>5.5010000000000003</v>
      </c>
      <c r="O68">
        <v>4.7329999999999997</v>
      </c>
      <c r="P68" t="s">
        <v>62</v>
      </c>
      <c r="Q68">
        <v>11.282</v>
      </c>
    </row>
    <row r="69" spans="1:18" x14ac:dyDescent="0.2">
      <c r="A69" t="s">
        <v>36</v>
      </c>
      <c r="B69" t="s">
        <v>49</v>
      </c>
      <c r="C69" t="s">
        <v>50</v>
      </c>
      <c r="D69" t="s">
        <v>24</v>
      </c>
      <c r="E69">
        <v>0</v>
      </c>
      <c r="F69">
        <v>0</v>
      </c>
      <c r="G69">
        <v>0</v>
      </c>
      <c r="H69">
        <v>5.4550000000000001</v>
      </c>
      <c r="I69">
        <v>2.1739999999999999</v>
      </c>
      <c r="J69">
        <v>3.8220000000000001</v>
      </c>
      <c r="K69">
        <v>0.69399999999999995</v>
      </c>
      <c r="L69">
        <v>0.57299999999999995</v>
      </c>
      <c r="M69">
        <v>2.645</v>
      </c>
      <c r="N69">
        <v>4.75</v>
      </c>
      <c r="O69">
        <v>5.24</v>
      </c>
      <c r="P69">
        <v>2.4159999999999999</v>
      </c>
      <c r="Q69">
        <v>16.420999999999999</v>
      </c>
      <c r="R69">
        <v>713.46799999999996</v>
      </c>
    </row>
    <row r="70" spans="1:18" x14ac:dyDescent="0.2">
      <c r="A70" t="s">
        <v>36</v>
      </c>
      <c r="B70" t="s">
        <v>56</v>
      </c>
      <c r="C70" t="s">
        <v>38</v>
      </c>
      <c r="D70" t="s">
        <v>21</v>
      </c>
      <c r="E70">
        <v>0</v>
      </c>
      <c r="F70">
        <v>0</v>
      </c>
      <c r="G70">
        <v>0</v>
      </c>
      <c r="H70">
        <v>5.524</v>
      </c>
      <c r="I70">
        <v>2.5750000000000002</v>
      </c>
      <c r="J70">
        <v>3.411</v>
      </c>
      <c r="K70">
        <v>0.42299999999999999</v>
      </c>
      <c r="L70">
        <v>0.38600000000000001</v>
      </c>
      <c r="M70">
        <v>2.605</v>
      </c>
      <c r="N70">
        <v>2.6850000000000001</v>
      </c>
      <c r="O70">
        <v>2.1269999999999998</v>
      </c>
      <c r="P70">
        <v>5.625</v>
      </c>
      <c r="Q70">
        <v>13.702999999999999</v>
      </c>
      <c r="R70">
        <v>662.31899999999996</v>
      </c>
    </row>
    <row r="71" spans="1:18" x14ac:dyDescent="0.2">
      <c r="A71" t="s">
        <v>36</v>
      </c>
      <c r="B71" t="s">
        <v>47</v>
      </c>
      <c r="C71" t="s">
        <v>46</v>
      </c>
      <c r="D71" t="s">
        <v>21</v>
      </c>
      <c r="E71">
        <v>0</v>
      </c>
      <c r="F71">
        <v>0</v>
      </c>
      <c r="G71">
        <v>0</v>
      </c>
      <c r="H71">
        <v>5.5259999999999998</v>
      </c>
      <c r="I71">
        <v>1.3160000000000001</v>
      </c>
      <c r="J71">
        <v>3.0379999999999998</v>
      </c>
      <c r="K71">
        <v>1.587</v>
      </c>
      <c r="L71">
        <v>1.544</v>
      </c>
      <c r="M71">
        <v>1.9450000000000001</v>
      </c>
      <c r="N71">
        <v>4.0869999999999997</v>
      </c>
      <c r="O71">
        <v>3.5339999999999998</v>
      </c>
      <c r="P71">
        <v>6.1219999999999999</v>
      </c>
      <c r="Q71">
        <v>26.518999999999998</v>
      </c>
    </row>
    <row r="72" spans="1:18" x14ac:dyDescent="0.2">
      <c r="A72" t="s">
        <v>36</v>
      </c>
      <c r="B72" t="s">
        <v>74</v>
      </c>
      <c r="C72" t="s">
        <v>50</v>
      </c>
      <c r="D72" t="s">
        <v>21</v>
      </c>
      <c r="E72">
        <v>0</v>
      </c>
      <c r="F72">
        <v>0</v>
      </c>
      <c r="G72">
        <v>0.56899999999999995</v>
      </c>
      <c r="H72">
        <v>5.5659999999999998</v>
      </c>
      <c r="I72">
        <v>1.1839999999999999</v>
      </c>
      <c r="J72">
        <v>4.5030000000000001</v>
      </c>
      <c r="K72">
        <v>0.88500000000000001</v>
      </c>
      <c r="L72">
        <v>0.77700000000000002</v>
      </c>
      <c r="M72">
        <v>2.0579999999999998</v>
      </c>
      <c r="N72">
        <v>2.5920000000000001</v>
      </c>
      <c r="O72">
        <v>3.335</v>
      </c>
      <c r="P72">
        <v>4.532</v>
      </c>
      <c r="Q72">
        <v>18.622</v>
      </c>
      <c r="R72">
        <v>617.37099999999998</v>
      </c>
    </row>
    <row r="73" spans="1:18" x14ac:dyDescent="0.2">
      <c r="A73" t="s">
        <v>36</v>
      </c>
      <c r="B73" t="s">
        <v>59</v>
      </c>
      <c r="C73" t="s">
        <v>60</v>
      </c>
      <c r="D73" t="s">
        <v>21</v>
      </c>
      <c r="E73">
        <v>0</v>
      </c>
      <c r="F73">
        <v>0</v>
      </c>
      <c r="G73">
        <v>0</v>
      </c>
      <c r="H73">
        <v>5.585</v>
      </c>
      <c r="I73">
        <v>3.0939999999999999</v>
      </c>
      <c r="J73">
        <v>4.077</v>
      </c>
      <c r="K73">
        <v>1.2949999999999999</v>
      </c>
      <c r="L73">
        <v>1.0469999999999999</v>
      </c>
      <c r="M73">
        <v>2.2200000000000002</v>
      </c>
      <c r="N73">
        <v>3.7810000000000001</v>
      </c>
      <c r="O73">
        <v>4.6390000000000002</v>
      </c>
      <c r="P73">
        <v>6.68</v>
      </c>
      <c r="Q73">
        <v>8.9480000000000004</v>
      </c>
    </row>
    <row r="74" spans="1:18" x14ac:dyDescent="0.2">
      <c r="A74" t="s">
        <v>36</v>
      </c>
      <c r="B74" t="s">
        <v>57</v>
      </c>
      <c r="C74" t="s">
        <v>38</v>
      </c>
      <c r="D74" t="s">
        <v>39</v>
      </c>
      <c r="E74">
        <v>0</v>
      </c>
      <c r="F74">
        <v>0</v>
      </c>
      <c r="G74">
        <v>0</v>
      </c>
      <c r="H74">
        <v>5.5949999999999998</v>
      </c>
      <c r="I74">
        <v>1.5229999999999999</v>
      </c>
      <c r="J74">
        <v>3.6030000000000002</v>
      </c>
      <c r="K74">
        <v>1.907</v>
      </c>
      <c r="L74">
        <v>1.905</v>
      </c>
      <c r="M74">
        <v>1.454</v>
      </c>
      <c r="N74">
        <v>3.7080000000000002</v>
      </c>
      <c r="O74">
        <v>3.4489999999999998</v>
      </c>
      <c r="P74">
        <v>2.1989999999999998</v>
      </c>
      <c r="Q74">
        <v>26.12</v>
      </c>
      <c r="R74">
        <v>792.803</v>
      </c>
    </row>
    <row r="75" spans="1:18" x14ac:dyDescent="0.2">
      <c r="A75" t="s">
        <v>36</v>
      </c>
      <c r="B75" t="s">
        <v>72</v>
      </c>
      <c r="C75" t="s">
        <v>50</v>
      </c>
      <c r="D75" t="s">
        <v>24</v>
      </c>
      <c r="E75">
        <v>0</v>
      </c>
      <c r="F75">
        <v>0</v>
      </c>
      <c r="G75">
        <v>0</v>
      </c>
      <c r="H75">
        <v>5.5990000000000002</v>
      </c>
      <c r="I75">
        <v>2.0219999999999998</v>
      </c>
      <c r="J75">
        <v>4.0030000000000001</v>
      </c>
      <c r="K75">
        <v>1.2769999999999999</v>
      </c>
      <c r="L75">
        <v>1.038</v>
      </c>
      <c r="M75">
        <v>1.6160000000000001</v>
      </c>
      <c r="N75">
        <v>4.8369999999999997</v>
      </c>
      <c r="O75">
        <v>2.855</v>
      </c>
      <c r="P75">
        <v>5.3330000000000002</v>
      </c>
      <c r="Q75">
        <v>23.222999999999999</v>
      </c>
    </row>
    <row r="76" spans="1:18" x14ac:dyDescent="0.2">
      <c r="A76" t="s">
        <v>36</v>
      </c>
      <c r="B76" t="s">
        <v>48</v>
      </c>
      <c r="C76" t="s">
        <v>46</v>
      </c>
      <c r="D76" t="s">
        <v>21</v>
      </c>
      <c r="E76">
        <v>0</v>
      </c>
      <c r="F76">
        <v>0</v>
      </c>
      <c r="G76">
        <v>0</v>
      </c>
      <c r="H76">
        <v>5.6310000000000002</v>
      </c>
      <c r="I76">
        <v>1.4730000000000001</v>
      </c>
      <c r="J76">
        <v>4.5999999999999996</v>
      </c>
      <c r="K76">
        <v>1.6060000000000001</v>
      </c>
      <c r="L76">
        <v>1.2270000000000001</v>
      </c>
      <c r="M76">
        <v>2.109</v>
      </c>
      <c r="N76">
        <v>3.6040000000000001</v>
      </c>
      <c r="O76">
        <v>3.871</v>
      </c>
      <c r="P76">
        <v>8.1430000000000007</v>
      </c>
      <c r="Q76">
        <v>61.502000000000002</v>
      </c>
      <c r="R76">
        <v>665.44399999999996</v>
      </c>
    </row>
    <row r="77" spans="1:18" x14ac:dyDescent="0.2">
      <c r="A77" t="s">
        <v>36</v>
      </c>
      <c r="B77" t="s">
        <v>68</v>
      </c>
      <c r="C77" t="s">
        <v>50</v>
      </c>
      <c r="D77" t="s">
        <v>21</v>
      </c>
      <c r="E77">
        <v>0</v>
      </c>
      <c r="F77">
        <v>0</v>
      </c>
      <c r="H77">
        <v>5.6420000000000003</v>
      </c>
      <c r="I77">
        <v>1.256</v>
      </c>
      <c r="J77">
        <v>3.7490000000000001</v>
      </c>
      <c r="K77">
        <v>0.92</v>
      </c>
      <c r="L77">
        <v>0.65400000000000003</v>
      </c>
      <c r="M77">
        <v>2.8050000000000002</v>
      </c>
      <c r="N77">
        <v>3.6920000000000002</v>
      </c>
      <c r="O77">
        <v>2.85</v>
      </c>
      <c r="P77">
        <v>2.2989999999999999</v>
      </c>
      <c r="Q77">
        <v>12.202</v>
      </c>
    </row>
    <row r="78" spans="1:18" x14ac:dyDescent="0.2">
      <c r="A78" t="s">
        <v>36</v>
      </c>
      <c r="B78" t="s">
        <v>73</v>
      </c>
      <c r="C78" t="s">
        <v>38</v>
      </c>
      <c r="D78" t="s">
        <v>21</v>
      </c>
      <c r="E78">
        <v>0</v>
      </c>
      <c r="F78">
        <v>0</v>
      </c>
      <c r="G78">
        <v>0</v>
      </c>
      <c r="H78">
        <v>5.6749999999999998</v>
      </c>
      <c r="I78">
        <v>1.619</v>
      </c>
      <c r="J78">
        <v>4.0570000000000004</v>
      </c>
      <c r="K78">
        <v>1.5489999999999999</v>
      </c>
      <c r="L78">
        <v>0.28899999999999998</v>
      </c>
      <c r="M78">
        <v>2.9409999999999998</v>
      </c>
      <c r="N78">
        <v>4.1539999999999999</v>
      </c>
      <c r="O78">
        <v>5.125</v>
      </c>
      <c r="P78">
        <v>3.15</v>
      </c>
      <c r="Q78">
        <v>69.971000000000004</v>
      </c>
      <c r="R78">
        <v>753.43100000000004</v>
      </c>
    </row>
    <row r="79" spans="1:18" x14ac:dyDescent="0.2">
      <c r="A79" t="s">
        <v>36</v>
      </c>
      <c r="B79" t="s">
        <v>37</v>
      </c>
      <c r="C79" t="s">
        <v>38</v>
      </c>
      <c r="D79" t="s">
        <v>39</v>
      </c>
      <c r="E79">
        <v>0</v>
      </c>
      <c r="F79">
        <v>0</v>
      </c>
      <c r="G79">
        <v>0</v>
      </c>
      <c r="H79">
        <v>5.7770000000000001</v>
      </c>
      <c r="I79">
        <v>1.194</v>
      </c>
      <c r="J79">
        <v>3.0169999999999999</v>
      </c>
      <c r="K79">
        <v>1.0089999999999999</v>
      </c>
      <c r="L79">
        <v>0.94899999999999995</v>
      </c>
      <c r="M79">
        <v>1.6970000000000001</v>
      </c>
      <c r="N79">
        <v>3.375</v>
      </c>
      <c r="O79">
        <v>3.63</v>
      </c>
      <c r="P79">
        <v>8.7750000000000004</v>
      </c>
      <c r="Q79">
        <v>26.954999999999998</v>
      </c>
    </row>
    <row r="80" spans="1:18" x14ac:dyDescent="0.2">
      <c r="A80" t="s">
        <v>36</v>
      </c>
      <c r="B80" t="s">
        <v>73</v>
      </c>
      <c r="C80" t="s">
        <v>38</v>
      </c>
      <c r="E80">
        <v>0</v>
      </c>
      <c r="F80">
        <v>0</v>
      </c>
      <c r="G80">
        <v>0.92900000000000005</v>
      </c>
      <c r="H80">
        <v>5.8819999999999997</v>
      </c>
      <c r="I80">
        <v>1.601</v>
      </c>
      <c r="J80">
        <v>4.8280000000000003</v>
      </c>
      <c r="K80">
        <v>0.63200000000000001</v>
      </c>
      <c r="L80">
        <v>0.53500000000000003</v>
      </c>
      <c r="M80">
        <v>3.5960000000000001</v>
      </c>
      <c r="N80">
        <v>3.9</v>
      </c>
      <c r="O80">
        <v>3.9660000000000002</v>
      </c>
      <c r="P80">
        <v>3.9289999999999998</v>
      </c>
      <c r="Q80">
        <v>36.975000000000001</v>
      </c>
    </row>
    <row r="81" spans="1:18" x14ac:dyDescent="0.2">
      <c r="A81" t="s">
        <v>36</v>
      </c>
      <c r="B81" t="s">
        <v>58</v>
      </c>
      <c r="C81" t="s">
        <v>38</v>
      </c>
      <c r="D81" t="s">
        <v>21</v>
      </c>
      <c r="E81">
        <v>0</v>
      </c>
      <c r="F81">
        <v>0</v>
      </c>
      <c r="G81">
        <v>0</v>
      </c>
      <c r="H81">
        <v>5.8940000000000001</v>
      </c>
      <c r="I81">
        <v>3.6829999999999998</v>
      </c>
      <c r="J81">
        <v>4.8840000000000003</v>
      </c>
      <c r="K81">
        <v>1.4139999999999999</v>
      </c>
      <c r="L81">
        <v>1.1759999999999999</v>
      </c>
      <c r="M81">
        <v>2.5310000000000001</v>
      </c>
      <c r="N81">
        <v>4.1109999999999998</v>
      </c>
      <c r="O81">
        <v>3.9990000000000001</v>
      </c>
      <c r="P81">
        <v>6.633</v>
      </c>
      <c r="Q81">
        <v>10.686999999999999</v>
      </c>
    </row>
    <row r="82" spans="1:18" x14ac:dyDescent="0.2">
      <c r="A82" t="s">
        <v>36</v>
      </c>
      <c r="B82" t="s">
        <v>55</v>
      </c>
      <c r="C82" t="s">
        <v>54</v>
      </c>
      <c r="E82">
        <v>0</v>
      </c>
      <c r="F82">
        <v>0</v>
      </c>
      <c r="G82">
        <v>0</v>
      </c>
      <c r="H82">
        <v>5.944</v>
      </c>
      <c r="I82">
        <v>1.613</v>
      </c>
      <c r="J82">
        <v>4.7300000000000004</v>
      </c>
      <c r="K82">
        <v>1.611</v>
      </c>
      <c r="L82">
        <v>1.399</v>
      </c>
      <c r="M82">
        <v>2.806</v>
      </c>
      <c r="N82">
        <v>2.9449999999999998</v>
      </c>
      <c r="O82">
        <v>4.7119999999999997</v>
      </c>
      <c r="P82">
        <v>2.5110000000000001</v>
      </c>
      <c r="Q82">
        <v>32.643000000000001</v>
      </c>
    </row>
    <row r="83" spans="1:18" x14ac:dyDescent="0.2">
      <c r="A83" t="s">
        <v>36</v>
      </c>
      <c r="B83" t="s">
        <v>74</v>
      </c>
      <c r="C83" t="s">
        <v>50</v>
      </c>
      <c r="D83" t="s">
        <v>21</v>
      </c>
      <c r="E83">
        <v>0</v>
      </c>
      <c r="F83">
        <v>0</v>
      </c>
      <c r="G83">
        <v>0.63100000000000001</v>
      </c>
      <c r="H83">
        <v>6.0229999999999997</v>
      </c>
      <c r="I83">
        <v>1.339</v>
      </c>
      <c r="J83">
        <v>3.6150000000000002</v>
      </c>
      <c r="K83">
        <v>1.0609999999999999</v>
      </c>
      <c r="L83">
        <v>0.80800000000000005</v>
      </c>
      <c r="M83">
        <v>2.0019999999999998</v>
      </c>
      <c r="N83">
        <v>4.3280000000000003</v>
      </c>
      <c r="P83">
        <v>7.141</v>
      </c>
      <c r="Q83">
        <v>21.399000000000001</v>
      </c>
    </row>
    <row r="84" spans="1:18" x14ac:dyDescent="0.2">
      <c r="A84" t="s">
        <v>36</v>
      </c>
      <c r="B84" t="s">
        <v>40</v>
      </c>
      <c r="C84" t="s">
        <v>38</v>
      </c>
      <c r="D84" t="s">
        <v>25</v>
      </c>
      <c r="E84">
        <v>0</v>
      </c>
      <c r="F84">
        <v>0</v>
      </c>
      <c r="G84">
        <v>0</v>
      </c>
      <c r="H84">
        <v>6.0350000000000001</v>
      </c>
      <c r="I84">
        <v>2.7789999999999999</v>
      </c>
      <c r="J84">
        <v>4.1890000000000001</v>
      </c>
      <c r="K84">
        <v>1.5920000000000001</v>
      </c>
      <c r="L84">
        <v>1.351</v>
      </c>
      <c r="M84">
        <v>1.91</v>
      </c>
      <c r="N84">
        <v>3.7</v>
      </c>
      <c r="O84">
        <v>5.5679999999999996</v>
      </c>
      <c r="P84">
        <v>5.8570000000000002</v>
      </c>
      <c r="Q84">
        <v>23.795000000000002</v>
      </c>
      <c r="R84">
        <v>745.75599999999997</v>
      </c>
    </row>
    <row r="85" spans="1:18" x14ac:dyDescent="0.2">
      <c r="A85" t="s">
        <v>36</v>
      </c>
      <c r="B85" t="s">
        <v>73</v>
      </c>
      <c r="C85" t="s">
        <v>38</v>
      </c>
      <c r="D85" t="s">
        <v>21</v>
      </c>
      <c r="E85">
        <v>0</v>
      </c>
      <c r="F85">
        <v>0</v>
      </c>
      <c r="G85">
        <v>1.0880000000000001</v>
      </c>
      <c r="H85">
        <v>6.1139999999999999</v>
      </c>
      <c r="I85">
        <v>1.258</v>
      </c>
      <c r="J85">
        <v>4.5960000000000001</v>
      </c>
      <c r="K85">
        <v>1.327</v>
      </c>
      <c r="L85">
        <v>0.81799999999999995</v>
      </c>
      <c r="M85">
        <v>3.524</v>
      </c>
      <c r="N85">
        <v>3.86</v>
      </c>
      <c r="O85">
        <v>3.7</v>
      </c>
      <c r="P85">
        <v>7.3159999999999998</v>
      </c>
      <c r="Q85">
        <v>24.658999999999999</v>
      </c>
      <c r="R85">
        <v>322.12</v>
      </c>
    </row>
    <row r="86" spans="1:18" x14ac:dyDescent="0.2">
      <c r="A86" t="s">
        <v>36</v>
      </c>
      <c r="B86" t="s">
        <v>45</v>
      </c>
      <c r="C86" t="s">
        <v>46</v>
      </c>
      <c r="D86" t="s">
        <v>21</v>
      </c>
      <c r="E86">
        <v>0</v>
      </c>
      <c r="F86">
        <v>0</v>
      </c>
      <c r="G86">
        <v>0</v>
      </c>
      <c r="H86">
        <v>6.149</v>
      </c>
      <c r="I86">
        <v>1.6890000000000001</v>
      </c>
      <c r="J86">
        <v>3.9049999999999998</v>
      </c>
      <c r="K86">
        <v>0.99199999999999999</v>
      </c>
      <c r="L86">
        <v>0.92800000000000005</v>
      </c>
      <c r="M86">
        <v>1.841</v>
      </c>
      <c r="N86">
        <v>4.3620000000000001</v>
      </c>
      <c r="O86">
        <v>3.1829999999999998</v>
      </c>
      <c r="P86">
        <v>3.85</v>
      </c>
      <c r="Q86">
        <v>36.018999999999998</v>
      </c>
      <c r="R86">
        <v>732.04200000000003</v>
      </c>
    </row>
    <row r="87" spans="1:18" x14ac:dyDescent="0.2">
      <c r="A87" t="s">
        <v>36</v>
      </c>
      <c r="B87" t="s">
        <v>45</v>
      </c>
      <c r="C87" t="s">
        <v>46</v>
      </c>
      <c r="D87" t="s">
        <v>21</v>
      </c>
      <c r="E87">
        <v>0</v>
      </c>
      <c r="F87">
        <v>0</v>
      </c>
      <c r="G87">
        <v>0</v>
      </c>
      <c r="H87">
        <v>6.1920000000000002</v>
      </c>
      <c r="I87">
        <v>1.571</v>
      </c>
      <c r="J87">
        <v>3.6640000000000001</v>
      </c>
      <c r="K87">
        <v>1.361</v>
      </c>
      <c r="L87">
        <v>1.036</v>
      </c>
      <c r="M87">
        <v>1.5</v>
      </c>
      <c r="N87">
        <v>4.2519999999999998</v>
      </c>
      <c r="O87">
        <v>4.4740000000000002</v>
      </c>
      <c r="P87">
        <v>5.0410000000000004</v>
      </c>
      <c r="Q87">
        <v>18.446000000000002</v>
      </c>
      <c r="R87">
        <v>823.12199999999996</v>
      </c>
    </row>
    <row r="88" spans="1:18" x14ac:dyDescent="0.2">
      <c r="A88" t="s">
        <v>36</v>
      </c>
      <c r="B88" t="s">
        <v>49</v>
      </c>
      <c r="C88" t="s">
        <v>50</v>
      </c>
      <c r="D88" t="s">
        <v>24</v>
      </c>
      <c r="E88">
        <v>0</v>
      </c>
      <c r="F88">
        <v>0</v>
      </c>
      <c r="G88">
        <v>0</v>
      </c>
      <c r="H88">
        <v>6.2229999999999999</v>
      </c>
      <c r="I88">
        <v>2.649</v>
      </c>
      <c r="J88">
        <v>4.3929999999999998</v>
      </c>
      <c r="K88">
        <v>1.2709999999999999</v>
      </c>
      <c r="L88">
        <v>1.085</v>
      </c>
      <c r="M88">
        <v>2.778</v>
      </c>
      <c r="N88">
        <v>4.6079999999999997</v>
      </c>
      <c r="O88">
        <v>4.6970000000000001</v>
      </c>
      <c r="P88">
        <v>3.218</v>
      </c>
      <c r="Q88">
        <v>24.195</v>
      </c>
    </row>
    <row r="89" spans="1:18" x14ac:dyDescent="0.2">
      <c r="A89" t="s">
        <v>36</v>
      </c>
      <c r="B89" t="s">
        <v>69</v>
      </c>
      <c r="C89" t="s">
        <v>52</v>
      </c>
      <c r="D89" t="s">
        <v>21</v>
      </c>
      <c r="E89">
        <v>0</v>
      </c>
      <c r="F89">
        <v>0</v>
      </c>
      <c r="G89">
        <v>0</v>
      </c>
      <c r="H89">
        <v>6.2880000000000003</v>
      </c>
      <c r="I89">
        <v>1.4670000000000001</v>
      </c>
      <c r="N89">
        <v>4.6120000000000001</v>
      </c>
      <c r="O89">
        <v>4.6180000000000003</v>
      </c>
      <c r="P89">
        <v>3.7229999999999999</v>
      </c>
      <c r="Q89">
        <v>12.891999999999999</v>
      </c>
    </row>
    <row r="90" spans="1:18" x14ac:dyDescent="0.2">
      <c r="A90" t="s">
        <v>36</v>
      </c>
      <c r="B90" t="s">
        <v>69</v>
      </c>
      <c r="C90" t="s">
        <v>52</v>
      </c>
      <c r="D90" t="s">
        <v>21</v>
      </c>
      <c r="E90">
        <v>0</v>
      </c>
      <c r="F90">
        <v>0</v>
      </c>
      <c r="G90">
        <v>0</v>
      </c>
      <c r="H90">
        <v>6.2889999999999997</v>
      </c>
      <c r="I90">
        <v>1.919</v>
      </c>
      <c r="J90">
        <v>4.306</v>
      </c>
      <c r="K90">
        <v>1.889</v>
      </c>
      <c r="L90">
        <v>1.847</v>
      </c>
      <c r="M90">
        <v>2.6240000000000001</v>
      </c>
      <c r="N90">
        <v>3.9119999999999999</v>
      </c>
      <c r="O90">
        <v>3.8759999999999999</v>
      </c>
      <c r="P90">
        <v>3.2480000000000002</v>
      </c>
      <c r="Q90">
        <v>13.007</v>
      </c>
    </row>
    <row r="91" spans="1:18" x14ac:dyDescent="0.2">
      <c r="A91" t="s">
        <v>36</v>
      </c>
      <c r="B91" t="s">
        <v>41</v>
      </c>
      <c r="C91" t="s">
        <v>42</v>
      </c>
      <c r="D91" t="s">
        <v>21</v>
      </c>
      <c r="E91">
        <v>0</v>
      </c>
      <c r="F91">
        <v>0</v>
      </c>
      <c r="G91">
        <v>0</v>
      </c>
      <c r="H91">
        <v>6.2919999999999998</v>
      </c>
      <c r="I91">
        <v>3.339</v>
      </c>
      <c r="P91">
        <v>5.7670000000000003</v>
      </c>
      <c r="Q91">
        <v>13.625999999999999</v>
      </c>
      <c r="R91">
        <v>754.33699999999999</v>
      </c>
    </row>
    <row r="92" spans="1:18" x14ac:dyDescent="0.2">
      <c r="A92" t="s">
        <v>36</v>
      </c>
      <c r="B92" t="s">
        <v>70</v>
      </c>
      <c r="C92" t="s">
        <v>52</v>
      </c>
      <c r="D92" t="s">
        <v>21</v>
      </c>
      <c r="E92">
        <v>0</v>
      </c>
      <c r="F92">
        <v>0</v>
      </c>
      <c r="G92">
        <v>0</v>
      </c>
      <c r="H92">
        <v>6.3490000000000002</v>
      </c>
      <c r="I92">
        <v>2.504</v>
      </c>
      <c r="J92">
        <v>3.2469999999999999</v>
      </c>
      <c r="M92">
        <v>2.3130000000000002</v>
      </c>
      <c r="N92">
        <v>2.996</v>
      </c>
      <c r="O92">
        <v>2.6240000000000001</v>
      </c>
      <c r="P92">
        <v>5.5460000000000003</v>
      </c>
      <c r="Q92">
        <v>17.846</v>
      </c>
    </row>
    <row r="93" spans="1:18" x14ac:dyDescent="0.2">
      <c r="A93" t="s">
        <v>36</v>
      </c>
      <c r="B93" t="s">
        <v>43</v>
      </c>
      <c r="C93" t="s">
        <v>44</v>
      </c>
      <c r="E93">
        <v>0</v>
      </c>
      <c r="F93">
        <v>0</v>
      </c>
      <c r="G93">
        <v>0</v>
      </c>
      <c r="H93">
        <v>6.3959999999999999</v>
      </c>
      <c r="I93">
        <v>2.8149999999999999</v>
      </c>
      <c r="J93">
        <v>3.637</v>
      </c>
      <c r="K93">
        <v>1.341</v>
      </c>
      <c r="L93">
        <v>1.1879999999999999</v>
      </c>
      <c r="M93">
        <v>1.7969999999999999</v>
      </c>
      <c r="N93">
        <v>4.734</v>
      </c>
      <c r="O93">
        <v>3.19</v>
      </c>
      <c r="P93">
        <v>2.3479999999999999</v>
      </c>
      <c r="Q93">
        <v>10.004</v>
      </c>
      <c r="R93">
        <v>590.68600000000004</v>
      </c>
    </row>
    <row r="94" spans="1:18" x14ac:dyDescent="0.2">
      <c r="A94" t="s">
        <v>36</v>
      </c>
      <c r="B94" t="s">
        <v>65</v>
      </c>
      <c r="C94" t="s">
        <v>50</v>
      </c>
      <c r="D94" t="s">
        <v>24</v>
      </c>
      <c r="E94">
        <v>0</v>
      </c>
      <c r="F94">
        <v>0</v>
      </c>
      <c r="G94">
        <v>0</v>
      </c>
      <c r="H94">
        <v>6.593</v>
      </c>
      <c r="I94">
        <v>2.2210000000000001</v>
      </c>
      <c r="J94">
        <v>2.7930000000000001</v>
      </c>
      <c r="K94">
        <v>0.84</v>
      </c>
      <c r="L94">
        <v>0.80400000000000005</v>
      </c>
      <c r="M94">
        <v>2.4329999999999998</v>
      </c>
      <c r="N94">
        <v>3.7709999999999999</v>
      </c>
      <c r="O94">
        <v>4.157</v>
      </c>
      <c r="P94">
        <v>2.6070000000000002</v>
      </c>
      <c r="Q94">
        <v>13.64</v>
      </c>
      <c r="R94">
        <v>861.70899999999995</v>
      </c>
    </row>
    <row r="95" spans="1:18" x14ac:dyDescent="0.2">
      <c r="A95" t="s">
        <v>36</v>
      </c>
      <c r="B95" t="s">
        <v>57</v>
      </c>
      <c r="C95" t="s">
        <v>38</v>
      </c>
      <c r="D95" t="s">
        <v>39</v>
      </c>
      <c r="E95">
        <v>0</v>
      </c>
      <c r="F95">
        <v>0</v>
      </c>
      <c r="G95">
        <v>0</v>
      </c>
      <c r="H95">
        <v>6.6230000000000002</v>
      </c>
      <c r="I95">
        <v>2.4950000000000001</v>
      </c>
      <c r="J95">
        <v>3.3420000000000001</v>
      </c>
      <c r="K95">
        <v>1.179</v>
      </c>
      <c r="L95">
        <v>0.95399999999999996</v>
      </c>
      <c r="M95">
        <v>2.4900000000000002</v>
      </c>
      <c r="N95">
        <v>4.032</v>
      </c>
      <c r="P95">
        <v>4.2030000000000003</v>
      </c>
      <c r="Q95">
        <v>15.401999999999999</v>
      </c>
    </row>
    <row r="96" spans="1:18" x14ac:dyDescent="0.2">
      <c r="A96" t="s">
        <v>36</v>
      </c>
      <c r="B96" t="s">
        <v>75</v>
      </c>
      <c r="C96" t="s">
        <v>50</v>
      </c>
      <c r="D96" t="s">
        <v>21</v>
      </c>
      <c r="E96">
        <v>0</v>
      </c>
      <c r="F96">
        <v>0</v>
      </c>
      <c r="G96">
        <v>1.0129999999999999</v>
      </c>
      <c r="H96">
        <v>6.6959999999999997</v>
      </c>
      <c r="I96">
        <v>2.5419999999999998</v>
      </c>
      <c r="J96">
        <v>3.984</v>
      </c>
      <c r="K96">
        <v>0.99099999999999999</v>
      </c>
      <c r="L96">
        <v>0.85399999999999998</v>
      </c>
      <c r="M96">
        <v>3.085</v>
      </c>
      <c r="N96">
        <v>3.738</v>
      </c>
      <c r="O96">
        <v>4.1159999999999997</v>
      </c>
      <c r="P96">
        <v>4.819</v>
      </c>
      <c r="Q96">
        <v>12.592000000000001</v>
      </c>
    </row>
    <row r="97" spans="1:18" x14ac:dyDescent="0.2">
      <c r="A97" t="s">
        <v>36</v>
      </c>
      <c r="B97" t="s">
        <v>59</v>
      </c>
      <c r="C97" t="s">
        <v>60</v>
      </c>
      <c r="D97" t="s">
        <v>21</v>
      </c>
      <c r="E97">
        <v>0</v>
      </c>
      <c r="F97">
        <v>0</v>
      </c>
      <c r="G97">
        <v>0</v>
      </c>
      <c r="H97">
        <v>6.8769999999999998</v>
      </c>
      <c r="I97">
        <v>3.18</v>
      </c>
      <c r="J97">
        <v>4.5990000000000002</v>
      </c>
      <c r="K97">
        <v>2.3090000000000002</v>
      </c>
      <c r="L97">
        <v>1.663</v>
      </c>
      <c r="M97">
        <v>1.492</v>
      </c>
      <c r="N97">
        <v>3.7959999999999998</v>
      </c>
      <c r="O97">
        <v>2.391</v>
      </c>
      <c r="P97">
        <v>5.4109999999999996</v>
      </c>
      <c r="Q97">
        <v>7.7619999999999996</v>
      </c>
    </row>
    <row r="98" spans="1:18" x14ac:dyDescent="0.2">
      <c r="A98" t="s">
        <v>36</v>
      </c>
      <c r="B98" t="s">
        <v>59</v>
      </c>
      <c r="C98" t="s">
        <v>60</v>
      </c>
      <c r="D98" t="s">
        <v>21</v>
      </c>
      <c r="E98">
        <v>0</v>
      </c>
      <c r="F98">
        <v>0</v>
      </c>
      <c r="G98">
        <v>0</v>
      </c>
      <c r="H98">
        <v>6.93</v>
      </c>
      <c r="I98">
        <v>2.923</v>
      </c>
      <c r="J98">
        <v>3.7719999999999998</v>
      </c>
      <c r="K98">
        <v>1.583</v>
      </c>
      <c r="L98">
        <v>1.4259999999999999</v>
      </c>
      <c r="M98">
        <v>1.522</v>
      </c>
      <c r="N98">
        <v>3.3820000000000001</v>
      </c>
      <c r="P98">
        <v>4.6139999999999999</v>
      </c>
      <c r="Q98">
        <v>9.5039999999999996</v>
      </c>
      <c r="R98">
        <v>586.10400000000004</v>
      </c>
    </row>
    <row r="99" spans="1:18" x14ac:dyDescent="0.2">
      <c r="A99" t="s">
        <v>36</v>
      </c>
      <c r="B99" t="s">
        <v>55</v>
      </c>
      <c r="C99" t="s">
        <v>54</v>
      </c>
      <c r="E99">
        <v>0</v>
      </c>
      <c r="F99">
        <v>0</v>
      </c>
      <c r="G99">
        <v>0</v>
      </c>
      <c r="H99">
        <v>7.2510000000000003</v>
      </c>
      <c r="I99">
        <v>1.913</v>
      </c>
      <c r="Q99">
        <v>12.417</v>
      </c>
    </row>
    <row r="100" spans="1:18" x14ac:dyDescent="0.2">
      <c r="A100" t="s">
        <v>36</v>
      </c>
      <c r="B100" t="s">
        <v>55</v>
      </c>
      <c r="C100" t="s">
        <v>54</v>
      </c>
      <c r="D100" t="s">
        <v>24</v>
      </c>
      <c r="E100">
        <v>0</v>
      </c>
      <c r="F100">
        <v>0</v>
      </c>
      <c r="G100">
        <v>0</v>
      </c>
      <c r="H100">
        <v>7.423</v>
      </c>
      <c r="I100">
        <v>2.5110000000000001</v>
      </c>
      <c r="J100">
        <v>4.3499999999999996</v>
      </c>
      <c r="K100">
        <v>1.7789999999999999</v>
      </c>
      <c r="L100">
        <v>1.7450000000000001</v>
      </c>
      <c r="M100">
        <v>2.6749999999999998</v>
      </c>
      <c r="N100">
        <v>3.2160000000000002</v>
      </c>
      <c r="O100">
        <v>3.29</v>
      </c>
      <c r="P100">
        <v>2.6640000000000001</v>
      </c>
      <c r="Q100">
        <v>18.071999999999999</v>
      </c>
      <c r="R100">
        <v>709.48199999999997</v>
      </c>
    </row>
    <row r="101" spans="1:18" x14ac:dyDescent="0.2">
      <c r="A101" t="s">
        <v>36</v>
      </c>
      <c r="B101" t="s">
        <v>65</v>
      </c>
      <c r="C101" t="s">
        <v>50</v>
      </c>
      <c r="D101" t="s">
        <v>21</v>
      </c>
      <c r="E101">
        <v>0</v>
      </c>
      <c r="F101">
        <v>0</v>
      </c>
      <c r="G101">
        <v>0</v>
      </c>
      <c r="H101">
        <v>7.4390000000000001</v>
      </c>
      <c r="I101">
        <v>3.4060000000000001</v>
      </c>
      <c r="J101">
        <v>3.4870000000000001</v>
      </c>
      <c r="K101">
        <v>1.0549999999999999</v>
      </c>
      <c r="L101">
        <v>0.82099999999999995</v>
      </c>
      <c r="M101">
        <v>2.1589999999999998</v>
      </c>
      <c r="N101">
        <v>4.069</v>
      </c>
      <c r="O101">
        <v>3.4689999999999999</v>
      </c>
      <c r="P101">
        <v>2.3660000000000001</v>
      </c>
      <c r="Q101">
        <v>23.082999999999998</v>
      </c>
      <c r="R101">
        <v>401.69799999999998</v>
      </c>
    </row>
    <row r="102" spans="1:18" x14ac:dyDescent="0.2">
      <c r="A102" t="s">
        <v>36</v>
      </c>
      <c r="B102" t="s">
        <v>37</v>
      </c>
      <c r="C102" t="s">
        <v>38</v>
      </c>
      <c r="D102" t="s">
        <v>25</v>
      </c>
      <c r="E102">
        <v>0</v>
      </c>
      <c r="F102">
        <v>0</v>
      </c>
      <c r="G102">
        <v>0</v>
      </c>
      <c r="H102">
        <v>7.4989999999999997</v>
      </c>
      <c r="I102">
        <v>1.675</v>
      </c>
      <c r="J102">
        <v>3.03</v>
      </c>
      <c r="K102">
        <v>1.0640000000000001</v>
      </c>
      <c r="L102">
        <v>0.97199999999999998</v>
      </c>
      <c r="M102">
        <v>1.99</v>
      </c>
      <c r="N102">
        <v>2.5819999999999999</v>
      </c>
      <c r="O102">
        <v>2.9129999999999998</v>
      </c>
      <c r="P102">
        <v>5.7</v>
      </c>
      <c r="Q102">
        <v>56.378999999999998</v>
      </c>
    </row>
    <row r="103" spans="1:18" x14ac:dyDescent="0.2">
      <c r="A103" t="s">
        <v>36</v>
      </c>
      <c r="B103" t="s">
        <v>43</v>
      </c>
      <c r="C103" t="s">
        <v>44</v>
      </c>
      <c r="D103" t="s">
        <v>21</v>
      </c>
      <c r="E103">
        <v>0</v>
      </c>
      <c r="F103">
        <v>0</v>
      </c>
      <c r="G103">
        <v>0</v>
      </c>
      <c r="H103">
        <v>7.657</v>
      </c>
      <c r="I103">
        <v>2.4550000000000001</v>
      </c>
      <c r="J103">
        <v>4.1900000000000004</v>
      </c>
      <c r="K103">
        <v>0.92500000000000004</v>
      </c>
      <c r="L103">
        <v>0.79600000000000004</v>
      </c>
      <c r="M103">
        <v>2.87</v>
      </c>
      <c r="N103">
        <v>5.21</v>
      </c>
      <c r="O103">
        <v>4.3330000000000002</v>
      </c>
      <c r="P103">
        <v>4.2320000000000002</v>
      </c>
      <c r="Q103">
        <v>7.4290000000000003</v>
      </c>
      <c r="R103">
        <v>579.62199999999996</v>
      </c>
    </row>
    <row r="104" spans="1:18" x14ac:dyDescent="0.2">
      <c r="A104" t="s">
        <v>36</v>
      </c>
      <c r="B104" t="s">
        <v>58</v>
      </c>
      <c r="C104" t="s">
        <v>38</v>
      </c>
      <c r="D104" t="s">
        <v>21</v>
      </c>
      <c r="E104">
        <v>0</v>
      </c>
      <c r="F104">
        <v>0</v>
      </c>
      <c r="G104">
        <v>0</v>
      </c>
      <c r="H104">
        <v>7.8369999999999997</v>
      </c>
      <c r="I104">
        <v>4.2949999999999999</v>
      </c>
      <c r="J104">
        <v>4.1970000000000001</v>
      </c>
      <c r="M104">
        <v>1.2729999999999999</v>
      </c>
      <c r="N104">
        <v>3.177</v>
      </c>
      <c r="O104">
        <v>4.2709999999999999</v>
      </c>
      <c r="P104">
        <v>3.6859999999999999</v>
      </c>
      <c r="Q104">
        <v>10.39</v>
      </c>
    </row>
    <row r="105" spans="1:18" x14ac:dyDescent="0.2">
      <c r="A105" t="s">
        <v>36</v>
      </c>
      <c r="B105" t="s">
        <v>69</v>
      </c>
      <c r="C105" t="s">
        <v>52</v>
      </c>
      <c r="D105" t="s">
        <v>21</v>
      </c>
      <c r="E105">
        <v>0</v>
      </c>
      <c r="F105">
        <v>0</v>
      </c>
      <c r="G105">
        <v>0</v>
      </c>
      <c r="H105">
        <v>7.867</v>
      </c>
      <c r="I105">
        <v>3.2109999999999999</v>
      </c>
      <c r="J105">
        <v>3.8620000000000001</v>
      </c>
      <c r="K105">
        <v>1.2170000000000001</v>
      </c>
      <c r="L105">
        <v>0.751</v>
      </c>
      <c r="M105">
        <v>2.831</v>
      </c>
      <c r="N105">
        <v>4.8099999999999996</v>
      </c>
      <c r="O105">
        <v>4.2679999999999998</v>
      </c>
      <c r="P105">
        <v>2.9119999999999999</v>
      </c>
      <c r="Q105">
        <v>12.845000000000001</v>
      </c>
      <c r="R105">
        <v>926.26900000000001</v>
      </c>
    </row>
    <row r="106" spans="1:18" x14ac:dyDescent="0.2">
      <c r="A106" t="s">
        <v>36</v>
      </c>
      <c r="B106" t="s">
        <v>53</v>
      </c>
      <c r="C106" t="s">
        <v>54</v>
      </c>
      <c r="E106">
        <v>0</v>
      </c>
      <c r="F106">
        <v>0</v>
      </c>
      <c r="G106">
        <v>0</v>
      </c>
      <c r="H106">
        <v>9.1129999999999995</v>
      </c>
      <c r="I106">
        <v>3.8319999999999999</v>
      </c>
      <c r="J106">
        <v>3.54</v>
      </c>
      <c r="K106">
        <v>1.609</v>
      </c>
      <c r="L106">
        <v>1.476</v>
      </c>
      <c r="M106">
        <v>1.4490000000000001</v>
      </c>
      <c r="N106">
        <v>4.2910000000000004</v>
      </c>
      <c r="O106">
        <v>3.8140000000000001</v>
      </c>
      <c r="P106">
        <v>2.4820000000000002</v>
      </c>
      <c r="Q106">
        <v>16.744</v>
      </c>
      <c r="R106">
        <v>655.952</v>
      </c>
    </row>
    <row r="107" spans="1:18" x14ac:dyDescent="0.2">
      <c r="A107" t="s">
        <v>36</v>
      </c>
      <c r="B107" t="s">
        <v>75</v>
      </c>
      <c r="C107" t="s">
        <v>50</v>
      </c>
      <c r="D107" t="s">
        <v>21</v>
      </c>
      <c r="E107">
        <v>0</v>
      </c>
      <c r="F107">
        <v>0</v>
      </c>
      <c r="G107">
        <v>0.92100000000000004</v>
      </c>
      <c r="H107">
        <v>10.175000000000001</v>
      </c>
      <c r="I107">
        <v>3.774</v>
      </c>
      <c r="J107">
        <v>3.74</v>
      </c>
      <c r="K107">
        <v>0.85899999999999999</v>
      </c>
      <c r="L107">
        <v>0.73699999999999999</v>
      </c>
      <c r="M107">
        <v>3.0059999999999998</v>
      </c>
      <c r="N107">
        <v>3.8210000000000002</v>
      </c>
      <c r="O107">
        <v>5.0430000000000001</v>
      </c>
      <c r="P107">
        <v>5.6950000000000003</v>
      </c>
      <c r="Q107">
        <v>24.187999999999999</v>
      </c>
      <c r="R107">
        <v>840.12</v>
      </c>
    </row>
    <row r="108" spans="1:18" x14ac:dyDescent="0.2">
      <c r="A108" t="s">
        <v>36</v>
      </c>
      <c r="B108" t="s">
        <v>53</v>
      </c>
      <c r="C108" t="s">
        <v>54</v>
      </c>
      <c r="D108" t="s">
        <v>21</v>
      </c>
      <c r="E108">
        <v>0</v>
      </c>
      <c r="F108">
        <v>0</v>
      </c>
      <c r="G108">
        <v>0</v>
      </c>
      <c r="H108">
        <v>10.263999999999999</v>
      </c>
      <c r="I108">
        <v>4.327</v>
      </c>
      <c r="J108">
        <v>3.4039999999999999</v>
      </c>
      <c r="K108">
        <v>1.1759999999999999</v>
      </c>
      <c r="L108">
        <v>1.105</v>
      </c>
      <c r="M108">
        <v>1.7450000000000001</v>
      </c>
      <c r="N108">
        <v>4.7569999999999997</v>
      </c>
      <c r="P108">
        <v>3.593</v>
      </c>
      <c r="Q108">
        <v>21.428999999999998</v>
      </c>
      <c r="R108">
        <v>611.54600000000005</v>
      </c>
    </row>
    <row r="109" spans="1:18" x14ac:dyDescent="0.2">
      <c r="A109" t="s">
        <v>36</v>
      </c>
      <c r="B109" t="s">
        <v>53</v>
      </c>
      <c r="C109" t="s">
        <v>54</v>
      </c>
      <c r="E109">
        <v>0</v>
      </c>
      <c r="F109">
        <v>0</v>
      </c>
      <c r="G109">
        <v>0</v>
      </c>
      <c r="H109">
        <v>10.68</v>
      </c>
      <c r="I109">
        <v>6.49</v>
      </c>
      <c r="J109">
        <v>4.0190000000000001</v>
      </c>
      <c r="K109">
        <v>0.96</v>
      </c>
      <c r="L109">
        <v>0.91600000000000004</v>
      </c>
      <c r="M109">
        <v>3.5640000000000001</v>
      </c>
      <c r="N109">
        <v>4.1959999999999997</v>
      </c>
      <c r="O109">
        <v>3.8759999999999999</v>
      </c>
      <c r="P109">
        <v>3.8050000000000002</v>
      </c>
      <c r="Q109">
        <v>13.739000000000001</v>
      </c>
      <c r="R109">
        <v>696.42700000000002</v>
      </c>
    </row>
    <row r="110" spans="1:18" x14ac:dyDescent="0.2">
      <c r="A110" t="s">
        <v>36</v>
      </c>
      <c r="B110" t="s">
        <v>43</v>
      </c>
      <c r="C110" t="s">
        <v>44</v>
      </c>
      <c r="E110">
        <v>0</v>
      </c>
      <c r="F110">
        <v>0</v>
      </c>
      <c r="G110">
        <v>0</v>
      </c>
      <c r="J110">
        <v>3.7160000000000002</v>
      </c>
      <c r="K110">
        <v>1.6679999999999999</v>
      </c>
      <c r="L110">
        <v>1.458</v>
      </c>
      <c r="M110">
        <v>1.9650000000000001</v>
      </c>
      <c r="N110">
        <v>4.766</v>
      </c>
      <c r="O110">
        <v>3.915</v>
      </c>
      <c r="P110">
        <v>3.4550000000000001</v>
      </c>
      <c r="Q110">
        <v>18.951000000000001</v>
      </c>
      <c r="R110">
        <v>539.70299999999997</v>
      </c>
    </row>
    <row r="111" spans="1:18" x14ac:dyDescent="0.2">
      <c r="A111" t="s">
        <v>36</v>
      </c>
      <c r="B111" t="s">
        <v>48</v>
      </c>
      <c r="C111" t="s">
        <v>46</v>
      </c>
      <c r="D111" t="s">
        <v>21</v>
      </c>
      <c r="E111">
        <v>0</v>
      </c>
      <c r="F111">
        <v>0</v>
      </c>
      <c r="G111">
        <v>0</v>
      </c>
      <c r="P111">
        <v>7.3390000000000004</v>
      </c>
      <c r="Q111">
        <v>43.118000000000002</v>
      </c>
    </row>
    <row r="112" spans="1:18" x14ac:dyDescent="0.2">
      <c r="A112" t="s">
        <v>36</v>
      </c>
      <c r="B112" t="s">
        <v>48</v>
      </c>
      <c r="C112" t="s">
        <v>46</v>
      </c>
      <c r="D112" t="s">
        <v>21</v>
      </c>
      <c r="E112">
        <v>0</v>
      </c>
      <c r="F112">
        <v>0</v>
      </c>
      <c r="G112">
        <v>0</v>
      </c>
      <c r="P112">
        <v>7.62</v>
      </c>
      <c r="Q112">
        <v>44.331000000000003</v>
      </c>
    </row>
    <row r="113" spans="1:18" x14ac:dyDescent="0.2">
      <c r="A113" t="s">
        <v>36</v>
      </c>
      <c r="B113" t="s">
        <v>61</v>
      </c>
      <c r="C113" t="s">
        <v>60</v>
      </c>
      <c r="D113" t="s">
        <v>21</v>
      </c>
      <c r="E113">
        <v>0</v>
      </c>
      <c r="F113">
        <v>0</v>
      </c>
      <c r="G113">
        <v>0</v>
      </c>
      <c r="J113">
        <v>3.9609999999999999</v>
      </c>
      <c r="K113">
        <v>1.6419999999999999</v>
      </c>
      <c r="L113">
        <v>0.91900000000000004</v>
      </c>
      <c r="M113">
        <v>1.96</v>
      </c>
      <c r="N113">
        <v>4.0129999999999999</v>
      </c>
      <c r="O113">
        <v>3.552</v>
      </c>
      <c r="P113">
        <v>3.0619999999999998</v>
      </c>
      <c r="Q113">
        <v>10.647</v>
      </c>
    </row>
    <row r="114" spans="1:18" x14ac:dyDescent="0.2">
      <c r="A114" t="s">
        <v>36</v>
      </c>
      <c r="B114" t="s">
        <v>66</v>
      </c>
      <c r="C114" t="s">
        <v>50</v>
      </c>
      <c r="D114" t="s">
        <v>21</v>
      </c>
      <c r="E114">
        <v>0</v>
      </c>
      <c r="F114">
        <v>0</v>
      </c>
      <c r="G114">
        <v>0</v>
      </c>
      <c r="J114">
        <v>3.7919999999999998</v>
      </c>
      <c r="K114">
        <v>1.593</v>
      </c>
      <c r="L114">
        <v>1.3080000000000001</v>
      </c>
      <c r="M114">
        <v>1.974</v>
      </c>
      <c r="N114">
        <v>3.4209999999999998</v>
      </c>
      <c r="O114">
        <v>3.1120000000000001</v>
      </c>
      <c r="P114">
        <v>3.6760000000000002</v>
      </c>
      <c r="Q114">
        <v>11.606</v>
      </c>
    </row>
    <row r="115" spans="1:18" x14ac:dyDescent="0.2">
      <c r="A115" t="s">
        <v>36</v>
      </c>
      <c r="B115" t="s">
        <v>66</v>
      </c>
      <c r="C115" t="s">
        <v>50</v>
      </c>
      <c r="D115" t="s">
        <v>21</v>
      </c>
      <c r="E115">
        <v>0</v>
      </c>
      <c r="F115">
        <v>0</v>
      </c>
      <c r="G115">
        <v>0</v>
      </c>
      <c r="J115">
        <v>3.01</v>
      </c>
      <c r="K115">
        <v>0.72699999999999998</v>
      </c>
      <c r="L115">
        <v>0.71199999999999997</v>
      </c>
      <c r="M115">
        <v>2.492</v>
      </c>
      <c r="N115">
        <v>3.2549999999999999</v>
      </c>
      <c r="O115">
        <v>4.6130000000000004</v>
      </c>
      <c r="P115">
        <v>2.681</v>
      </c>
      <c r="Q115">
        <v>11.928000000000001</v>
      </c>
    </row>
    <row r="116" spans="1:18" x14ac:dyDescent="0.2">
      <c r="A116" t="s">
        <v>36</v>
      </c>
      <c r="B116" t="s">
        <v>66</v>
      </c>
      <c r="C116" t="s">
        <v>50</v>
      </c>
      <c r="D116" t="s">
        <v>24</v>
      </c>
      <c r="E116">
        <v>0</v>
      </c>
      <c r="F116">
        <v>0</v>
      </c>
      <c r="G116">
        <v>0</v>
      </c>
      <c r="J116">
        <v>2.992</v>
      </c>
      <c r="K116">
        <v>1.375</v>
      </c>
      <c r="L116">
        <v>1.1919999999999999</v>
      </c>
      <c r="M116">
        <v>1.43</v>
      </c>
      <c r="N116">
        <v>2.8820000000000001</v>
      </c>
      <c r="O116">
        <v>5.83</v>
      </c>
      <c r="P116">
        <v>4.1589999999999998</v>
      </c>
      <c r="Q116">
        <v>12.566000000000001</v>
      </c>
      <c r="R116">
        <v>870.55700000000002</v>
      </c>
    </row>
    <row r="117" spans="1:18" x14ac:dyDescent="0.2">
      <c r="A117" t="s">
        <v>36</v>
      </c>
      <c r="B117" t="s">
        <v>71</v>
      </c>
      <c r="C117" t="s">
        <v>50</v>
      </c>
      <c r="D117" t="s">
        <v>21</v>
      </c>
      <c r="E117">
        <v>0</v>
      </c>
      <c r="F117">
        <v>0</v>
      </c>
      <c r="G117">
        <v>0</v>
      </c>
      <c r="J117">
        <v>3.802</v>
      </c>
      <c r="K117">
        <v>1.173</v>
      </c>
      <c r="L117">
        <v>0.86899999999999999</v>
      </c>
      <c r="M117">
        <v>2.4039999999999999</v>
      </c>
      <c r="N117">
        <v>3.028</v>
      </c>
      <c r="O117">
        <v>3.0329999999999999</v>
      </c>
      <c r="P117">
        <v>5.3360000000000003</v>
      </c>
      <c r="Q117">
        <v>10.022</v>
      </c>
    </row>
    <row r="118" spans="1:18" x14ac:dyDescent="0.2">
      <c r="A118" t="s">
        <v>36</v>
      </c>
      <c r="B118" t="s">
        <v>71</v>
      </c>
      <c r="C118" t="s">
        <v>50</v>
      </c>
      <c r="E118">
        <v>0</v>
      </c>
      <c r="F118">
        <v>0</v>
      </c>
      <c r="G118">
        <v>0</v>
      </c>
      <c r="J118">
        <v>3.2559999999999998</v>
      </c>
      <c r="K118">
        <v>0.80600000000000005</v>
      </c>
      <c r="L118">
        <v>0.69599999999999995</v>
      </c>
      <c r="M118">
        <v>2.5329999999999999</v>
      </c>
      <c r="N118">
        <v>2.5529999999999999</v>
      </c>
      <c r="O118">
        <v>3.9359999999999999</v>
      </c>
      <c r="P118">
        <v>3.9750000000000001</v>
      </c>
      <c r="Q118">
        <v>16.29</v>
      </c>
    </row>
    <row r="119" spans="1:18" x14ac:dyDescent="0.2">
      <c r="A119" t="s">
        <v>36</v>
      </c>
      <c r="B119" t="s">
        <v>73</v>
      </c>
      <c r="C119" t="s">
        <v>38</v>
      </c>
      <c r="D119" t="s">
        <v>21</v>
      </c>
      <c r="E119">
        <v>0</v>
      </c>
      <c r="F119">
        <v>0</v>
      </c>
      <c r="G119">
        <v>0</v>
      </c>
      <c r="J119">
        <v>3.8380000000000001</v>
      </c>
      <c r="K119">
        <v>1.595</v>
      </c>
      <c r="L119">
        <v>0.75900000000000001</v>
      </c>
      <c r="M119">
        <v>3.3359999999999999</v>
      </c>
      <c r="N119">
        <v>3.61</v>
      </c>
      <c r="O119">
        <v>4.2240000000000002</v>
      </c>
      <c r="P119">
        <v>4.1660000000000004</v>
      </c>
      <c r="Q119">
        <v>56.527000000000001</v>
      </c>
    </row>
    <row r="120" spans="1:18" x14ac:dyDescent="0.2">
      <c r="A120" t="s">
        <v>36</v>
      </c>
      <c r="B120" t="s">
        <v>73</v>
      </c>
      <c r="C120" t="s">
        <v>38</v>
      </c>
      <c r="E120">
        <v>0</v>
      </c>
      <c r="F120">
        <v>0</v>
      </c>
      <c r="G120">
        <v>1.006</v>
      </c>
      <c r="J120">
        <v>4.0199999999999996</v>
      </c>
      <c r="K120">
        <v>0.83699999999999997</v>
      </c>
      <c r="L120">
        <v>0.745</v>
      </c>
      <c r="M120">
        <v>2.5339999999999998</v>
      </c>
      <c r="N120">
        <v>3.5329999999999999</v>
      </c>
      <c r="O120">
        <v>3.5720000000000001</v>
      </c>
      <c r="P120">
        <v>4.8570000000000002</v>
      </c>
      <c r="Q120">
        <v>51.710999999999999</v>
      </c>
    </row>
    <row r="121" spans="1:18" x14ac:dyDescent="0.2">
      <c r="A121" t="s">
        <v>36</v>
      </c>
      <c r="B121" t="s">
        <v>73</v>
      </c>
      <c r="C121" t="s">
        <v>38</v>
      </c>
      <c r="E121">
        <v>0</v>
      </c>
      <c r="F121">
        <v>0</v>
      </c>
      <c r="G121">
        <v>0.85399999999999998</v>
      </c>
      <c r="J121">
        <v>3.609</v>
      </c>
      <c r="M121">
        <v>2.605</v>
      </c>
      <c r="N121">
        <v>3.7519999999999998</v>
      </c>
      <c r="O121">
        <v>2.8769999999999998</v>
      </c>
      <c r="P121">
        <v>7.0609999999999999</v>
      </c>
      <c r="Q121">
        <v>23.41</v>
      </c>
      <c r="R121">
        <v>322.73</v>
      </c>
    </row>
    <row r="122" spans="1:18" x14ac:dyDescent="0.2">
      <c r="A122" t="s">
        <v>36</v>
      </c>
      <c r="B122" t="s">
        <v>82</v>
      </c>
    </row>
  </sheetData>
  <sortState xmlns:xlrd2="http://schemas.microsoft.com/office/spreadsheetml/2017/richdata2" ref="A2:R122">
    <sortCondition ref="H2:H12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B5E6-9B68-664C-820B-2F0F993FE45E}">
  <dimension ref="A1:R34"/>
  <sheetViews>
    <sheetView workbookViewId="0">
      <selection activeCell="E1" sqref="E1:E34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>
        <v>0</v>
      </c>
      <c r="F2">
        <v>0</v>
      </c>
      <c r="G2">
        <v>0</v>
      </c>
      <c r="H2">
        <v>5.6689999999999996</v>
      </c>
      <c r="I2">
        <v>2.3980000000000001</v>
      </c>
      <c r="J2">
        <v>3.181</v>
      </c>
      <c r="K2">
        <v>1.9990000000000001</v>
      </c>
      <c r="L2">
        <v>1.7270000000000001</v>
      </c>
      <c r="M2">
        <v>2.0550000000000002</v>
      </c>
      <c r="N2">
        <v>3.2719999999999998</v>
      </c>
      <c r="O2">
        <v>4.22</v>
      </c>
      <c r="P2">
        <v>5.5529999999999999</v>
      </c>
      <c r="Q2">
        <v>13.609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>
        <v>0</v>
      </c>
      <c r="F3">
        <v>0</v>
      </c>
      <c r="G3">
        <v>0</v>
      </c>
      <c r="H3">
        <v>4.2220000000000004</v>
      </c>
      <c r="I3">
        <v>2.4929999999999999</v>
      </c>
      <c r="J3">
        <v>3.004</v>
      </c>
      <c r="K3">
        <v>1.611</v>
      </c>
      <c r="L3">
        <v>1.4370000000000001</v>
      </c>
      <c r="M3">
        <v>2.2869999999999999</v>
      </c>
      <c r="N3">
        <v>3.395</v>
      </c>
      <c r="O3">
        <v>2.99</v>
      </c>
      <c r="P3">
        <v>4.4530000000000003</v>
      </c>
      <c r="Q3">
        <v>14.9</v>
      </c>
    </row>
    <row r="4" spans="1:18" x14ac:dyDescent="0.2">
      <c r="A4" t="s">
        <v>18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0</v>
      </c>
      <c r="H4">
        <v>4.5629999999999997</v>
      </c>
      <c r="I4">
        <v>2.2799999999999998</v>
      </c>
      <c r="J4">
        <v>3.153</v>
      </c>
      <c r="K4">
        <v>1.4419999999999999</v>
      </c>
      <c r="L4">
        <v>1.0960000000000001</v>
      </c>
      <c r="M4">
        <v>2.0790000000000002</v>
      </c>
      <c r="N4">
        <v>2.6819999999999999</v>
      </c>
      <c r="O4">
        <v>2.972</v>
      </c>
      <c r="P4">
        <v>3.1520000000000001</v>
      </c>
      <c r="Q4">
        <v>13.273</v>
      </c>
      <c r="R4">
        <v>527.68299999999999</v>
      </c>
    </row>
    <row r="5" spans="1:18" x14ac:dyDescent="0.2">
      <c r="A5" t="s">
        <v>18</v>
      </c>
      <c r="B5" t="s">
        <v>22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6.516</v>
      </c>
      <c r="I5">
        <v>2.1389999999999998</v>
      </c>
      <c r="J5">
        <v>3.5910000000000002</v>
      </c>
      <c r="K5">
        <v>1.3720000000000001</v>
      </c>
      <c r="L5">
        <v>1.365</v>
      </c>
      <c r="M5">
        <v>2.008</v>
      </c>
      <c r="N5">
        <v>2.7909999999999999</v>
      </c>
      <c r="O5">
        <v>3.9089999999999998</v>
      </c>
      <c r="P5">
        <v>5.1870000000000003</v>
      </c>
      <c r="Q5">
        <v>28.128</v>
      </c>
      <c r="R5">
        <v>673.49599999999998</v>
      </c>
    </row>
    <row r="6" spans="1:18" x14ac:dyDescent="0.2">
      <c r="A6" t="s">
        <v>18</v>
      </c>
      <c r="B6" t="s">
        <v>22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5.8979999999999997</v>
      </c>
      <c r="I6">
        <v>2.2250000000000001</v>
      </c>
      <c r="J6">
        <v>3.6749999999999998</v>
      </c>
      <c r="K6">
        <v>1.58</v>
      </c>
      <c r="L6">
        <v>1.256</v>
      </c>
      <c r="M6">
        <v>1.8460000000000001</v>
      </c>
      <c r="N6">
        <v>3.2450000000000001</v>
      </c>
      <c r="O6">
        <v>3.1720000000000002</v>
      </c>
      <c r="P6">
        <v>6.1539999999999999</v>
      </c>
      <c r="Q6">
        <v>23.972000000000001</v>
      </c>
      <c r="R6">
        <v>748.44799999999998</v>
      </c>
    </row>
    <row r="7" spans="1:18" x14ac:dyDescent="0.2">
      <c r="A7" t="s">
        <v>18</v>
      </c>
      <c r="B7" t="s">
        <v>22</v>
      </c>
      <c r="C7" t="s">
        <v>20</v>
      </c>
      <c r="E7">
        <v>0</v>
      </c>
      <c r="F7">
        <v>0</v>
      </c>
      <c r="G7">
        <v>0</v>
      </c>
      <c r="H7">
        <v>6.681</v>
      </c>
      <c r="I7">
        <v>1.992</v>
      </c>
      <c r="J7">
        <v>3.532</v>
      </c>
      <c r="K7">
        <v>1.4430000000000001</v>
      </c>
      <c r="L7">
        <v>1.409</v>
      </c>
      <c r="M7">
        <v>2.1150000000000002</v>
      </c>
      <c r="N7">
        <v>3.6080000000000001</v>
      </c>
      <c r="O7">
        <v>4.0439999999999996</v>
      </c>
      <c r="P7">
        <v>8.3230000000000004</v>
      </c>
      <c r="Q7">
        <v>37.631</v>
      </c>
    </row>
    <row r="8" spans="1:18" x14ac:dyDescent="0.2">
      <c r="A8" t="s">
        <v>18</v>
      </c>
      <c r="B8" t="s">
        <v>23</v>
      </c>
      <c r="C8" t="s">
        <v>20</v>
      </c>
      <c r="D8" t="s">
        <v>21</v>
      </c>
      <c r="E8">
        <v>0</v>
      </c>
      <c r="F8">
        <v>0</v>
      </c>
      <c r="G8">
        <v>0</v>
      </c>
      <c r="H8">
        <v>5.9059999999999997</v>
      </c>
      <c r="I8">
        <v>3.0030000000000001</v>
      </c>
      <c r="J8">
        <v>4.08</v>
      </c>
      <c r="K8">
        <v>1.673</v>
      </c>
      <c r="L8">
        <v>1.1970000000000001</v>
      </c>
      <c r="M8">
        <v>2.1960000000000002</v>
      </c>
      <c r="N8">
        <v>4.0919999999999996</v>
      </c>
      <c r="O8">
        <v>3.625</v>
      </c>
      <c r="P8">
        <v>8.4849999999999994</v>
      </c>
      <c r="Q8">
        <v>42.960999999999999</v>
      </c>
    </row>
    <row r="9" spans="1:18" x14ac:dyDescent="0.2">
      <c r="A9" t="s">
        <v>18</v>
      </c>
      <c r="B9" t="s">
        <v>23</v>
      </c>
      <c r="C9" t="s">
        <v>20</v>
      </c>
      <c r="D9" t="s">
        <v>24</v>
      </c>
      <c r="E9">
        <v>0</v>
      </c>
      <c r="F9">
        <v>0</v>
      </c>
      <c r="G9">
        <v>0</v>
      </c>
      <c r="H9">
        <v>7.1849999999999996</v>
      </c>
      <c r="I9">
        <v>3.254</v>
      </c>
      <c r="J9">
        <v>3.4740000000000002</v>
      </c>
      <c r="K9">
        <v>1.764</v>
      </c>
      <c r="L9">
        <v>1.423</v>
      </c>
      <c r="M9">
        <v>2.09</v>
      </c>
      <c r="N9">
        <v>3.2589999999999999</v>
      </c>
      <c r="O9">
        <v>3.1829999999999998</v>
      </c>
      <c r="P9">
        <v>11.193</v>
      </c>
      <c r="Q9">
        <v>36.381</v>
      </c>
    </row>
    <row r="10" spans="1:18" x14ac:dyDescent="0.2">
      <c r="A10" t="s">
        <v>18</v>
      </c>
      <c r="B10" t="s">
        <v>23</v>
      </c>
      <c r="C10" t="s">
        <v>20</v>
      </c>
      <c r="D10" t="s">
        <v>25</v>
      </c>
      <c r="E10">
        <v>0</v>
      </c>
      <c r="F10">
        <v>0</v>
      </c>
      <c r="G10">
        <v>0</v>
      </c>
      <c r="H10">
        <v>5.758</v>
      </c>
      <c r="I10">
        <v>3.2669999999999999</v>
      </c>
      <c r="J10">
        <v>3.254</v>
      </c>
      <c r="K10">
        <v>1.712</v>
      </c>
      <c r="L10">
        <v>1.6</v>
      </c>
      <c r="M10">
        <v>2.266</v>
      </c>
      <c r="N10">
        <v>3.4039999999999999</v>
      </c>
      <c r="O10">
        <v>3.7469999999999999</v>
      </c>
      <c r="P10">
        <v>10.456</v>
      </c>
      <c r="Q10">
        <v>34.735999999999997</v>
      </c>
    </row>
    <row r="11" spans="1:18" x14ac:dyDescent="0.2">
      <c r="A11" t="s">
        <v>18</v>
      </c>
      <c r="B11" t="s">
        <v>26</v>
      </c>
      <c r="C11" t="s">
        <v>27</v>
      </c>
      <c r="D11" t="s">
        <v>21</v>
      </c>
      <c r="E11">
        <v>0</v>
      </c>
      <c r="F11">
        <v>0</v>
      </c>
      <c r="G11">
        <v>0</v>
      </c>
      <c r="H11">
        <v>7.3230000000000004</v>
      </c>
      <c r="I11">
        <v>2.3130000000000002</v>
      </c>
      <c r="J11">
        <v>4.0949999999999998</v>
      </c>
      <c r="K11">
        <v>1.82</v>
      </c>
      <c r="L11">
        <v>1.601</v>
      </c>
      <c r="M11">
        <v>1.911</v>
      </c>
      <c r="N11">
        <v>2.9209999999999998</v>
      </c>
      <c r="O11">
        <v>4.274</v>
      </c>
      <c r="P11">
        <v>5.8609999999999998</v>
      </c>
      <c r="Q11">
        <v>10.888999999999999</v>
      </c>
    </row>
    <row r="12" spans="1:18" x14ac:dyDescent="0.2">
      <c r="A12" t="s">
        <v>18</v>
      </c>
      <c r="B12" t="s">
        <v>26</v>
      </c>
      <c r="C12" t="s">
        <v>27</v>
      </c>
      <c r="D12" t="s">
        <v>21</v>
      </c>
      <c r="E12">
        <v>0</v>
      </c>
      <c r="F12">
        <v>0</v>
      </c>
      <c r="G12">
        <v>0</v>
      </c>
      <c r="H12">
        <v>8.625</v>
      </c>
      <c r="I12">
        <v>2.0179999999999998</v>
      </c>
      <c r="J12">
        <v>4.0010000000000003</v>
      </c>
      <c r="K12">
        <v>1.4570000000000001</v>
      </c>
      <c r="L12">
        <v>1.1120000000000001</v>
      </c>
      <c r="M12">
        <v>2.069</v>
      </c>
      <c r="N12">
        <v>3.512</v>
      </c>
      <c r="O12">
        <v>3.3250000000000002</v>
      </c>
      <c r="P12">
        <v>2.9420000000000002</v>
      </c>
      <c r="Q12">
        <v>23.56</v>
      </c>
      <c r="R12">
        <v>829.12300000000005</v>
      </c>
    </row>
    <row r="13" spans="1:18" x14ac:dyDescent="0.2">
      <c r="A13" t="s">
        <v>18</v>
      </c>
      <c r="B13" t="s">
        <v>26</v>
      </c>
      <c r="C13" t="s">
        <v>27</v>
      </c>
      <c r="D13" t="s">
        <v>21</v>
      </c>
      <c r="E13">
        <v>0</v>
      </c>
      <c r="F13">
        <v>0</v>
      </c>
      <c r="G13">
        <v>0</v>
      </c>
      <c r="H13">
        <v>3.64</v>
      </c>
      <c r="I13">
        <v>1.1539999999999999</v>
      </c>
      <c r="J13">
        <v>4.2240000000000002</v>
      </c>
      <c r="K13">
        <v>1.4830000000000001</v>
      </c>
      <c r="L13">
        <v>1.2010000000000001</v>
      </c>
      <c r="M13">
        <v>2.3149999999999999</v>
      </c>
      <c r="N13">
        <v>3.9929999999999999</v>
      </c>
      <c r="O13">
        <v>3.0939999999999999</v>
      </c>
      <c r="P13">
        <v>5.0049999999999999</v>
      </c>
      <c r="Q13">
        <v>11.374000000000001</v>
      </c>
    </row>
    <row r="14" spans="1:18" x14ac:dyDescent="0.2">
      <c r="A14" t="s">
        <v>18</v>
      </c>
      <c r="B14" t="s">
        <v>28</v>
      </c>
      <c r="C14" t="s">
        <v>27</v>
      </c>
      <c r="D14" t="s">
        <v>21</v>
      </c>
      <c r="E14">
        <v>0</v>
      </c>
      <c r="F14">
        <v>0</v>
      </c>
      <c r="G14">
        <v>0</v>
      </c>
      <c r="H14">
        <v>4.9690000000000003</v>
      </c>
      <c r="I14">
        <v>2.4940000000000002</v>
      </c>
      <c r="P14">
        <v>5.0460000000000003</v>
      </c>
      <c r="Q14">
        <v>21.062000000000001</v>
      </c>
      <c r="R14">
        <v>590.41200000000003</v>
      </c>
    </row>
    <row r="15" spans="1:18" x14ac:dyDescent="0.2">
      <c r="A15" t="s">
        <v>18</v>
      </c>
      <c r="B15" t="s">
        <v>28</v>
      </c>
      <c r="C15" t="s">
        <v>27</v>
      </c>
      <c r="D15" t="s">
        <v>21</v>
      </c>
      <c r="E15">
        <v>0</v>
      </c>
      <c r="F15">
        <v>0</v>
      </c>
      <c r="G15">
        <v>0</v>
      </c>
      <c r="H15">
        <v>6.5640000000000001</v>
      </c>
      <c r="I15">
        <v>3.2989999999999999</v>
      </c>
      <c r="P15">
        <v>2.431</v>
      </c>
      <c r="Q15">
        <v>11.128</v>
      </c>
      <c r="R15">
        <v>543.31799999999998</v>
      </c>
    </row>
    <row r="16" spans="1:18" x14ac:dyDescent="0.2">
      <c r="A16" t="s">
        <v>18</v>
      </c>
      <c r="B16" t="s">
        <v>28</v>
      </c>
      <c r="C16" t="s">
        <v>27</v>
      </c>
      <c r="D16" t="s">
        <v>21</v>
      </c>
      <c r="E16">
        <v>0</v>
      </c>
      <c r="F16">
        <v>0</v>
      </c>
      <c r="G16">
        <v>0</v>
      </c>
      <c r="H16">
        <v>4.7750000000000004</v>
      </c>
      <c r="I16">
        <v>1.468</v>
      </c>
      <c r="P16">
        <v>2.2930000000000001</v>
      </c>
      <c r="Q16">
        <v>9.2189999999999994</v>
      </c>
    </row>
    <row r="17" spans="1:18" x14ac:dyDescent="0.2">
      <c r="A17" t="s">
        <v>18</v>
      </c>
      <c r="B17" t="s">
        <v>29</v>
      </c>
      <c r="C17" t="s">
        <v>27</v>
      </c>
      <c r="D17" t="s">
        <v>24</v>
      </c>
      <c r="E17">
        <v>0</v>
      </c>
      <c r="F17">
        <v>0</v>
      </c>
      <c r="G17">
        <v>0</v>
      </c>
      <c r="H17">
        <v>5.6870000000000003</v>
      </c>
      <c r="I17">
        <v>1.9550000000000001</v>
      </c>
      <c r="J17">
        <v>3.84</v>
      </c>
      <c r="K17">
        <v>1.6259999999999999</v>
      </c>
      <c r="L17">
        <v>1.179</v>
      </c>
      <c r="M17">
        <v>2.3889999999999998</v>
      </c>
      <c r="N17">
        <v>3.4710000000000001</v>
      </c>
      <c r="O17">
        <v>3.84</v>
      </c>
      <c r="P17">
        <v>3.8580000000000001</v>
      </c>
      <c r="Q17">
        <v>10.319000000000001</v>
      </c>
      <c r="R17">
        <v>945.75800000000004</v>
      </c>
    </row>
    <row r="18" spans="1:18" x14ac:dyDescent="0.2">
      <c r="A18" t="s">
        <v>18</v>
      </c>
      <c r="B18" t="s">
        <v>29</v>
      </c>
      <c r="C18" t="s">
        <v>27</v>
      </c>
      <c r="D18" t="s">
        <v>21</v>
      </c>
      <c r="E18">
        <v>0</v>
      </c>
      <c r="F18">
        <v>0</v>
      </c>
      <c r="G18">
        <v>0</v>
      </c>
      <c r="H18">
        <v>5.9779999999999998</v>
      </c>
      <c r="I18">
        <v>1.5009999999999999</v>
      </c>
      <c r="J18">
        <v>4.4180000000000001</v>
      </c>
      <c r="K18">
        <v>1.107</v>
      </c>
      <c r="L18">
        <v>0.76400000000000001</v>
      </c>
      <c r="M18">
        <v>3.0230000000000001</v>
      </c>
      <c r="N18">
        <v>3.4169999999999998</v>
      </c>
      <c r="O18">
        <v>3.758</v>
      </c>
      <c r="P18">
        <v>6.5739999999999998</v>
      </c>
      <c r="Q18">
        <v>9.2319999999999993</v>
      </c>
    </row>
    <row r="19" spans="1:18" x14ac:dyDescent="0.2">
      <c r="A19" t="s">
        <v>18</v>
      </c>
      <c r="B19" t="s">
        <v>29</v>
      </c>
      <c r="C19" t="s">
        <v>27</v>
      </c>
      <c r="D19" t="s">
        <v>24</v>
      </c>
      <c r="E19">
        <v>0</v>
      </c>
      <c r="F19">
        <v>0</v>
      </c>
      <c r="G19">
        <v>0</v>
      </c>
      <c r="H19">
        <v>5.3650000000000002</v>
      </c>
      <c r="I19">
        <v>1.488</v>
      </c>
      <c r="J19">
        <v>4.9969999999999999</v>
      </c>
      <c r="K19">
        <v>1.4339999999999999</v>
      </c>
      <c r="L19">
        <v>1.4279999999999999</v>
      </c>
      <c r="M19">
        <v>2.5369999999999999</v>
      </c>
      <c r="N19">
        <v>3.2629999999999999</v>
      </c>
      <c r="O19">
        <v>4.008</v>
      </c>
      <c r="P19">
        <v>5.1340000000000003</v>
      </c>
      <c r="Q19">
        <v>11.590999999999999</v>
      </c>
    </row>
    <row r="20" spans="1:18" x14ac:dyDescent="0.2">
      <c r="A20" t="s">
        <v>18</v>
      </c>
      <c r="B20" t="s">
        <v>30</v>
      </c>
      <c r="C20" t="s">
        <v>31</v>
      </c>
      <c r="D20" t="s">
        <v>21</v>
      </c>
      <c r="E20">
        <v>0</v>
      </c>
      <c r="F20">
        <v>0</v>
      </c>
      <c r="G20">
        <v>0</v>
      </c>
      <c r="H20">
        <v>4.0019999999999998</v>
      </c>
      <c r="I20">
        <v>1.468</v>
      </c>
      <c r="J20">
        <v>2.2989999999999999</v>
      </c>
      <c r="K20">
        <v>1.089</v>
      </c>
      <c r="L20">
        <v>1.012</v>
      </c>
      <c r="M20">
        <v>1.57</v>
      </c>
      <c r="N20">
        <v>3.3439999999999999</v>
      </c>
      <c r="O20">
        <v>2.7970000000000002</v>
      </c>
      <c r="P20">
        <v>4.07</v>
      </c>
      <c r="Q20">
        <v>15.531000000000001</v>
      </c>
      <c r="R20">
        <v>702.05499999999995</v>
      </c>
    </row>
    <row r="21" spans="1:18" x14ac:dyDescent="0.2">
      <c r="A21" t="s">
        <v>18</v>
      </c>
      <c r="B21" t="s">
        <v>30</v>
      </c>
      <c r="C21" t="s">
        <v>31</v>
      </c>
      <c r="D21" t="s">
        <v>21</v>
      </c>
      <c r="E21">
        <v>0</v>
      </c>
      <c r="F21">
        <v>0</v>
      </c>
      <c r="G21">
        <v>0</v>
      </c>
      <c r="H21">
        <v>3.7120000000000002</v>
      </c>
      <c r="I21">
        <v>1.651</v>
      </c>
      <c r="J21">
        <v>2.9159999999999999</v>
      </c>
      <c r="K21">
        <v>1.353</v>
      </c>
      <c r="L21">
        <v>1.04</v>
      </c>
      <c r="M21">
        <v>1.21</v>
      </c>
      <c r="N21">
        <v>3.113</v>
      </c>
      <c r="O21">
        <v>3.855</v>
      </c>
      <c r="P21">
        <v>5.4550000000000001</v>
      </c>
      <c r="Q21">
        <v>11.904</v>
      </c>
    </row>
    <row r="22" spans="1:18" x14ac:dyDescent="0.2">
      <c r="A22" t="s">
        <v>18</v>
      </c>
      <c r="B22" t="s">
        <v>30</v>
      </c>
      <c r="C22" t="s">
        <v>31</v>
      </c>
      <c r="D22" t="s">
        <v>21</v>
      </c>
      <c r="E22">
        <v>0</v>
      </c>
      <c r="F22">
        <v>0</v>
      </c>
      <c r="G22">
        <v>0</v>
      </c>
      <c r="H22">
        <v>3.78</v>
      </c>
      <c r="I22">
        <v>1.351</v>
      </c>
      <c r="J22">
        <v>2.8050000000000002</v>
      </c>
      <c r="K22">
        <v>0.86699999999999999</v>
      </c>
      <c r="L22">
        <v>0.79400000000000004</v>
      </c>
      <c r="M22">
        <v>2.0699999999999998</v>
      </c>
      <c r="N22">
        <v>2.8149999999999999</v>
      </c>
      <c r="O22">
        <v>3.4780000000000002</v>
      </c>
      <c r="P22">
        <v>2.8069999999999999</v>
      </c>
      <c r="Q22">
        <v>12.742000000000001</v>
      </c>
    </row>
    <row r="23" spans="1:18" x14ac:dyDescent="0.2">
      <c r="A23" t="s">
        <v>18</v>
      </c>
      <c r="B23" t="s">
        <v>32</v>
      </c>
      <c r="C23" t="s">
        <v>31</v>
      </c>
      <c r="D23" t="s">
        <v>21</v>
      </c>
      <c r="E23">
        <v>0</v>
      </c>
      <c r="F23">
        <v>0</v>
      </c>
      <c r="G23">
        <v>0</v>
      </c>
      <c r="H23">
        <v>3.581</v>
      </c>
      <c r="I23">
        <v>1.351</v>
      </c>
      <c r="J23">
        <v>3.5720000000000001</v>
      </c>
      <c r="K23">
        <v>0.93200000000000005</v>
      </c>
      <c r="L23">
        <v>0.80500000000000005</v>
      </c>
      <c r="M23">
        <v>2.3069999999999999</v>
      </c>
      <c r="N23">
        <v>4.4139999999999997</v>
      </c>
      <c r="O23">
        <v>2.9790000000000001</v>
      </c>
      <c r="P23">
        <v>3.54</v>
      </c>
      <c r="Q23">
        <v>12.680999999999999</v>
      </c>
      <c r="R23">
        <v>721.40899999999999</v>
      </c>
    </row>
    <row r="24" spans="1:18" x14ac:dyDescent="0.2">
      <c r="A24" t="s">
        <v>18</v>
      </c>
      <c r="B24" t="s">
        <v>32</v>
      </c>
      <c r="C24" t="s">
        <v>31</v>
      </c>
      <c r="D24" t="s">
        <v>21</v>
      </c>
      <c r="E24">
        <v>0</v>
      </c>
      <c r="F24">
        <v>0</v>
      </c>
      <c r="G24">
        <v>0</v>
      </c>
      <c r="H24">
        <v>7.5350000000000001</v>
      </c>
      <c r="I24">
        <v>2.234</v>
      </c>
      <c r="J24">
        <v>4.5679999999999996</v>
      </c>
      <c r="K24">
        <v>1.623</v>
      </c>
      <c r="L24">
        <v>1.4590000000000001</v>
      </c>
      <c r="M24">
        <v>2.5649999999999999</v>
      </c>
      <c r="N24">
        <v>3.887</v>
      </c>
      <c r="O24">
        <v>2.8980000000000001</v>
      </c>
      <c r="P24">
        <v>3.9089999999999998</v>
      </c>
      <c r="Q24">
        <v>18.742999999999999</v>
      </c>
      <c r="R24">
        <v>586.15599999999995</v>
      </c>
    </row>
    <row r="25" spans="1:18" x14ac:dyDescent="0.2">
      <c r="A25" t="s">
        <v>18</v>
      </c>
      <c r="B25" t="s">
        <v>32</v>
      </c>
      <c r="C25" t="s">
        <v>31</v>
      </c>
      <c r="D25" t="s">
        <v>21</v>
      </c>
      <c r="E25">
        <v>0</v>
      </c>
      <c r="F25">
        <v>0</v>
      </c>
      <c r="G25">
        <v>0</v>
      </c>
      <c r="H25">
        <v>4.5279999999999996</v>
      </c>
      <c r="I25">
        <v>1.92</v>
      </c>
      <c r="J25">
        <v>3.456</v>
      </c>
      <c r="K25">
        <v>1.504</v>
      </c>
      <c r="L25">
        <v>1.1319999999999999</v>
      </c>
      <c r="M25">
        <v>2.121</v>
      </c>
      <c r="N25">
        <v>4.367</v>
      </c>
      <c r="O25">
        <v>4.6239999999999997</v>
      </c>
      <c r="P25">
        <v>5.9180000000000001</v>
      </c>
      <c r="Q25">
        <v>17.606000000000002</v>
      </c>
    </row>
    <row r="26" spans="1:18" x14ac:dyDescent="0.2">
      <c r="A26" t="s">
        <v>18</v>
      </c>
      <c r="B26" t="s">
        <v>33</v>
      </c>
      <c r="C26" t="s">
        <v>31</v>
      </c>
      <c r="E26">
        <v>0</v>
      </c>
      <c r="F26">
        <v>0</v>
      </c>
      <c r="G26">
        <v>0</v>
      </c>
      <c r="H26">
        <v>5.0739999999999998</v>
      </c>
      <c r="I26">
        <v>1.3280000000000001</v>
      </c>
      <c r="J26">
        <v>4.0750000000000002</v>
      </c>
      <c r="K26">
        <v>1.9690000000000001</v>
      </c>
      <c r="L26">
        <v>1.865</v>
      </c>
      <c r="M26">
        <v>2.7669999999999999</v>
      </c>
      <c r="N26">
        <v>3.0209999999999999</v>
      </c>
      <c r="O26">
        <v>3.9870000000000001</v>
      </c>
      <c r="P26">
        <v>7.5819999999999999</v>
      </c>
      <c r="Q26">
        <v>14.167999999999999</v>
      </c>
    </row>
    <row r="27" spans="1:18" x14ac:dyDescent="0.2">
      <c r="A27" t="s">
        <v>18</v>
      </c>
      <c r="B27" t="s">
        <v>33</v>
      </c>
      <c r="C27" t="s">
        <v>31</v>
      </c>
      <c r="E27">
        <v>0</v>
      </c>
      <c r="F27">
        <v>0</v>
      </c>
      <c r="G27">
        <v>0</v>
      </c>
      <c r="H27">
        <v>5.8849999999999998</v>
      </c>
      <c r="I27">
        <v>1.8220000000000001</v>
      </c>
      <c r="J27">
        <v>2.6429999999999998</v>
      </c>
      <c r="K27">
        <v>0.77800000000000002</v>
      </c>
      <c r="L27">
        <v>0.375</v>
      </c>
      <c r="M27">
        <v>1.875</v>
      </c>
      <c r="O27">
        <v>4.1379999999999999</v>
      </c>
      <c r="P27">
        <v>4.742</v>
      </c>
      <c r="Q27">
        <v>10.563000000000001</v>
      </c>
    </row>
    <row r="28" spans="1:18" x14ac:dyDescent="0.2">
      <c r="A28" t="s">
        <v>18</v>
      </c>
      <c r="B28" t="s">
        <v>33</v>
      </c>
      <c r="C28" t="s">
        <v>31</v>
      </c>
      <c r="E28">
        <v>0</v>
      </c>
      <c r="F28">
        <v>0</v>
      </c>
      <c r="G28">
        <v>0</v>
      </c>
    </row>
    <row r="29" spans="1:18" x14ac:dyDescent="0.2">
      <c r="A29" t="s">
        <v>18</v>
      </c>
      <c r="B29" t="s">
        <v>34</v>
      </c>
      <c r="C29" t="s">
        <v>20</v>
      </c>
      <c r="D29" t="s">
        <v>21</v>
      </c>
      <c r="E29">
        <v>2.8740000000000001</v>
      </c>
      <c r="F29">
        <v>0.504</v>
      </c>
      <c r="G29">
        <v>0</v>
      </c>
      <c r="H29">
        <v>5.3170000000000002</v>
      </c>
      <c r="I29">
        <v>2.7909999999999999</v>
      </c>
    </row>
    <row r="30" spans="1:18" x14ac:dyDescent="0.2">
      <c r="A30" t="s">
        <v>18</v>
      </c>
      <c r="B30" t="s">
        <v>34</v>
      </c>
      <c r="C30" t="s">
        <v>20</v>
      </c>
      <c r="D30" t="s">
        <v>21</v>
      </c>
      <c r="G30">
        <v>0</v>
      </c>
      <c r="H30">
        <v>6.3490000000000002</v>
      </c>
      <c r="I30">
        <v>2.504</v>
      </c>
    </row>
    <row r="31" spans="1:18" x14ac:dyDescent="0.2">
      <c r="A31" t="s">
        <v>18</v>
      </c>
      <c r="B31" t="s">
        <v>34</v>
      </c>
      <c r="C31" t="s">
        <v>20</v>
      </c>
      <c r="D31" t="s">
        <v>21</v>
      </c>
      <c r="G31">
        <v>0</v>
      </c>
      <c r="H31">
        <v>4.6029999999999998</v>
      </c>
      <c r="I31">
        <v>2.2570000000000001</v>
      </c>
    </row>
    <row r="32" spans="1:18" x14ac:dyDescent="0.2">
      <c r="A32" t="s">
        <v>18</v>
      </c>
      <c r="B32" t="s">
        <v>35</v>
      </c>
      <c r="C32" t="s">
        <v>20</v>
      </c>
      <c r="E32">
        <v>0</v>
      </c>
      <c r="F32">
        <v>0</v>
      </c>
      <c r="H32">
        <v>2.1469999999999998</v>
      </c>
      <c r="I32">
        <v>0.85599999999999998</v>
      </c>
      <c r="J32">
        <v>3.2770000000000001</v>
      </c>
      <c r="K32">
        <v>1.333</v>
      </c>
      <c r="L32">
        <v>1.2230000000000001</v>
      </c>
      <c r="M32">
        <v>3.1619999999999999</v>
      </c>
      <c r="N32">
        <v>4.085</v>
      </c>
      <c r="O32">
        <v>4.5110000000000001</v>
      </c>
      <c r="P32">
        <v>2.2839999999999998</v>
      </c>
      <c r="Q32">
        <v>19.616</v>
      </c>
      <c r="R32">
        <v>844.41499999999996</v>
      </c>
    </row>
    <row r="33" spans="1:18" x14ac:dyDescent="0.2">
      <c r="A33" t="s">
        <v>18</v>
      </c>
      <c r="B33" t="s">
        <v>35</v>
      </c>
      <c r="C33" t="s">
        <v>20</v>
      </c>
      <c r="E33">
        <v>0</v>
      </c>
      <c r="F33">
        <v>0</v>
      </c>
      <c r="H33">
        <v>2.2400000000000002</v>
      </c>
      <c r="I33">
        <v>0.378</v>
      </c>
      <c r="J33">
        <v>3.83</v>
      </c>
      <c r="K33">
        <v>1.796</v>
      </c>
      <c r="L33">
        <v>1.4550000000000001</v>
      </c>
      <c r="M33">
        <v>2.8340000000000001</v>
      </c>
      <c r="N33">
        <v>4.1449999999999996</v>
      </c>
      <c r="O33">
        <v>3.3260000000000001</v>
      </c>
      <c r="P33">
        <v>3.3380000000000001</v>
      </c>
      <c r="Q33">
        <v>23.187999999999999</v>
      </c>
      <c r="R33">
        <v>436.43</v>
      </c>
    </row>
    <row r="34" spans="1:18" x14ac:dyDescent="0.2">
      <c r="A34" t="s">
        <v>18</v>
      </c>
      <c r="B34" t="s">
        <v>35</v>
      </c>
      <c r="C34" t="s">
        <v>20</v>
      </c>
      <c r="E34">
        <v>0</v>
      </c>
      <c r="F34">
        <v>0</v>
      </c>
      <c r="H34">
        <v>2.8679999999999999</v>
      </c>
      <c r="I34">
        <v>0.64200000000000002</v>
      </c>
      <c r="J34">
        <v>3.4470000000000001</v>
      </c>
      <c r="K34">
        <v>1.9650000000000001</v>
      </c>
      <c r="L34">
        <v>1.3180000000000001</v>
      </c>
      <c r="M34">
        <v>3.75</v>
      </c>
      <c r="N34">
        <v>4.9359999999999999</v>
      </c>
      <c r="O34">
        <v>4.1130000000000004</v>
      </c>
      <c r="P34">
        <v>3.7120000000000002</v>
      </c>
      <c r="Q34">
        <v>11.909000000000001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Median &amp; Ranges</vt:lpstr>
      <vt:lpstr>morphometric_data_final</vt:lpstr>
      <vt:lpstr>Hispida</vt:lpstr>
      <vt:lpstr>Hirsuticaulis</vt:lpstr>
      <vt:lpstr>Richardsonii</vt:lpstr>
      <vt:lpstr>Grayana</vt:lpstr>
      <vt:lpstr>Fumosimontana</vt:lpstr>
      <vt:lpstr>Calycosa</vt:lpstr>
      <vt:lpstr>Brevipetala</vt:lpstr>
      <vt:lpstr>Americana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Engle-Wrye, Nicholas</dc:creator>
  <cp:lastModifiedBy>Engle-Wrye, Nicholas</cp:lastModifiedBy>
  <dcterms:created xsi:type="dcterms:W3CDTF">2026-01-30T18:43:39Z</dcterms:created>
  <dcterms:modified xsi:type="dcterms:W3CDTF">2026-02-05T23:12:33Z</dcterms:modified>
</cp:coreProperties>
</file>